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7.xml"/>
  <Override ContentType="application/vnd.openxmlformats-officedocument.spreadsheetml.externalLink+xml" PartName="/xl/externalLinks/externalLink25.xml"/>
  <Override ContentType="application/vnd.openxmlformats-officedocument.spreadsheetml.externalLink+xml" PartName="/xl/externalLinks/externalLink2.xml"/>
  <Override ContentType="application/vnd.openxmlformats-officedocument.spreadsheetml.externalLink+xml" PartName="/xl/externalLinks/externalLink12.xml"/>
  <Override ContentType="application/vnd.openxmlformats-officedocument.spreadsheetml.externalLink+xml" PartName="/xl/externalLinks/externalLink38.xml"/>
  <Override ContentType="application/vnd.openxmlformats-officedocument.spreadsheetml.externalLink+xml" PartName="/xl/externalLinks/externalLink20.xml"/>
  <Override ContentType="application/vnd.openxmlformats-officedocument.spreadsheetml.externalLink+xml" PartName="/xl/externalLinks/externalLink33.xml"/>
  <Override ContentType="application/vnd.openxmlformats-officedocument.spreadsheetml.externalLink+xml" PartName="/xl/externalLinks/externalLink46.xml"/>
  <Override ContentType="application/vnd.openxmlformats-officedocument.spreadsheetml.externalLink+xml" PartName="/xl/externalLinks/externalLink29.xml"/>
  <Override ContentType="application/vnd.openxmlformats-officedocument.spreadsheetml.externalLink+xml" PartName="/xl/externalLinks/externalLink16.xml"/>
  <Override ContentType="application/vnd.openxmlformats-officedocument.spreadsheetml.externalLink+xml" PartName="/xl/externalLinks/externalLink42.xml"/>
  <Override ContentType="application/vnd.openxmlformats-officedocument.spreadsheetml.externalLink+xml" PartName="/xl/externalLinks/externalLink1.xml"/>
  <Override ContentType="application/vnd.openxmlformats-officedocument.spreadsheetml.externalLink+xml" PartName="/xl/externalLinks/externalLink18.xml"/>
  <Override ContentType="application/vnd.openxmlformats-officedocument.spreadsheetml.externalLink+xml" PartName="/xl/externalLinks/externalLink43.xml"/>
  <Override ContentType="application/vnd.openxmlformats-officedocument.spreadsheetml.externalLink+xml" PartName="/xl/externalLinks/externalLink48.xml"/>
  <Override ContentType="application/vnd.openxmlformats-officedocument.spreadsheetml.externalLink+xml" PartName="/xl/externalLinks/externalLink13.xml"/>
  <Override ContentType="application/vnd.openxmlformats-officedocument.spreadsheetml.externalLink+xml" PartName="/xl/externalLinks/externalLink26.xml"/>
  <Override ContentType="application/vnd.openxmlformats-officedocument.spreadsheetml.externalLink+xml" PartName="/xl/externalLinks/externalLink35.xml"/>
  <Override ContentType="application/vnd.openxmlformats-officedocument.spreadsheetml.externalLink+xml" PartName="/xl/externalLinks/externalLink6.xml"/>
  <Override ContentType="application/vnd.openxmlformats-officedocument.spreadsheetml.externalLink+xml" PartName="/xl/externalLinks/externalLink21.xml"/>
  <Override ContentType="application/vnd.openxmlformats-officedocument.spreadsheetml.externalLink+xml" PartName="/xl/externalLinks/externalLink22.xml"/>
  <Override ContentType="application/vnd.openxmlformats-officedocument.spreadsheetml.externalLink+xml" PartName="/xl/externalLinks/externalLink34.xml"/>
  <Override ContentType="application/vnd.openxmlformats-officedocument.spreadsheetml.externalLink+xml" PartName="/xl/externalLinks/externalLink39.xml"/>
  <Override ContentType="application/vnd.openxmlformats-officedocument.spreadsheetml.externalLink+xml" PartName="/xl/externalLinks/externalLink47.xml"/>
  <Override ContentType="application/vnd.openxmlformats-officedocument.spreadsheetml.externalLink+xml" PartName="/xl/externalLinks/externalLink30.xml"/>
  <Override ContentType="application/vnd.openxmlformats-officedocument.spreadsheetml.externalLink+xml" PartName="/xl/externalLinks/externalLink17.xml"/>
  <Override ContentType="application/vnd.openxmlformats-officedocument.spreadsheetml.externalLink+xml" PartName="/xl/externalLinks/externalLink31.xml"/>
  <Override ContentType="application/vnd.openxmlformats-officedocument.spreadsheetml.externalLink+xml" PartName="/xl/externalLinks/externalLink23.xml"/>
  <Override ContentType="application/vnd.openxmlformats-officedocument.spreadsheetml.externalLink+xml" PartName="/xl/externalLinks/externalLink3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externalLink+xml" PartName="/xl/externalLinks/externalLink10.xml"/>
  <Override ContentType="application/vnd.openxmlformats-officedocument.spreadsheetml.externalLink+xml" PartName="/xl/externalLinks/externalLink40.xml"/>
  <Override ContentType="application/vnd.openxmlformats-officedocument.spreadsheetml.externalLink+xml" PartName="/xl/externalLinks/externalLink9.xml"/>
  <Override ContentType="application/vnd.openxmlformats-officedocument.spreadsheetml.externalLink+xml" PartName="/xl/externalLinks/externalLink27.xml"/>
  <Override ContentType="application/vnd.openxmlformats-officedocument.spreadsheetml.externalLink+xml" PartName="/xl/externalLinks/externalLink14.xml"/>
  <Override ContentType="application/vnd.openxmlformats-officedocument.spreadsheetml.externalLink+xml" PartName="/xl/externalLinks/externalLink44.xml"/>
  <Override ContentType="application/vnd.openxmlformats-officedocument.spreadsheetml.externalLink+xml" PartName="/xl/externalLinks/externalLink32.xml"/>
  <Override ContentType="application/vnd.openxmlformats-officedocument.spreadsheetml.externalLink+xml" PartName="/xl/externalLinks/externalLink8.xml"/>
  <Override ContentType="application/vnd.openxmlformats-officedocument.spreadsheetml.externalLink+xml" PartName="/xl/externalLinks/externalLink11.xml"/>
  <Override ContentType="application/vnd.openxmlformats-officedocument.spreadsheetml.externalLink+xml" PartName="/xl/externalLinks/externalLink3.xml"/>
  <Override ContentType="application/vnd.openxmlformats-officedocument.spreadsheetml.externalLink+xml" PartName="/xl/externalLinks/externalLink24.xml"/>
  <Override ContentType="application/vnd.openxmlformats-officedocument.spreadsheetml.externalLink+xml" PartName="/xl/externalLinks/externalLink37.xml"/>
  <Override ContentType="application/vnd.openxmlformats-officedocument.spreadsheetml.externalLink+xml" PartName="/xl/externalLinks/externalLink15.xml"/>
  <Override ContentType="application/vnd.openxmlformats-officedocument.spreadsheetml.externalLink+xml" PartName="/xl/externalLinks/externalLink28.xml"/>
  <Override ContentType="application/vnd.openxmlformats-officedocument.spreadsheetml.externalLink+xml" PartName="/xl/externalLinks/externalLink45.xml"/>
  <Override ContentType="application/vnd.openxmlformats-officedocument.spreadsheetml.externalLink+xml" PartName="/xl/externalLinks/externalLink19.xml"/>
  <Override ContentType="application/vnd.openxmlformats-officedocument.spreadsheetml.externalLink+xml" PartName="/xl/externalLinks/externalLink4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imación de pérdidas" sheetId="1" r:id="rId4"/>
    <sheet state="visible" name="Plantilla criticidad de activos" sheetId="2" r:id="rId5"/>
    <sheet state="visible" name="Validación SCE" sheetId="3" r:id="rId6"/>
    <sheet state="visible" name="Matriz evaluación riesgos EDI" sheetId="4"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____tc1">[1]GG!$J$2</definedName>
    <definedName name="___EPP2">[2]EPP!$J$22</definedName>
    <definedName name="___f">0.8</definedName>
    <definedName name="___TSP4">[3]TSP4!$A$2:$G$165</definedName>
    <definedName name="___VIZ4">[4]VIZ4!$A$2:$J$416</definedName>
    <definedName name="___VIZ7">[4]VIZ7!$A$2:$J$476</definedName>
    <definedName name="__123Graph_A">[5]Zn!#REF!</definedName>
    <definedName name="__123Graph_ASECPRED">[6]LEAD!#REF!</definedName>
    <definedName name="__123Graph_BSECOND">[6]LEAD!#REF!</definedName>
    <definedName name="__123Graph_CSECOND">[6]LEAD!#REF!</definedName>
    <definedName name="__EPP2">[2]EPP!$J$22</definedName>
    <definedName name="__f">0.8</definedName>
    <definedName name="__tc1">[7]GG!$J$2</definedName>
    <definedName name="__TSP4">[3]TSP4!$A$2:$G$165</definedName>
    <definedName name="__VIZ4">[4]VIZ4!$A$2:$J$416</definedName>
    <definedName name="__VIZ7">[4]VIZ7!$A$2:$J$476</definedName>
    <definedName name="_10__123Graph_ACHART_9">'[8]Load 2'!#REF!</definedName>
    <definedName name="_12__123Graph_BCHART_15">'[8]Material Forecast'!#REF!</definedName>
    <definedName name="_14__123Graph_BCHART_16">'[8]Material Forecast'!#REF!</definedName>
    <definedName name="_16__123Graph_BCHART_9">'[8]Load 2'!#REF!</definedName>
    <definedName name="_18__123Graph_CCHART_11">'[8]Material Forecast'!#REF!</definedName>
    <definedName name="_2__123Graph_ACHART_11">'[8]Material Forecast'!#REF!</definedName>
    <definedName name="_20__123Graph_CCHART_12">'[8]Material Forecast'!#REF!</definedName>
    <definedName name="_22__123Graph_CCHART_15">'[8]Material Forecast'!#REF!</definedName>
    <definedName name="_24__123Graph_CCHART_16">'[8]Material Forecast'!#REF!</definedName>
    <definedName name="_26__123Graph_DCHART_15">'[8]Material Forecast'!#REF!</definedName>
    <definedName name="_28__123Graph_ECHART_15">'[8]Material Forecast'!#REF!</definedName>
    <definedName name="_30__123Graph_XCHART_12">'[8]Material Forecast'!#REF!</definedName>
    <definedName name="_32__123Graph_XCHART_15">'[8]Material Forecast'!#REF!</definedName>
    <definedName name="_34__123Graph_XCHART_16">'[8]Material Forecast'!#REF!</definedName>
    <definedName name="_4__123Graph_ACHART_12">'[8]Material Forecast'!#REF!</definedName>
    <definedName name="_6__123Graph_ACHART_15">'[8]Material Forecast'!#REF!</definedName>
    <definedName name="_8__123Graph_ACHART_16">'[8]Material Forecast'!#REF!</definedName>
    <definedName name="_EPP2">[2]EPP!$J$22</definedName>
    <definedName name="_f">0.8</definedName>
    <definedName name="_Order1">255</definedName>
    <definedName name="_Order2">255</definedName>
    <definedName name="_Regression_Out">'[9]loading equipment'!#REF!</definedName>
    <definedName name="_Regression_X">'[9]loading equipment'!$O$118:$O$120</definedName>
    <definedName name="_Regression_Y">'[9]loading equipment'!$Q$118:$Q$120</definedName>
    <definedName name="_res1">'[10]Resumen Ejec'!$B$2:$G$66</definedName>
    <definedName name="_res2">'[10]Resumen Ejec'!$B$70:$G$125</definedName>
    <definedName name="_res3">'[10]Resumen Ejec'!$B$142:$E$189</definedName>
    <definedName name="_res4">'[10]Resumen Ejec'!$B$198:$D$261</definedName>
    <definedName name="_tc1">[11]GG!$J$2</definedName>
    <definedName name="_TSP4">[3]TSP4!$A$2:$G$165</definedName>
    <definedName name="_VIZ4">[4]VIZ4!$A$2:$J$416</definedName>
    <definedName name="_VIZ7">[4]VIZ7!$A$2:$J$476</definedName>
    <definedName name="accesorio">[2]Insumos!$A$105:$E$129</definedName>
    <definedName name="accesorios">[12]Insumos!$A$105:$G$129</definedName>
    <definedName name="aceros">[2]Insumos!$A$77:$F$100</definedName>
    <definedName name="aguilar">[13]Parametros!#REF!</definedName>
    <definedName name="avance">[2]Insumos!$J$1</definedName>
    <definedName name="b">[13]Parametros!#REF!</definedName>
    <definedName name="banana">'[15]Balance Sheet Consolidated'!$C$5:$J$59</definedName>
    <definedName name="BSE">[16]BBSS!$K$38</definedName>
    <definedName name="Cálculos">[17]ANALISIS!$A$112:$L$198</definedName>
    <definedName name="cambio">'[18]GGAESA (2)'!$F$1</definedName>
    <definedName name="camion2">[13]Parametros!#REF!</definedName>
    <definedName name="categorias">[2]Insumos!$H$3:$J$21</definedName>
    <definedName name="cateorías">[12]Insumos!#REF!</definedName>
    <definedName name="CATODOS_CU">[19]Hoja2!$BF$1:$BQ$41</definedName>
    <definedName name="CEMENTO_AG">[19]Hoja2!$BF$51:$BX$85</definedName>
    <definedName name="Chatyo">'[20] Concentrates value'!#REF!</definedName>
    <definedName name="CONCENPRGS">[19]Hoja2!$Y$1:$AQ$40</definedName>
    <definedName name="CONCENSNEXP">[19]Hoja2!$Y$65:$AQ$97</definedName>
    <definedName name="Consumo_EnergíaE">[19]Hoja1!$A$1:$T$43</definedName>
    <definedName name="Contenido_metal">[19]Hoja2!$AT$1:$BC$40</definedName>
    <definedName name="conting">[2]Insumos!$C$189</definedName>
    <definedName name="contingencia">'[7]Material (2)'!$F$6</definedName>
    <definedName name="Costo_tajo">[19]Hoja3!$A$39:$P$79</definedName>
    <definedName name="Costo_tajo1">[19]Hoja3!$A$81:$P$109</definedName>
    <definedName name="Costo1">'[21] Concentrates value'!#REF!</definedName>
    <definedName name="Costos">[10]Costos!$C$2:$K$42</definedName>
    <definedName name="cr_plan_2004_resumen_plan">'[22]Resumen Plan'!$A$1:$O$85</definedName>
    <definedName name="currency.factors">'[23]Economic Assumptions'!A$25:A$64</definedName>
    <definedName name="currency.units">'[23]Economic Assumptions'!$B$25:$B$64</definedName>
    <definedName name="d">[24]Hoja1!$A$8:$BW$161</definedName>
    <definedName name="DandB_cost">'[25]D &amp; B Summary'!$E$9:$AN$26</definedName>
    <definedName name="DatosTécnicos">[17]ANALISIS!$A$1:$L$73</definedName>
    <definedName name="dep_eq_mina">[10]Depreciacion!$C$63:$V$63</definedName>
    <definedName name="dep_otros">[10]Depreciacion!$C$83:$V$83</definedName>
    <definedName name="Dewatering">[26]Inputs!$I$515:$K$535</definedName>
    <definedName name="DM">3.15</definedName>
    <definedName name="Drills">[26]Inputs!$I$536:$P$601</definedName>
    <definedName name="DSD">[5]Zn!#REF!</definedName>
    <definedName name="E">[27]vacacionistas!$A$2:$CM$291</definedName>
    <definedName name="Earn_CF">[28]Macro!#REF!</definedName>
    <definedName name="Eficiencia">[17]EFICIENCIAS!$A$1:$J$44</definedName>
    <definedName name="energy.units">[29]Tables!$B$84:$B$91</definedName>
    <definedName name="EPP">[2]EPP!$H$22</definedName>
    <definedName name="equip1">'[30]Excav. Prod'!$F$13:$IV$50</definedName>
    <definedName name="equipo">'[7]Material (2)'!$A$105:$D$124</definedName>
    <definedName name="ExcavatorRange">[26]Inputs!$I$144:$Q$144</definedName>
    <definedName name="Excavators">[26]Inputs!$I$144:$AB$182</definedName>
    <definedName name="Excavur">'[31]Equip HR'!$V$11:$Y$11</definedName>
    <definedName name="ExcOpCost">'[26]Equip HR'!$G$8:$H$30</definedName>
    <definedName name="ExcOpDelay">[26]Inputs!$I$123:$N$134</definedName>
    <definedName name="ExcProd">'[26]Excav. Prod'!$F$25:$W$63</definedName>
    <definedName name="EXPLOR_MATG">[19]Hoja2!$CV$89:$DP$125</definedName>
    <definedName name="EXPLOR_MINA">[19]Hoja2!$CV$1:$DP$39</definedName>
    <definedName name="EXPLOR_TAJ0">[19]Hoja2!$CV$131:$DP$165</definedName>
    <definedName name="explosivo">[2]Insumos!$A$193:$C$209</definedName>
    <definedName name="factorcarga">[2]Insumos!$L$1</definedName>
    <definedName name="FCAJA">'[32]GyP total'!#REF!</definedName>
    <definedName name="fcarga">[33]insumos!$C$197</definedName>
    <definedName name="filtercap">'[34]Production Plan'!$C$234</definedName>
    <definedName name="flujo">[10]Flujo!$B$2:$G$55</definedName>
    <definedName name="FUNDENTES_DOE">[19]Hoja2!$CB$1:$CR$41</definedName>
    <definedName name="gg">'[7]Material (2)'!$F$4</definedName>
    <definedName name="gguu">[35]insumos!$Q$2</definedName>
    <definedName name="Graders">[26]Inputs!$G$374:$J$394</definedName>
    <definedName name="GRÁFICO_CONSUMO">[19]Hoja1!$F$53:$W$92</definedName>
    <definedName name="herramientas">[36]insumos!$B$26:$G$53</definedName>
    <definedName name="hoja1">[37]Yauliyacu!$A$2:$CN$340</definedName>
    <definedName name="HOJAC5">'[38]MOV. MINERALES:explotación'!$F$34:$F$38</definedName>
    <definedName name="IA_ACUMULADO">[39]ESTAD_ACC_99!$R$83:$AD$118</definedName>
    <definedName name="implementoseguridad">[40]insumos!#REF!</definedName>
    <definedName name="Ingresos">[10]Ingresos!$Q$13</definedName>
    <definedName name="Jul">'[41]Planilla Obreros'!$A:$IV</definedName>
    <definedName name="lamp">[2]Insumos!$C$162</definedName>
    <definedName name="lampara">'[7]Impl Seg'!$B$43</definedName>
    <definedName name="length.factors">[29]Tables!$E$22:$E$30</definedName>
    <definedName name="length.units">[29]Tables!$B$22:$B$30</definedName>
    <definedName name="Light_Vehicles">[26]Inputs!$G$435:$I$454</definedName>
    <definedName name="Lighting_Plants">[26]Inputs!$G$471:$I$484</definedName>
    <definedName name="magnitude.factors">[29]Tables!$E$103:$E$109</definedName>
    <definedName name="magnitude.units">[29]Tables!$B$103:$B$109</definedName>
    <definedName name="manoobra">[40]insumos!#REF!</definedName>
    <definedName name="marzo">[37]Yauliyacu!$A$2:$CN$340</definedName>
    <definedName name="marzo2003">[37]Yauliyacu!$A$2:$CK$233</definedName>
    <definedName name="mass.units">[29]Tables!$B$9:$B$17</definedName>
    <definedName name="Material">[26]Inputs!$I$5:$N$14</definedName>
    <definedName name="My">'[41]Planilla Obreros'!$A:$IV</definedName>
    <definedName name="O_15">[3]O_15!$A$2:$G$98</definedName>
    <definedName name="Ore">[26]Inputs!$I$5:$N$10</definedName>
    <definedName name="oreholevol">'[8]d&amp;b'!#REF!</definedName>
    <definedName name="oreover">'[8]d&amp;b'!#REF!</definedName>
    <definedName name="perf">[2]Insumos!$A$77:$F$100</definedName>
    <definedName name="perimvol">'[8]d&amp;b'!#REF!</definedName>
    <definedName name="pet">[2]Insumos!$G$1</definedName>
    <definedName name="petroleo">'[42]Precios Unitarios'!$C$1</definedName>
    <definedName name="pie">[2]Insumos!$C$144</definedName>
    <definedName name="Pit_Excavator">'[26]Excav. Prod'!$I$3:$K$14</definedName>
    <definedName name="porcentajes">[43]insumos!$B$220:$E$232</definedName>
    <definedName name="Print_Titles_MI">#REF!,#REF!</definedName>
    <definedName name="PROD_CERRO">[19]Hoja2!$A$1:$U$50</definedName>
    <definedName name="PROD_SNEXP">[19]Hoja2!$A$65:$G$103</definedName>
    <definedName name="RainMth">[26]Rainfall!$C$12:$N$14</definedName>
    <definedName name="RainQtr">[26]Rainfall!$C$18:$F$20</definedName>
    <definedName name="RainYr">[26]Rainfall!$C$24:$C$26</definedName>
    <definedName name="Registro_Rev">'[17]REG.REVIS.'!$A$1:$N$34</definedName>
    <definedName name="RESUMEN">[19]Hoja1!$C$53:$E$73</definedName>
    <definedName name="RO_1">[3]RO_1!$A$2:$G$355</definedName>
    <definedName name="RO_3">[3]RO_3!$A$2:$G$103</definedName>
    <definedName name="RO_4">[3]RO_4!$A$2:$G$84</definedName>
    <definedName name="RO_5">[3]RO_5!$A$2:$G$246</definedName>
    <definedName name="RO_7">[3]RO_7!$A$2:$G$13</definedName>
    <definedName name="Rockbreakers">[26]Inputs!$G$455:$I$470</definedName>
    <definedName name="salarios">[2]Insumos!$A$4:$E$72</definedName>
    <definedName name="SalaryScale">[26]Inputs!$I$82:$J$117</definedName>
    <definedName name="Scrapers">[26]Inputs!$G$485:$I$505</definedName>
    <definedName name="SDDED">'[8]Load 2'!#REF!</definedName>
    <definedName name="seguridad">[44]insumos!$B$133:$F$154</definedName>
    <definedName name="Service_Trucks">[26]Inputs!$G$415:$K$434</definedName>
    <definedName name="servicios">[40]insumos!#REF!</definedName>
    <definedName name="show.OP">'[23]Site and Version'!$F$49</definedName>
    <definedName name="sostenimiento">[2]Insumos!$A$172:$D$184</definedName>
    <definedName name="sueldos">[12]Insumos!$A$4:$E$73</definedName>
    <definedName name="Support_Excavators">[26]Inputs!$G$293:$J$312</definedName>
    <definedName name="Support_Track_Dozers">[26]Inputs!$G$334:$L$352</definedName>
    <definedName name="Support_Trucks">[26]Inputs!$G$272:$K$292</definedName>
    <definedName name="Support_Wheel_Dozers">[26]Inputs!$G$353:$J$373</definedName>
    <definedName name="Support_Wheel_Loaders">[26]Inputs!$G$313:$M$333</definedName>
    <definedName name="T1_1">[3]T1_1!$A$2:$G$2207</definedName>
    <definedName name="T1_2">[3]T1_2!$A$2:$G$726</definedName>
    <definedName name="T1_3">[3]T1_3!$A$2:$G$511</definedName>
    <definedName name="T1_4">[3]T1_4!$A$2:$G$709</definedName>
    <definedName name="T1_5">[3]T1_5!$A$2:$G$178</definedName>
    <definedName name="T4_2">[3]T4_2!$A$2:$G$95</definedName>
    <definedName name="T4_4">[3]T4_4!$A$2:$G$72</definedName>
    <definedName name="TABLA34b">[45]product!#REF!</definedName>
    <definedName name="TABLA34c">[45]product!#REF!</definedName>
    <definedName name="Tabla38a">[45]product!#REF!</definedName>
    <definedName name="TablaExport">'[46]Val Mar 06'!$B$5:$F$6</definedName>
    <definedName name="TABLKA34c">[45]product!#REF!</definedName>
    <definedName name="TComp">'[10]Tabla Comparativa'!$B$2:$I$23</definedName>
    <definedName name="tcrec">[2]GG07reclamo!$L$2</definedName>
    <definedName name="time.factors">[29]Tables!$E$64:$E$70</definedName>
    <definedName name="time.units">[29]Tables!$B$64:$B$70</definedName>
    <definedName name="Travel">'[31]Travel &amp; Fuel'!$E$6:$F$53</definedName>
    <definedName name="TruckOpCost">'[26]Equip HR'!$G$37:$H$59</definedName>
    <definedName name="TruckOpDelay">[26]Inputs!$I$183:$K$218</definedName>
    <definedName name="Trucks">[26]Inputs!$I$219:$S$270</definedName>
    <definedName name="Truckur">'[31]Equip HR'!$D$27:$X$27</definedName>
    <definedName name="TTFuel">'[26]Travel &amp; Fuel'!$E$1:$J$2362</definedName>
    <definedName name="uno">[40]insumos!#REF!</definedName>
    <definedName name="US___mes">[47]Prorrateo!#REF!</definedName>
    <definedName name="usd">[48]Cierre!$E$6</definedName>
    <definedName name="utilidad">'[7]Material (2)'!$F$5</definedName>
    <definedName name="UZ">[4]UZ!$A$2:$J$819</definedName>
    <definedName name="valrecate">[40]insumos!$D$251</definedName>
    <definedName name="volume.units">[29]Tables!$B$47:$B$59</definedName>
    <definedName name="vv">[5]Zn!#REF!</definedName>
    <definedName name="Waste">[26]Inputs!$I$11:$N$16</definedName>
    <definedName name="wasteholevol">'[8]d&amp;b'!#REF!</definedName>
    <definedName name="wasteover">'[8]d&amp;b'!#REF!</definedName>
    <definedName name="Water_Trucks">[26]Inputs!$G$395:$J$414</definedName>
    <definedName name="wwdsed">[5]Zn!#REF!</definedName>
    <definedName name="XXXX">'[20] Concentrates value'!#REF!</definedName>
    <definedName name="ZN">[5]Zn!#REF!</definedName>
    <definedName name="zzz">[6]LEAD!#REF!</definedName>
    <definedName name="CRau">#REF!</definedName>
    <definedName name="Bcu">#REF!</definedName>
    <definedName name="NSRcob">#REF!</definedName>
    <definedName name="perimeter26">#REF!</definedName>
    <definedName name="FULM">#REF!</definedName>
    <definedName name="severidad">#REF!</definedName>
    <definedName name="s">#REF!</definedName>
    <definedName name="_Dist_Values">#REF!</definedName>
    <definedName name="Cmine">#REF!</definedName>
    <definedName name="Pcu">#REF!</definedName>
    <definedName name="FUEL__97">#REF!</definedName>
    <definedName name="Cash_Flow">#REF!</definedName>
    <definedName name="SCOOP">#REF!</definedName>
    <definedName name="irrnpv1">#REF!</definedName>
    <definedName name="__CAM1">#REF!</definedName>
    <definedName name="Area_2">#REF!</definedName>
    <definedName name="Proyecto">#REF!</definedName>
    <definedName name="DISC3">#REF!</definedName>
    <definedName name="PFcu">#REF!</definedName>
    <definedName name="perimeter15">#REF!</definedName>
    <definedName name="perimeter11">#REF!</definedName>
    <definedName name="cd">#REF!</definedName>
    <definedName name="Media">#REF!</definedName>
    <definedName name="FUEL_97">#REF!</definedName>
    <definedName name="RECON">#REF!</definedName>
    <definedName name="perimeter21">#REF!</definedName>
    <definedName name="geo">#REF!</definedName>
    <definedName name="Csell">#REF!</definedName>
    <definedName name="_9._Analysis_of_net_debt">#REF!</definedName>
    <definedName name="Ef">#REF!</definedName>
    <definedName name="dic">#REF!</definedName>
    <definedName name="Z">#REF!</definedName>
    <definedName name="DISC4">#REF!</definedName>
    <definedName name="CUcon">#REF!</definedName>
    <definedName name="codis">#REF!</definedName>
    <definedName name="Acumulados_2000">#REF!</definedName>
    <definedName name="CUcom">#REF!</definedName>
    <definedName name="Cbase">#REF!</definedName>
    <definedName name="CUcob">#REF!</definedName>
    <definedName name="GRA">#REF!</definedName>
    <definedName name="truckhr">#REF!</definedName>
    <definedName name="UF">#REF!</definedName>
    <definedName name="Tax">#REF!</definedName>
    <definedName name="CF">#REF!</definedName>
    <definedName name="___INDEX_SHEET___ASAP_Utilities">#REF!</definedName>
    <definedName name="ELEC">#REF!</definedName>
    <definedName name="tonelaje">#REF!</definedName>
    <definedName name="NSRcom">#REF!</definedName>
    <definedName name="Mav">#REF!</definedName>
    <definedName name="grati">#REF!</definedName>
    <definedName name="IRRNPV">#REF!</definedName>
    <definedName name="sss">#REF!</definedName>
    <definedName name="Seccion">#REF!</definedName>
    <definedName name="gm">#REF!</definedName>
    <definedName name="perimeter13">#REF!</definedName>
    <definedName name="CAM">#REF!</definedName>
    <definedName name="CMS">#REF!</definedName>
    <definedName name="Dura">#REF!</definedName>
    <definedName name="día">#REF!</definedName>
    <definedName name="LENTA">#REF!</definedName>
    <definedName name="BALANCE.MENSUAL">#REF!</definedName>
    <definedName name="CONSOLIDADO">#REF!</definedName>
    <definedName name="CFmill">#REF!</definedName>
    <definedName name="Cins">#REF!</definedName>
    <definedName name="AG">#REF!</definedName>
    <definedName name="m">#REF!</definedName>
    <definedName name="J">#REF!</definedName>
    <definedName name="PARIDAD">#REF!</definedName>
    <definedName name="DISC1">#REF!</definedName>
    <definedName name="Profit">#REF!</definedName>
    <definedName name="PRY">#REF!</definedName>
    <definedName name="DIN">#REF!</definedName>
    <definedName name="CRcu">#REF!</definedName>
    <definedName name="GE">#REF!</definedName>
    <definedName name="AUcred">#REF!</definedName>
    <definedName name="PP">#REF!</definedName>
    <definedName name="xxxxxxxxx">#REF!</definedName>
    <definedName name="eg">#REF!</definedName>
    <definedName name="DISC2">#REF!</definedName>
    <definedName name="OCAM">#REF!</definedName>
    <definedName name="_Fill">#REF!</definedName>
    <definedName name="DISC6">#REF!</definedName>
    <definedName name="IMPRIMIR_ÁREA_I">#REF!</definedName>
    <definedName name="Dte">#REF!</definedName>
    <definedName name="VALOR_HH">#REF!</definedName>
    <definedName name="ss">#REF!</definedName>
    <definedName name="mar">#REF!</definedName>
    <definedName name="dd">#REF!</definedName>
    <definedName name="Cal">#REF!</definedName>
    <definedName name="PPcu">#REF!</definedName>
    <definedName name="perimeter22">#REF!</definedName>
    <definedName name="Indifrec">#REF!</definedName>
    <definedName name="SG">#REF!</definedName>
    <definedName name="Belev">#REF!</definedName>
    <definedName name="CAMION">#REF!</definedName>
    <definedName name="MI">#REF!</definedName>
    <definedName name="geologos">#REF!</definedName>
    <definedName name="Cincr">#REF!</definedName>
    <definedName name="BALANCE.CONSOLIDADO">#REF!</definedName>
    <definedName name="_26_Mar">#REF!</definedName>
    <definedName name="Cvmill">#REF!</definedName>
    <definedName name="Hcon">#REF!</definedName>
    <definedName name="sa">#REF!</definedName>
    <definedName name="Dt">#REF!</definedName>
    <definedName name="HOJAC3">#REF!</definedName>
    <definedName name="Huamani_Chavez__Pedro">#REF!</definedName>
    <definedName name="q">#REF!</definedName>
    <definedName name="___CAM1">#REF!</definedName>
    <definedName name="FUEL97">#REF!</definedName>
    <definedName name="Aurec">#REF!</definedName>
    <definedName name="perimeter14">#REF!</definedName>
    <definedName name="no">#REF!</definedName>
    <definedName name="EARN">#REF!</definedName>
    <definedName name="DISC9">#REF!</definedName>
    <definedName name="perimeter25">#REF!</definedName>
    <definedName name="VALOR_ESP">#REF!</definedName>
    <definedName name="Efi">#REF!</definedName>
    <definedName name="feb">#REF!</definedName>
    <definedName name="NE_anal">#REF!</definedName>
    <definedName name="ACAM2">#REF!</definedName>
    <definedName name="ia_acum">#REF!</definedName>
    <definedName name="Nuevo">#REF!</definedName>
    <definedName name="EARNINGS">#REF!</definedName>
    <definedName name="RCcu">#REF!</definedName>
    <definedName name="en">#REF!</definedName>
    <definedName name="a">#REF!</definedName>
    <definedName name="sn">#REF!</definedName>
    <definedName name="junio">#REF!</definedName>
    <definedName name="Ca">#REF!</definedName>
    <definedName name="BALANCE">#REF!</definedName>
    <definedName name="RAPID">#REF!</definedName>
    <definedName name="CArec">#REF!</definedName>
    <definedName name="CASHFLOW">#REF!</definedName>
    <definedName name="BDPrecios">#REF!</definedName>
    <definedName name="PR">#REF!</definedName>
    <definedName name="Balham">#REF!</definedName>
    <definedName name="MR">#REF!</definedName>
    <definedName name="FUEL">#REF!</definedName>
    <definedName name="SCO">#REF!</definedName>
    <definedName name="I.A_DIVISION">#REF!</definedName>
    <definedName name="I.A_CONTR">#REF!</definedName>
    <definedName name="Debt_Schedule">#REF!</definedName>
    <definedName name="ACUMULADOS">#REF!</definedName>
    <definedName name="Re">#REF!</definedName>
    <definedName name="RRRR">#REF!</definedName>
    <definedName name="Lcon">#REF!</definedName>
    <definedName name="may">#REF!</definedName>
    <definedName name="DISC0">#REF!</definedName>
    <definedName name="SERVICE">#REF!</definedName>
    <definedName name="CUded">#REF!</definedName>
    <definedName name="RCau">#REF!</definedName>
    <definedName name="Earth">#REF!</definedName>
    <definedName name="sssss">#REF!</definedName>
    <definedName name="FACTURACION">#REF!</definedName>
    <definedName name="eff">#REF!</definedName>
    <definedName name="Curec">#REF!</definedName>
    <definedName name="I.A_EMP_CONT">#REF!</definedName>
    <definedName name="AREA_DE_IMPRESI">#REF!</definedName>
    <definedName name="TC">#REF!</definedName>
    <definedName name="oc">#REF!</definedName>
    <definedName name="ML">#REF!</definedName>
    <definedName name="PFau">#REF!</definedName>
    <definedName name="CONEC">#REF!</definedName>
    <definedName name="peru">#REF!</definedName>
    <definedName name="_CAM1">#REF!</definedName>
    <definedName name="SET">#REF!</definedName>
    <definedName name="perimeter16">#REF!</definedName>
    <definedName name="CV">#REF!</definedName>
    <definedName name="PC">#REF!</definedName>
    <definedName name="porcentaje">#REF!</definedName>
    <definedName name="fe">#REF!</definedName>
    <definedName name="JUN">#REF!</definedName>
    <definedName name="_Sort">#REF!</definedName>
    <definedName name="DISC7">#REF!</definedName>
    <definedName name="TPH">#REF!</definedName>
    <definedName name="perimeter23">#REF!</definedName>
    <definedName name="UTIL">#REF!</definedName>
    <definedName name="DISC8">#REF!</definedName>
    <definedName name="VARANAL">#REF!</definedName>
    <definedName name="RECcu">#REF!</definedName>
    <definedName name="FLETE">#REF!</definedName>
    <definedName name="Pau">#REF!</definedName>
    <definedName name="balance.anual">#REF!</definedName>
    <definedName name="eliza">#REF!</definedName>
    <definedName name="iNDICE">#REF!</definedName>
    <definedName name="COMPLEJIDAD">#REF!</definedName>
    <definedName name="DISC5">#REF!</definedName>
    <definedName name="Cproc">#REF!</definedName>
    <definedName name="MG">#REF!</definedName>
    <definedName name="AUded">#REF!</definedName>
    <definedName name="MM">#REF!</definedName>
    <definedName name="SE">#REF!</definedName>
    <definedName name="zxcx">#REF!</definedName>
    <definedName name="Production_Plan">#REF!</definedName>
    <definedName name="HeaderExport">#REF!</definedName>
    <definedName name="Csmel">#REF!</definedName>
    <definedName name="AUcon">#REF!</definedName>
    <definedName name="perimeter12">#REF!</definedName>
    <definedName name="Cotización">#REF!</definedName>
    <definedName name="Metal_Prices">#REF!</definedName>
    <definedName name="actual">#REF!</definedName>
    <definedName name="EST_MENSUAL">#REF!</definedName>
    <definedName name="Cof">#REF!</definedName>
    <definedName name="GR">#REF!</definedName>
    <definedName name="Cash_Flow1">#REF!</definedName>
    <definedName name="AU">#REF!</definedName>
    <definedName name="RES_COSTOS">#REF!</definedName>
    <definedName name="perimeter24">#REF!</definedName>
    <definedName name="A_impresión_IM">#REF!</definedName>
    <definedName name="ju">#REF!</definedName>
    <definedName name="mes">#REF!</definedName>
    <definedName name="diesel">#REF!</definedName>
    <definedName name="di">#REF!</definedName>
    <definedName name="o">#REF!</definedName>
    <definedName name="g">#REF!</definedName>
    <definedName name="REg">#REF!</definedName>
    <definedName name="Cga">#REF!</definedName>
    <definedName name="fff">#REF!</definedName>
    <definedName name="OSCO">#REF!</definedName>
    <definedName name="mmm">#REF!</definedName>
    <definedName name="perresd2">#REF!</definedName>
    <definedName name="x">#REF!</definedName>
    <definedName name="CU">#REF!</definedName>
    <definedName name="Print_this_area">#REF!</definedName>
    <definedName name="JL">#REF!</definedName>
    <definedName name="_Key1">#REF!</definedName>
    <definedName name="MA">#REF!</definedName>
    <definedName name="dg">#REF!</definedName>
    <definedName name="Ctp">#REF!</definedName>
    <definedName name="AA">#REF!</definedName>
    <definedName name="Esponjamiento_Mineral">#REF!</definedName>
    <definedName hidden="1" localSheetId="1" name="_xlnm._FilterDatabase">'Plantilla criticidad de activos'!$A$4:$AJ$1243</definedName>
  </definedNames>
  <calcPr/>
  <extLst>
    <ext uri="GoogleSheetsCustomDataVersion2">
      <go:sheetsCustomData xmlns:go="http://customooxmlschemas.google.com/" r:id="rId56" roundtripDataChecksum="EktsskKHyhibZgfFNiVX+N6c5xVY4qlyOBEC2zDHJ7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8">
      <text>
        <t xml:space="preserve">======
ID#AAAB2l17KAs
Axel Duran    (2026-03-30 14:32:33)
no se consideran los costos de consumibles</t>
      </text>
    </comment>
  </commentList>
  <extLst>
    <ext uri="GoogleSheetsCustomDataVersion2">
      <go:sheetsCustomData xmlns:go="http://customooxmlschemas.google.com/" r:id="rId1" roundtripDataSignature="AMtx7mjXnbwhaVxVooc3fd1Cc29k7cwWb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144">
      <text>
        <t xml:space="preserve">======
ID#AAAB2l17KBM
tc={C3FEE0E0-84B3-4E05-BC54-50FFC6F2AF38}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G46">
      <text>
        <t xml:space="preserve">======
ID#AAAB2l17KBI
tc={0FA9D017-DFA0-4F12-B16A-0E4F8C15509D}    (2026-03-30 14:32:33)
[Threaded comment]
Your version of Excel allows you to read this threaded comment; however, any edits to it will get removed if the file is opened in a newer version of Excel. Learn more: https://go.microsoft.com/fwlink/?linkid=870924
Comment:
    Motor 50 HP / 2.500.000 / Limite 8 mill</t>
      </text>
    </comment>
    <comment authorId="0" ref="P901">
      <text>
        <t xml:space="preserve">======
ID#AAAB2l17KBE
tc={5579DF6F-2A05-47E8-862A-1E68C13A17A3}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C725">
      <text>
        <t xml:space="preserve">======
ID#AAAB2l17KBA
tc={B2543CBF-9B7D-4344-A0E0-38482B86239E}    (2026-03-30 14:32:33)
[Threaded comment]
Your version of Excel allows you to read this threaded comment; however, any edits to it will get removed if the file is opened in a newer version of Excel. Learn more: https://go.microsoft.com/fwlink/?linkid=870924
Comment:
    Sale muestreador</t>
      </text>
    </comment>
    <comment authorId="0" ref="P8">
      <text>
        <t xml:space="preserve">======
ID#AAAB2l17KA8
tc={86F3E26A-4676-4818-9254-6B5C47B66182}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P11">
      <text>
        <t xml:space="preserve">======
ID#AAAB2l17KA4
tc={F0A4AF0D-EEEA-4E9E-8798-1CED751F3667}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P24">
      <text>
        <t xml:space="preserve">======
ID#AAAB2l17KA0
tc={3B48DCDA-E3F9-43D6-AFFD-082F39CF2D0F}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P23">
      <text>
        <t xml:space="preserve">======
ID#AAAB2l17KAw
tc={953DB62F-A31E-456D-8812-7CCC3380B127}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P15">
      <text>
        <t xml:space="preserve">======
ID#AAAB2l17KAo
tc={552AD4D2-ABB0-4DAB-98AD-D7382AE9DD54}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P19">
      <text>
        <t xml:space="preserve">======
ID#AAAB2l17KAk
tc={512B19EF-4397-42F7-9E7E-170995B50207}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C556">
      <text>
        <t xml:space="preserve">======
ID#AAAB2l17KAg
tc={DD9E2FF2-EFDE-4C0E-BAA2-39F8100C20C2}    (2026-03-30 14:32:33)
[Threaded comment]
Your version of Excel allows you to read this threaded comment; however, any edits to it will get removed if the file is opened in a newer version of Excel. Learn more: https://go.microsoft.com/fwlink/?linkid=870924
Comment:
    Entra muestreador</t>
      </text>
    </comment>
    <comment authorId="0" ref="G47">
      <text>
        <t xml:space="preserve">======
ID#AAAB2l17KAc
tc={7395F139-1F18-4346-9C96-98DB6F851625}    (2026-03-30 14:32:33)
[Threaded comment]
Your version of Excel allows you to read this threaded comment; however, any edits to it will get removed if the file is opened in a newer version of Excel. Learn more: https://go.microsoft.com/fwlink/?linkid=870924
Comment:
    Motor 50 HP / 2.500.000 / Limite 8 mill</t>
      </text>
    </comment>
    <comment authorId="0" ref="G8">
      <text>
        <t xml:space="preserve">======
ID#AAAB2l17KAY
tc={CEBB420F-6225-40F8-AE55-187169AE4A9A}    (2026-03-30 14:32:33)
[Threaded comment]
Your version of Excel allows you to read this threaded comment; however, any edits to it will get removed if the file is opened in a newer version of Excel. Learn more: https://go.microsoft.com/fwlink/?linkid=870924
Comment:
    Inchancables + falla manguera lubricación + paredes chancador: 24 hrs reparar. Prob. 4
Falla lubricación: falla descansos, parada producción: Reparar 24 horas teniendo rpto + tiempo importación (exterior) o interior + costo. Prob. 4
Quema de motor x cortocircuito: Cambio motor ( 12 hrs + consecución) Prob. 3</t>
      </text>
    </comment>
    <comment authorId="0" ref="P12">
      <text>
        <t xml:space="preserve">======
ID#AAAB2l17KAU
tc={C70E7AE9-B10E-4DBC-A950-626F4107DCCA}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V598">
      <text>
        <t xml:space="preserve">======
ID#AAAB2l17KAQ
tc={E78914C9-F6D0-4E3F-AB19-BBD9CD0A1AF6}    (2026-03-30 14:32:33)
[Threaded comment]
Your version of Excel allows you to read this threaded comment; however, any edits to it will get removed if the file is opened in a newer version of Excel. Learn more: https://go.microsoft.com/fwlink/?linkid=870924
Comment:
    25000 USD 50 KVA</t>
      </text>
    </comment>
    <comment authorId="0" ref="P16">
      <text>
        <t xml:space="preserve">======
ID#AAAB2l17KAM
tc={9FE45515-CED6-4439-818A-39FE9B31BDA3}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P5">
      <text>
        <t xml:space="preserve">======
ID#AAAB2l17KAI
tc={DFD5ED67-89AB-416F-8473-8AF9D7D0DC29}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P14">
      <text>
        <t xml:space="preserve">======
ID#AAAB2l17KAE
tc={FBC4556C-83E6-4A51-AEAA-931A62628774}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G6">
      <text>
        <t xml:space="preserve">======
ID#AAAB2l17KAA
tc={2D1D73D5-B27F-4FE6-893E-A9115BC0C462}    (2026-03-30 14:32:33)
[Threaded comment]
Your version of Excel allows you to read this threaded comment; however, any edits to it will get removed if the file is opened in a newer version of Excel. Learn more: https://go.microsoft.com/fwlink/?linkid=870924
Comment:
    Soltura de revestimientos internos de tolvaPresencia de inchancables (puntas de pala) en tolva, detiene alimentación de camiones provenientes de mina y demanda apróx 24 horas en remover Prob. 4
Soltura revestimientos internos de tolva, afectación Rotura correa, detener para cambio, 26 hrs x 30 m Prob. 4</t>
      </text>
    </comment>
    <comment authorId="0" ref="P13">
      <text>
        <t xml:space="preserve">======
ID#AAAB2l17J_8
tc={F8CC97C5-08BD-4BE6-BDD3-86212B2E3252}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P20">
      <text>
        <t xml:space="preserve">======
ID#AAAB2l17J_4
tc={2F077D18-A69F-4E74-82E5-D917BA091D5B}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P17">
      <text>
        <t xml:space="preserve">======
ID#AAAB2l17J_0
tc={433A3DED-F41E-46BF-9D76-F2C39DC14F87}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H6">
      <text>
        <t xml:space="preserve">======
ID#AAAB2l17J_w
tc={95369410-FC66-4CF8-9747-BAA054D9874A}    (2026-03-30 14:32:33)
[Threaded comment]
Your version of Excel allows you to read this threaded comment; however, any edits to it will get removed if the file is opened in a newer version of Excel. Learn more: https://go.microsoft.com/fwlink/?linkid=870924
Comment:
    Soltura de revestimientos internos de tolvaPresencia de inchancables (puntas de pala) en tolva, detiene alimentación de camiones provenientes de mina y demanda apróx 24 horas en remover Prob. 4
Soltura revestimientos internos de tolva, afectación Rotura correa, detener para cambio, 26 hrs x 30 m Prob. 4</t>
      </text>
    </comment>
    <comment authorId="0" ref="P966">
      <text>
        <t xml:space="preserve">======
ID#AAAB2l17J_s
tc={27E55C0C-ED7D-4B74-A8C0-9D6BF4A75CC4}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P18">
      <text>
        <t xml:space="preserve">======
ID#AAAB2l17J_o
tc={A6CCF514-A146-40BE-A8A3-AFC95916A7BD}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C555">
      <text>
        <t xml:space="preserve">======
ID#AAAB2l17J_k
tc={BE237839-B8A0-4349-835E-AD98C176B083}    (2026-03-30 14:32:33)
[Threaded comment]
Your version of Excel allows you to read this threaded comment; however, any edits to it will get removed if the file is opened in a newer version of Excel. Learn more: https://go.microsoft.com/fwlink/?linkid=870924
Comment:
    Entra muestreador</t>
      </text>
    </comment>
    <comment authorId="0" ref="G9">
      <text>
        <t xml:space="preserve">======
ID#AAAB2l17J_g
tc={204DD30D-E01D-43C4-AB59-3C06A14FC0B3}    (2026-03-30 14:32:33)
[Threaded comment]
Your version of Excel allows you to read this threaded comment; however, any edits to it will get removed if the file is opened in a newer version of Excel. Learn more: https://go.microsoft.com/fwlink/?linkid=870924
Comment:
    Quema de motor eléctrico por cortocircuito</t>
      </text>
    </comment>
    <comment authorId="0" ref="P22">
      <text>
        <t xml:space="preserve">======
ID#AAAB2l17J_c
tc={25FBD632-9B56-4D79-9136-BF78513696DD}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P10">
      <text>
        <t xml:space="preserve">======
ID#AAAB2l17J_Y
tc={DC74B50B-8D5B-43FD-BDDB-E9918DC7E353}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H9">
      <text>
        <t xml:space="preserve">======
ID#AAAB2l17J_U
tc={BF37792A-0370-4940-BFA1-455E547F4EE2}    (2026-03-30 14:32:33)
[Threaded comment]
Your version of Excel allows you to read this threaded comment; however, any edits to it will get removed if the file is opened in a newer version of Excel. Learn more: https://go.microsoft.com/fwlink/?linkid=870924
Comment:
    Parada de chancador + costo reparación motor eléctrico</t>
      </text>
    </comment>
    <comment authorId="0" ref="P900">
      <text>
        <t xml:space="preserve">======
ID#AAAB2l17J_Q
tc={0E8476F9-4A52-4A81-9060-778500F3D699}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P7">
      <text>
        <t xml:space="preserve">======
ID#AAAB2l17J_M
tc={4BE54A0B-2512-4A90-8A94-724A8BDCB63B}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P21">
      <text>
        <t xml:space="preserve">======
ID#AAAB2l17J_I
tc={D3DE125C-F0DE-45D2-803B-3A23D04E1943}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G91">
      <text>
        <t xml:space="preserve">======
ID#AAAB2l17J_E
tc={548B36CC-E440-4911-A875-B05811242104}    (2026-03-30 14:32:33)
[Threaded comment]
Your version of Excel allows you to read this threaded comment; however, any edits to it will get removed if the file is opened in a newer version of Excel. Learn more: https://go.microsoft.com/fwlink/?linkid=870924
Comment:
    Falla de eje piñon</t>
      </text>
    </comment>
    <comment authorId="0" ref="H8">
      <text>
        <t xml:space="preserve">======
ID#AAAB2l17J_A
tc={BF4A8DD2-066F-4E13-AE9A-552CFA88CBF8}    (2026-03-30 14:32:33)
[Threaded comment]
Your version of Excel allows you to read this threaded comment; however, any edits to it will get removed if the file is opened in a newer version of Excel. Learn more: https://go.microsoft.com/fwlink/?linkid=870924
Comment:
    Inchancables + falla manguera lubricación + paredes chancador: 24 hrs reparar. Prob. 4
Falla lubricación: falla descansos, parada producción: Reparar 24 horas teniendo rpto + tiempo importación (exterior) o interior + costo. Prob. 4
Quema de motor x cortocircuito: Cambio motor ( 12 hrs + consecución) Prob. 3</t>
      </text>
    </comment>
    <comment authorId="0" ref="P1009">
      <text>
        <t xml:space="preserve">======
ID#AAAB2l17J-8
tc={82C5925F-E032-4153-BD8E-B70C7DD76B59}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C26">
      <text>
        <t xml:space="preserve">======
ID#AAAB2l17J-4
tc={3EFFBFC9-691C-4A09-B928-B13B7A3B9641}    (2026-03-30 14:32:33)
[Threaded comment]
Your version of Excel allows you to read this threaded comment; however, any edits to it will get removed if the file is opened in a newer version of Excel. Learn more: https://go.microsoft.com/fwlink/?linkid=870924
Comment:
    Rieles, cable, motor, estructura, reductor, alarma desplazamiento, control remoto</t>
      </text>
    </comment>
    <comment authorId="0" ref="P6">
      <text>
        <t xml:space="preserve">======
ID#AAAB2l17J-0
tc={A66A99EA-64AE-424C-A7B0-6B9F44758968}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P1049">
      <text>
        <t xml:space="preserve">======
ID#AAAB2l17J-w
tc={90ACBF4C-1F3D-4DF0-AE06-8C80CA4ACDE7}    (2026-03-30 14:32:33)
[Threaded comment]
Your version of Excel allows you to read this threaded comment; however, any edits to it will get removed if the file is opened in a newer version of Excel. Learn more: https://go.microsoft.com/fwlink/?linkid=870924
Comment:
    =7,2-21,5</t>
      </text>
    </comment>
    <comment authorId="0" ref="G72">
      <text>
        <t xml:space="preserve">======
ID#AAAB2l17J-s
tc={B21A17B5-C446-4F50-BBB9-B6999CBEDC48}    (2026-03-30 14:32:33)
[Threaded comment]
Your version of Excel allows you to read this threaded comment; however, any edits to it will get removed if the file is opened in a newer version of Excel. Learn more: https://go.microsoft.com/fwlink/?linkid=870924
Comment:
    Falla de eje piñon</t>
      </text>
    </comment>
  </commentList>
  <extLst>
    <ext uri="GoogleSheetsCustomDataVersion2">
      <go:sheetsCustomData xmlns:go="http://customooxmlschemas.google.com/" r:id="rId1" roundtripDataSignature="AMtx7mi4m2aUNzPlsWMQtvdTQDN4RkiUAA=="/>
    </ext>
  </extLst>
</comments>
</file>

<file path=xl/sharedStrings.xml><?xml version="1.0" encoding="utf-8"?>
<sst xmlns="http://schemas.openxmlformats.org/spreadsheetml/2006/main" count="13925" uniqueCount="3635">
  <si>
    <t xml:space="preserve">Budget Salares Norte </t>
  </si>
  <si>
    <t>Y01</t>
  </si>
  <si>
    <t>Y02</t>
  </si>
  <si>
    <t>Y03</t>
  </si>
  <si>
    <t>Y04</t>
  </si>
  <si>
    <t>Y05</t>
  </si>
  <si>
    <t>Y06</t>
  </si>
  <si>
    <t>Y07</t>
  </si>
  <si>
    <t>Y08</t>
  </si>
  <si>
    <t>Y09</t>
  </si>
  <si>
    <t>Y10</t>
  </si>
  <si>
    <t>Y11</t>
  </si>
  <si>
    <t>Y12</t>
  </si>
  <si>
    <t>total</t>
  </si>
  <si>
    <t xml:space="preserve">Beneficio ton </t>
  </si>
  <si>
    <t>Oz Au</t>
  </si>
  <si>
    <t>Oz Ag</t>
  </si>
  <si>
    <t>Precious Oz Gold (US$)</t>
  </si>
  <si>
    <t>Precious Oz Silver (US$)</t>
  </si>
  <si>
    <t xml:space="preserve">Oz Equivalentes </t>
  </si>
  <si>
    <t>Ingresos</t>
  </si>
  <si>
    <t>Ingresos Ventas</t>
  </si>
  <si>
    <t>Ingresos Au US$</t>
  </si>
  <si>
    <t>Ingresos Ag US$</t>
  </si>
  <si>
    <t>Total Ingresos  US$</t>
  </si>
  <si>
    <t>Total Ingresos  MUS$</t>
  </si>
  <si>
    <t>Egresos</t>
  </si>
  <si>
    <t xml:space="preserve">Egresos Operacionales </t>
  </si>
  <si>
    <t>Gestión Operacional MUS$</t>
  </si>
  <si>
    <t>Total MUS$</t>
  </si>
  <si>
    <t>USD/ton ore</t>
  </si>
  <si>
    <t>USD/Oz Equivalente</t>
  </si>
  <si>
    <t>G&amp;A</t>
  </si>
  <si>
    <t>Mining</t>
  </si>
  <si>
    <t>Ore Re-handle</t>
  </si>
  <si>
    <t>Processing</t>
  </si>
  <si>
    <t>Tailings Transport</t>
  </si>
  <si>
    <t>Cash Cost US$/Oz equivalentes</t>
  </si>
  <si>
    <t>Total Egresos US$</t>
  </si>
  <si>
    <t>Margen</t>
  </si>
  <si>
    <t>Margen Contribución Operacional US$</t>
  </si>
  <si>
    <t>Margen Contribución Operacional MUS$</t>
  </si>
  <si>
    <t xml:space="preserve">  </t>
  </si>
  <si>
    <t>Op. Data</t>
  </si>
  <si>
    <t xml:space="preserve">Datos Operacionales </t>
  </si>
  <si>
    <t>Utilización %</t>
  </si>
  <si>
    <t>días año</t>
  </si>
  <si>
    <t>dias efectivos</t>
  </si>
  <si>
    <t>Oz día Au</t>
  </si>
  <si>
    <t>Oz hr Au</t>
  </si>
  <si>
    <t>Ingresos Hr</t>
  </si>
  <si>
    <t>Ingreso hr Au US$</t>
  </si>
  <si>
    <t>Oz día Ag</t>
  </si>
  <si>
    <t>Oz hr Ag US$</t>
  </si>
  <si>
    <t>Ingreso hr Ag</t>
  </si>
  <si>
    <t>Ingreso total Hr Au, Ag</t>
  </si>
  <si>
    <t xml:space="preserve">Oz Equivalentes día </t>
  </si>
  <si>
    <t>Oz Equivalentes hr</t>
  </si>
  <si>
    <t>Ingreso Oz Equivalentes hr</t>
  </si>
  <si>
    <t>Costos Hr</t>
  </si>
  <si>
    <t>Costos fijos MUS$</t>
  </si>
  <si>
    <t>Total</t>
  </si>
  <si>
    <t>US$/ton ore</t>
  </si>
  <si>
    <t>US$/Oz Equivalente</t>
  </si>
  <si>
    <t>Perdidas Hr</t>
  </si>
  <si>
    <t>Costos e Ingresos por detencion Planta</t>
  </si>
  <si>
    <t>Costos US$/Oz</t>
  </si>
  <si>
    <t>ingresos US$/hr</t>
  </si>
  <si>
    <t>Margen Operacional US$/hr</t>
  </si>
  <si>
    <t>Max</t>
  </si>
  <si>
    <t>Promedio</t>
  </si>
  <si>
    <t>Análisis de criticidad de activos / equipos</t>
  </si>
  <si>
    <t>Sub área</t>
  </si>
  <si>
    <t>Sistema</t>
  </si>
  <si>
    <t>Descripción UT</t>
  </si>
  <si>
    <t>Cod. TAG UT</t>
  </si>
  <si>
    <t>Función principal</t>
  </si>
  <si>
    <t>Evento / Falla</t>
  </si>
  <si>
    <t>Consecuencia de falla / evento</t>
  </si>
  <si>
    <t># equipos instalados</t>
  </si>
  <si>
    <t># equipos requeridos para operación</t>
  </si>
  <si>
    <t>Redundancia</t>
  </si>
  <si>
    <t>Tipo 
Redundancia</t>
  </si>
  <si>
    <t>Down time 
equipo (Días)</t>
  </si>
  <si>
    <t>Afectación a capacidad del proceso</t>
  </si>
  <si>
    <t>Factor de utilización</t>
  </si>
  <si>
    <t>Demora en afectación del proceso (Horas)</t>
  </si>
  <si>
    <t>Pérdida del proceso [Tiempo en horas]</t>
  </si>
  <si>
    <t>Pérdida del proceso [USD]</t>
  </si>
  <si>
    <r>
      <rPr>
        <rFont val="Arial"/>
        <color theme="0"/>
        <sz val="10.0"/>
      </rPr>
      <t xml:space="preserve">¿Es SCE*?
</t>
    </r>
    <r>
      <rPr>
        <rFont val="Arial"/>
        <i/>
        <color theme="0"/>
        <sz val="10.0"/>
      </rPr>
      <t>Safety Critical Equipment</t>
    </r>
  </si>
  <si>
    <t>Evaluación de Riesgo</t>
  </si>
  <si>
    <t>Probabilidad</t>
  </si>
  <si>
    <t>Criticidad</t>
  </si>
  <si>
    <t>Probabilidad / Frecuencia de falla</t>
  </si>
  <si>
    <t>Consecuencias consideradas</t>
  </si>
  <si>
    <t>Consecuencia dominante</t>
  </si>
  <si>
    <t>Consideración de riesgo / criticidad</t>
  </si>
  <si>
    <t>Coeficiente de riesgo</t>
  </si>
  <si>
    <t>Valoración de riesgo</t>
  </si>
  <si>
    <t>5-Casi seguro</t>
  </si>
  <si>
    <t>Moderado</t>
  </si>
  <si>
    <t>Margen operacional</t>
  </si>
  <si>
    <t>Costo operacional</t>
  </si>
  <si>
    <t>Seguridad y Salud</t>
  </si>
  <si>
    <t>Medio Ambiente</t>
  </si>
  <si>
    <t>RSC (Comunidad / Imagen / Cumplimento legal)</t>
  </si>
  <si>
    <t>4-Probable</t>
  </si>
  <si>
    <t>Bajo</t>
  </si>
  <si>
    <t>2100 Chancado Primario &amp; Acopio Mineral Mina</t>
  </si>
  <si>
    <t>2110 Estación de chancador primario</t>
  </si>
  <si>
    <t>Acumulador aire de Chancado</t>
  </si>
  <si>
    <t>2110AR0003</t>
  </si>
  <si>
    <t>Acumulador de aire Chancado</t>
  </si>
  <si>
    <t>Acumular el aire comprimido proveniente del compresor 2110CP0003 y a ser distribuido a supresor de polvo 2110DT0001</t>
  </si>
  <si>
    <t xml:space="preserve">Rotura de acumulador </t>
  </si>
  <si>
    <t>No afectación a producción, 
Área contaminada de polvo sin efectos posteriores en salud de personas, 
Costos de cambio de acumulador</t>
  </si>
  <si>
    <t>Ninguna</t>
  </si>
  <si>
    <t>No</t>
  </si>
  <si>
    <t>2-Improbable</t>
  </si>
  <si>
    <t>3-Posible</t>
  </si>
  <si>
    <t>Tolva Room</t>
  </si>
  <si>
    <t>2110BN0001</t>
  </si>
  <si>
    <t>Tolva room</t>
  </si>
  <si>
    <t>Recepcionar material de camiones (40 Ton) provenientes de mina, tiene una plataforma de descarga y una capacidad es de 80 toneladas (2 camiones) para alimentar chancador de mandíbulas</t>
  </si>
  <si>
    <t>Soltura de revestimientos internos de tolva por presencia de inchancables (puntas de pala) en tolva provenientes de camiones de mina</t>
  </si>
  <si>
    <t>Afectación a producción,
Parada de chancador y alimentación de Stock pile para remover inchancables,  
Costos reparación de tolva</t>
  </si>
  <si>
    <t>Alimentador bandeja Chancador</t>
  </si>
  <si>
    <t>2110FE0021</t>
  </si>
  <si>
    <t>Alimentador bandeja chancado</t>
  </si>
  <si>
    <t>Descargar material proveniente de Tolva Room hacia el chute 2110-CH-0002 que alimenta chancador de mandíbulas</t>
  </si>
  <si>
    <t>Rotura de bandeja por inchancables</t>
  </si>
  <si>
    <t>No afectación a producción, Suspensión alimentación a tolva room, Parada de chancador y alimentación de Stock pile, 
Costo por cambio de bandeja</t>
  </si>
  <si>
    <t>1-Raro</t>
  </si>
  <si>
    <t>Chancador de mandíbula</t>
  </si>
  <si>
    <t>2110CR0001</t>
  </si>
  <si>
    <t>Trituración de mineral proveniente de tolva room 2110BN0001 y ser transferido posteriormente a correa 2110CV0001</t>
  </si>
  <si>
    <t>Parada de chancador por presencia de inchancables</t>
  </si>
  <si>
    <t>Afectación a producción, 
Parada de chancador y alimentación Stock pile, 
Retiro de inchancables</t>
  </si>
  <si>
    <t>Rompedor roca</t>
  </si>
  <si>
    <t>2110RK0001</t>
  </si>
  <si>
    <t xml:space="preserve">Fracturar las rocas de gran tamaño provenientes de Tolva room (2100BN0001) para introducirlas en el chancador de mandíbulas (2110-CR-0001). </t>
  </si>
  <si>
    <t xml:space="preserve">Falla cilindro hidráulico de brazo
</t>
  </si>
  <si>
    <t>No afectación a producción, 
Parada de chancador, 
Costos por cambio de brazo hidráulico</t>
  </si>
  <si>
    <t>Correa descarga Chancador</t>
  </si>
  <si>
    <t>2110CV0001</t>
  </si>
  <si>
    <t>Recepcionar la descarga de producto de chancado (P80: 150 mm) a través del chute de transferencia (2110-CH-0004). Esta correa está equipada con un electroimán (2110-MA-0001) para retirar las piezas metálicas magnéticas que vienen con el mineral.</t>
  </si>
  <si>
    <t>Rotura correa transportadora (64 m)</t>
  </si>
  <si>
    <t>Afectación a producción, 
Parada de Chancador, 
Parada Molino SAG, 
Costos por cambio de correa</t>
  </si>
  <si>
    <t>2120 Alimentación acopio de gruesos</t>
  </si>
  <si>
    <t>Correa alimentación acopio</t>
  </si>
  <si>
    <t>2120CV0002</t>
  </si>
  <si>
    <t>Recibir el producto descargado de correa descarga de chancador  2120-CV-0001 y alimentar el acopio de mineral a través de chute 2120-CH-0006. La correa cuenta con un pesó metro (2120-SC-0001), el cual permite la medición y el registro de la masa de alimentación de mineral</t>
  </si>
  <si>
    <t>Rotura correa transportadora (295 m)</t>
  </si>
  <si>
    <t>Sistema supresión de polvo</t>
  </si>
  <si>
    <t>2110DT0001</t>
  </si>
  <si>
    <t>Sistema supresión polvo</t>
  </si>
  <si>
    <t>Producir neblina a partir de aire comprimido inyectado a las boquillas de aspersión de agua encapsulando
el polvo generado en Tolva Room, en chancador primario y su respectiva correa de descarga</t>
  </si>
  <si>
    <t>Rotura cámara de niebla</t>
  </si>
  <si>
    <t>Área contaminada de polvo sin efectos posteriores en salud de personas, 
No afectación en producción, 
Cambio cámara de niebla</t>
  </si>
  <si>
    <t>2110DT0002</t>
  </si>
  <si>
    <t>Producir neblina a partir de aire comprimido inyectado a las boquillas de aspersión de agua encapsulando
el polvo generado en correa alimentación acopio</t>
  </si>
  <si>
    <t>Alto</t>
  </si>
  <si>
    <t>Tolva descarga electroimán</t>
  </si>
  <si>
    <t>2110BN0002</t>
  </si>
  <si>
    <t>Almacenar la descarga de electroimán de correa descarga de chancador 2110CV0001</t>
  </si>
  <si>
    <t>Rotura en paredes de tolva</t>
  </si>
  <si>
    <t>No afectación a producción, 
Costos reparación de tolva</t>
  </si>
  <si>
    <t>Tecle torre de transferencia</t>
  </si>
  <si>
    <t>2110HT0003</t>
  </si>
  <si>
    <t>Tecle descarga chancador</t>
  </si>
  <si>
    <t>Izar y desplazar cargas en el área de chancado primario</t>
  </si>
  <si>
    <t>Falla de cableado / cadena</t>
  </si>
  <si>
    <t>No afectación a operaciones, 
Cambiar el tecle</t>
  </si>
  <si>
    <t>Carro electroimán</t>
  </si>
  <si>
    <t>2110HT0002</t>
  </si>
  <si>
    <t xml:space="preserve">Desplazar material recuperado a tolva electroimán de correa descarga de chancador 2110CV0001 </t>
  </si>
  <si>
    <t>Chute descarga Chancador</t>
  </si>
  <si>
    <t>2110CH0004</t>
  </si>
  <si>
    <t>Almacenar la descarga de chancador 2110CR0001 y transferir a la correa descarga de chancador 2110CV0001</t>
  </si>
  <si>
    <t>Rotura de chute</t>
  </si>
  <si>
    <t>No afectación a producción, 
Parada de chancador de mandíbula,  
Costos por reparación de chute</t>
  </si>
  <si>
    <t>Chute descarga correa</t>
  </si>
  <si>
    <t>2110CH0005</t>
  </si>
  <si>
    <t>Recepcionar el producto descargado de correa descarga de chancador 2120-CV-0001 y alimentar la correa alimentación de acopio 2110-CV-0002</t>
  </si>
  <si>
    <t>No afectación a producción, 
Parada de chancador de mandíbula, 
Detención de correa, 
Costos por reparación de chute</t>
  </si>
  <si>
    <t>Puente grúa Chancador</t>
  </si>
  <si>
    <t>2110CN0003</t>
  </si>
  <si>
    <t>Puente grúa chancador</t>
  </si>
  <si>
    <t>Falla de cable</t>
  </si>
  <si>
    <t>Fatalidad o incapacidad permanente a una persona, No afectación a operaciones, 
Cambio de cable</t>
  </si>
  <si>
    <t>Puente grúa tolva ROM</t>
  </si>
  <si>
    <t>2110CN0022</t>
  </si>
  <si>
    <t>Izaje y traslado de cargas en tolva room 2110BN0001</t>
  </si>
  <si>
    <t>Compresor aire de Chancado</t>
  </si>
  <si>
    <t>2110CP0003</t>
  </si>
  <si>
    <t>Compresor de aire Chancado</t>
  </si>
  <si>
    <t>Comprimir el aire,  alimentar el acumulador 2110AR0001 y posteriormente alimentar el supresor de polvo 2110DT0001</t>
  </si>
  <si>
    <t>Falla de compresor</t>
  </si>
  <si>
    <t>Área contaminada de polvo sin efectos posteriores en salud de personas, 
No afectación a producción, 
Costos por cambio de  compresor</t>
  </si>
  <si>
    <t>Tecle chancador primario</t>
  </si>
  <si>
    <t>2110HT0042</t>
  </si>
  <si>
    <t>Bomba agua supresión de polvo</t>
  </si>
  <si>
    <t>2110PU0043</t>
  </si>
  <si>
    <t>Bomba agua supresión polvo</t>
  </si>
  <si>
    <t>Transferir agua de estanque 2110TK0007 a supresor de polvo 2110DT0001</t>
  </si>
  <si>
    <t>Falla de bomba hidráulica</t>
  </si>
  <si>
    <t xml:space="preserve">Área contaminada de polvo sin efectos posteriores en salud de personas, 
No afectación en producción, 
Costo asociados a cambio de bomba </t>
  </si>
  <si>
    <t>Estanque de agua fresca Chancado</t>
  </si>
  <si>
    <t>2110TK0007</t>
  </si>
  <si>
    <t>Estanque agua fresca chancador</t>
  </si>
  <si>
    <t>Almacenar agua fresca proveniente de 4100TK0042 para alimentar a través de 2110PU0043 el supresor de polvo 2110DT0001</t>
  </si>
  <si>
    <t>Falla de contención de tanque</t>
  </si>
  <si>
    <t>No afectación a producción, Reparación de estructura de estanque</t>
  </si>
  <si>
    <t>Chute alimentación acopio</t>
  </si>
  <si>
    <t>2120CH0006</t>
  </si>
  <si>
    <t>Alimentar el acopio de mineral con la descarga recibida de correa alimentación acopio 2120-CV-0002. El acopio de mineral permite alimentar a la planta de manera continua, hasta 10 horas después de cualquier parada del sistema de chancado (capacidad viva de 2.900 t).</t>
  </si>
  <si>
    <t>No afectación a producción, 
Parada de chancador de mandíbula, 
Costos por reparación de chute</t>
  </si>
  <si>
    <t>Sistema bajada polea cabeza (tecle + motor eléctrico)</t>
  </si>
  <si>
    <t>2120ME0004</t>
  </si>
  <si>
    <t>Sistema bajada polea cabeza</t>
  </si>
  <si>
    <t>Bajar polea cabeza de correa para mantención</t>
  </si>
  <si>
    <t>2200 Pila acopio de gruesos</t>
  </si>
  <si>
    <t>2210 Acopio de gruesos &amp; sistema recuperación</t>
  </si>
  <si>
    <t>Chute descarga acopio</t>
  </si>
  <si>
    <t>2210CH0014</t>
  </si>
  <si>
    <t>Recepcionar material chancado del acopio de mineral y conducir a alimentador placas 2210FE0001</t>
  </si>
  <si>
    <t>No afectación directa a operación, 
Parada de feeder 2210FE0001, 
Costos por reparación de chute</t>
  </si>
  <si>
    <t>2210CH0015</t>
  </si>
  <si>
    <t>Recepcionar material chancado del acopio de mineral y conducir a alimentador placas 2210FE0002</t>
  </si>
  <si>
    <t>No afectación directa a operación, 
Parada de feeder 2210FE0002, 
Costos por reparación de chute</t>
  </si>
  <si>
    <t>Sistema de lanzas</t>
  </si>
  <si>
    <t>2210ME0001</t>
  </si>
  <si>
    <t>Bloquear o habilitar la descarga de chute 2210CH0069 y alimentar apron feeder 2210FE0001</t>
  </si>
  <si>
    <t xml:space="preserve">Falla en cilindro hidráulico </t>
  </si>
  <si>
    <t>Afectación no directa a operaciones (20%), 
Detención de feeder 2210FE0001, 
Costos por cambio de cilindro hidráulico</t>
  </si>
  <si>
    <t>2210ME0002</t>
  </si>
  <si>
    <t>Bloquear o habilitar la descarga de chute 2210CH0070 y alimentar apron feeder 2210FE0002</t>
  </si>
  <si>
    <t>Chute descarga alimentador</t>
  </si>
  <si>
    <t>2210CH0018</t>
  </si>
  <si>
    <t>Recepcionar mineral chancado de alimentador 2210-FE-0001 y descargar a 2210-CV-0003 correa alimentación Molino SAG</t>
  </si>
  <si>
    <t>No afectación directa a operación, 
Parada de feeder 2210FE0001 que alimenta correa de Molino SAG, 
Costos por reparación de chute</t>
  </si>
  <si>
    <t>2210CH0019</t>
  </si>
  <si>
    <t>Recepcionar mineral chancado de alimentador 2210-FE-0002 y descargar a 2210-CV-0003 correa alimentación Molino SAG</t>
  </si>
  <si>
    <t>No afectación directa a operación, 
Parada de feeder 2210FE0002 que alimenta correa de Molino SAG, 
Costos por reparación de chute</t>
  </si>
  <si>
    <t>2210CH0021</t>
  </si>
  <si>
    <t>Almacenar la descarga mineral grueso de correa alimentación SAG 2210CV0003 y posteriormente alimentar Molino SAG</t>
  </si>
  <si>
    <t>Afectación a operaciones, 
Detención de correa alimentación SAG, 
Costos por reparación de chute</t>
  </si>
  <si>
    <t>Chute descarga lanzas</t>
  </si>
  <si>
    <t>2210CH0069</t>
  </si>
  <si>
    <t>Almacenar material grueso proveniente de descarga de lanzas 2210ME0001 para alimentar apron feeder 2210FE0001</t>
  </si>
  <si>
    <t>Afectación no directa a operaciones (20%), 
Detención de feeder 2210FE0001, 
Costos por reparación de chute</t>
  </si>
  <si>
    <t>2210CH0070</t>
  </si>
  <si>
    <t>Almacenar material grueso proveniente de descarga de lanzas 2210ME0002 para alimentar apron feeder 2210FE0002</t>
  </si>
  <si>
    <t>Afectación no directa a operaciones (20%), 
Detención de feeder 2210FE0002, 
Costos por reparación de chute</t>
  </si>
  <si>
    <t>Chute descarga material fino</t>
  </si>
  <si>
    <t>2210CH0071</t>
  </si>
  <si>
    <t>Almacenar material fino proveniente de apron feeder 2210FE0001 y transferir a correa alimentación SAG 2210CV0003</t>
  </si>
  <si>
    <t>2210CH0072</t>
  </si>
  <si>
    <t>Almacenar material fino proveniente de apron feeder 2210FE0002 y transferir a correa alimentación SAG 2210CV0003</t>
  </si>
  <si>
    <t>Correa alimentación SAG</t>
  </si>
  <si>
    <t>2210CV0003</t>
  </si>
  <si>
    <t xml:space="preserve">Obtener el material chancado de alimentadores 2210FE0001/2210FE0002 y conducir a 2210CH0018/ 2210CH0019 para alimentar el Molino SAG </t>
  </si>
  <si>
    <t>Rotura de correa alimentación a Molino SAG (277 m)</t>
  </si>
  <si>
    <t>Afectación a operaciones, 
Parada de Molino SAG, 
Cambio de correa</t>
  </si>
  <si>
    <t>2210DT0003</t>
  </si>
  <si>
    <t>Suprimir por medio de neblina seca de agua el polvo generado por la descarga de los alimentadores 2210FE0001/ 2210FE0002</t>
  </si>
  <si>
    <t>Área contaminada de polvo sin efectos,  posteriores en salud de personas, 
No afecta a operaciones, 
Costos por cambio cámara de niebla</t>
  </si>
  <si>
    <t>Ventilador túnel emergencia</t>
  </si>
  <si>
    <t>2210FA0008</t>
  </si>
  <si>
    <t>Mantener un nivel adecuado de ventilación en túnel de emergencia para mantención de feeder y correas</t>
  </si>
  <si>
    <t>Falla en motor eléctrico por cortocircuito</t>
  </si>
  <si>
    <t>Tratamiento médico no restrictivo, No afectación a operaciones 
Costos por cambio de conjunto ventilador - motor eléctrico</t>
  </si>
  <si>
    <t>Si</t>
  </si>
  <si>
    <t>Alimentador placas</t>
  </si>
  <si>
    <t>2210FE0001</t>
  </si>
  <si>
    <t>Conducir mineral chancado de acopio hacia la correa transportadora 2210-CV-0003</t>
  </si>
  <si>
    <t xml:space="preserve">Falla de polea de alimentador
</t>
  </si>
  <si>
    <t>2210FE0002</t>
  </si>
  <si>
    <t>Tecle servicio acopio</t>
  </si>
  <si>
    <t>2210HT0005</t>
  </si>
  <si>
    <t>Izar y desplazar cargas en el área de acopio de material</t>
  </si>
  <si>
    <t>2210HT0006</t>
  </si>
  <si>
    <t>2210HT0007</t>
  </si>
  <si>
    <t>Unidad hidráulica sistema lanzas</t>
  </si>
  <si>
    <t>2210HY0003</t>
  </si>
  <si>
    <t>1 Op + 1: Suministrar potencia hidráulica al sistema de lanzas 2210ME0001/2210ME0002</t>
  </si>
  <si>
    <t>No afectación a producción, Parada de feeder, Parada de correa alimentación SAG, Parada Molino SAG, Cambiar bomba hidráulica</t>
  </si>
  <si>
    <t>Activa</t>
  </si>
  <si>
    <t>2210HY0007</t>
  </si>
  <si>
    <t>Plataforma operación spile bar</t>
  </si>
  <si>
    <t>2210ME0005</t>
  </si>
  <si>
    <t>Plataforma operación lanzas</t>
  </si>
  <si>
    <t>Desplazar el sistema de lanzas para operar</t>
  </si>
  <si>
    <t>Falla en estructura de plataforma</t>
  </si>
  <si>
    <t>No afectación a operaciones, 
Reparar la plataforma</t>
  </si>
  <si>
    <t>2210ME0006</t>
  </si>
  <si>
    <t>Bomba sumidero acopio</t>
  </si>
  <si>
    <t>2210PU0051</t>
  </si>
  <si>
    <t>Transferir derrames recolectados en Stock pile a contención de derrames Molienda</t>
  </si>
  <si>
    <t>No afecta operaciones, 
Costo por cambio de bomba</t>
  </si>
  <si>
    <t>3100 Planta de Molienda</t>
  </si>
  <si>
    <t>3110 Molienda SAG</t>
  </si>
  <si>
    <t>Tolva desechos</t>
  </si>
  <si>
    <t>3110BN0006</t>
  </si>
  <si>
    <t>Recepcionar el material trasladado por el electroimán a través del carro 3110HT0012 producto de limpieza en correa transferencia pebbles 3110-CV-0004</t>
  </si>
  <si>
    <t>No afectación a operación de planta, 
Costos reparación de tolva</t>
  </si>
  <si>
    <t>Contenedor bolas SAG</t>
  </si>
  <si>
    <t>3110BN0011</t>
  </si>
  <si>
    <t>Depositar las bolas descargados de camiones para transferir al capacho de bolas de Molino SAG cuando sea requerido</t>
  </si>
  <si>
    <t>No afectación a producción, Costos reparación de tolva</t>
  </si>
  <si>
    <t>Cajón alimentador hidrociclón</t>
  </si>
  <si>
    <t>3110BX0026</t>
  </si>
  <si>
    <t>Recepcionar la pulpa que descarga el Molino SAG, el Molino de Bolas y el agua a molienda para alimentar con pulpa a la batería de hidrociclones</t>
  </si>
  <si>
    <t>Rotura de paredes de cajón</t>
  </si>
  <si>
    <t>Afectación a operaciones, 
Parada Molinos SAG y Bolas, 
Costos por reparación de cajón</t>
  </si>
  <si>
    <t>Chute intermedio alimentación</t>
  </si>
  <si>
    <t>3110CH0026</t>
  </si>
  <si>
    <t>Recepción de bolas, agua, mineral y lechada de cal para alimentación del Molino SAG</t>
  </si>
  <si>
    <t>Afectación a operaciones, 
Parada Molino SAG, 
Costos por reparación de chute</t>
  </si>
  <si>
    <t>Chute Trommel SAG</t>
  </si>
  <si>
    <t>3110CH0028</t>
  </si>
  <si>
    <t>Recepcionar la pulpa bajo tamaño proveniente de Trommel SAG hacia 3110BX0026 Cajón alimentación hidrociclones</t>
  </si>
  <si>
    <t>Chute sobre tamaño Trommel</t>
  </si>
  <si>
    <t>3110CH0029</t>
  </si>
  <si>
    <t>Alimentar la correa transferencia de pebbles 3110-CV-0004 con mineral proveniente de Molino SAG</t>
  </si>
  <si>
    <t>Chute descarga pebbles</t>
  </si>
  <si>
    <t>3110CH0030</t>
  </si>
  <si>
    <t xml:space="preserve">Recepcionar la descarga de la correa transferencia de pebbles3110-CV-0004 para posteriormente alimentar la correa retorno de pebbles 3110-CV-0005 </t>
  </si>
  <si>
    <t>Chute retorno pebbles</t>
  </si>
  <si>
    <t>3110CH0031</t>
  </si>
  <si>
    <t>Almacenar los pebbles provenientes de correa retorno de pebbles 3110-CV-0005 y retornar a correa alimentación SAG 2110CV0003</t>
  </si>
  <si>
    <t>3120 Molienda Bolas</t>
  </si>
  <si>
    <t>Circuito cerrado de televisión CCTV</t>
  </si>
  <si>
    <t>3120CT0001</t>
  </si>
  <si>
    <t>CCTV molienda bolas</t>
  </si>
  <si>
    <t>Sistema de videovigilancia diseñada para supervisar el proceso.</t>
  </si>
  <si>
    <t>Falla de gabinete</t>
  </si>
  <si>
    <t>No afectación a producción, Cambio de gabinete</t>
  </si>
  <si>
    <t>Chute rebose pebbles</t>
  </si>
  <si>
    <t>3110CH0073</t>
  </si>
  <si>
    <t>Almacenar el rebose de pebbles de chute descarga 3110CH0030 para transferir a 3110CV0005 correa retorno de pebbles</t>
  </si>
  <si>
    <t>Correa transferencia pebbles</t>
  </si>
  <si>
    <t>3110CV0004</t>
  </si>
  <si>
    <t>Recepcionar de chute 3110CH0029 los pebbles sin chancar clasificado en el trommel 3120-SN-010 y alimentar chute 3110CH0030 que alimenta correa retorno de pebbles</t>
  </si>
  <si>
    <t>Rotura de correa (143 m)</t>
  </si>
  <si>
    <t>Afectación a operaciones, 
Parada Molino SAG, 
Cambio de correa</t>
  </si>
  <si>
    <t>Correa retorno pebbles</t>
  </si>
  <si>
    <t>3110CV0005</t>
  </si>
  <si>
    <t>Recepcionar de chute 3110CH0030 los pebbles descargados de 3110CV0004  correa transferencia de pebbles para retornar a la alimentación de Molino SAG</t>
  </si>
  <si>
    <t>Rotura de correa (38 m)</t>
  </si>
  <si>
    <t>Tolva bolas SAG</t>
  </si>
  <si>
    <t>3110HO0001</t>
  </si>
  <si>
    <t>Recepcionar las bolas de la tolva de alimentación de bolas del SAG 3110HO0001 y descarga al chute intermedio alimentación 3110-CH-0026</t>
  </si>
  <si>
    <t>No afectación a producción, 
Costos por reparación de tolva</t>
  </si>
  <si>
    <t>Tecle removedor pernos</t>
  </si>
  <si>
    <t>3110HT0011</t>
  </si>
  <si>
    <t>Sujetar martillo bota pernos de Molino SAG</t>
  </si>
  <si>
    <t>Tecle correa</t>
  </si>
  <si>
    <t>3110HT0012</t>
  </si>
  <si>
    <t>Tecle electroimán de correa</t>
  </si>
  <si>
    <t>Izar y trasladar carga en 3110CV0004 correa transferencia de pebbles</t>
  </si>
  <si>
    <t>3110HT0019</t>
  </si>
  <si>
    <t>Izar y trasladar en correa</t>
  </si>
  <si>
    <t>Tecle tubería alimentación ciclón</t>
  </si>
  <si>
    <t>3110HT0043</t>
  </si>
  <si>
    <t>Izar y trasladar tubería alimentación ciclón</t>
  </si>
  <si>
    <t>Capacho bolas SAG</t>
  </si>
  <si>
    <t>3110KB0001</t>
  </si>
  <si>
    <t>Recepcionar las bolas transferidas de tolva de almacenamiento (3110-BN-0011)  y posterior transporte mediante puente grúa hasta la tolva de alimentación de bolas del SAG (3110HO0001)</t>
  </si>
  <si>
    <t>Falla eje de capacho</t>
  </si>
  <si>
    <t>No afectación a operación de planta, 
Costos por cambio de eje de capacho</t>
  </si>
  <si>
    <t>Manipuladora revestimientos SAG</t>
  </si>
  <si>
    <t>3110LH0001</t>
  </si>
  <si>
    <t>Posicionar los revestimientos en interior de Molino SAG en mantención</t>
  </si>
  <si>
    <t>Falla cilindro hidráulico de manipuladora</t>
  </si>
  <si>
    <t>Afectación a producción, Alarga parada de mantención de Molino SAG , 
Cambio de cilindro</t>
  </si>
  <si>
    <t>Inching Drive Molino SAG</t>
  </si>
  <si>
    <t>3110ME0011</t>
  </si>
  <si>
    <t>Inching drive molino SAG</t>
  </si>
  <si>
    <t>Mover el Molino SAG de forma lenta en mantención</t>
  </si>
  <si>
    <t>Rotura componentes internos inching drive</t>
  </si>
  <si>
    <t>Afectación a producción, Alarga parada de mantención de Molino SAG 
Cambio de inching drive</t>
  </si>
  <si>
    <t>Removedor pernos SAG</t>
  </si>
  <si>
    <t>3110ME0012</t>
  </si>
  <si>
    <t>Remover pernos de Molino SAG</t>
  </si>
  <si>
    <t>Falla en unidad hidráulica</t>
  </si>
  <si>
    <t>Afectación a producción, Cambio de unidad hidráulica</t>
  </si>
  <si>
    <t>Molino SAG</t>
  </si>
  <si>
    <t>3110MI0001</t>
  </si>
  <si>
    <t>Reducir el tamaño que permita entregar a la siguiente etapa de molienda un tamaño de transferencia T80 entre 1 y 2 mm. 
La descarga del SAG es clasificada en el trommel (3120-SN-010), el material fino es descargado al cajón de alimentación hidrociclones y el
material grueso (pebbles) es recirculado a la alimentación del SAG.</t>
  </si>
  <si>
    <t xml:space="preserve">Falla motor eléctrico por cortocircuito
</t>
  </si>
  <si>
    <t>Afectación a operaciones, 
Parada de Molino SAG, 
Costos por cambio de motor eléctrico</t>
  </si>
  <si>
    <t>Bomba alimentación hidrociclón</t>
  </si>
  <si>
    <t>3110PU0061</t>
  </si>
  <si>
    <t xml:space="preserve">1 Op + 1 Stby: Proporcionar el flujo de alimentación a la batería de hidrociclones  (3110CY0001) </t>
  </si>
  <si>
    <t>No afectación a operaciones, 
Costos de reparación de bomba</t>
  </si>
  <si>
    <t>3110PU0062</t>
  </si>
  <si>
    <t>Bomba sumidero Molienda</t>
  </si>
  <si>
    <t>3110PU0063</t>
  </si>
  <si>
    <t>Bomba sumidero molienda</t>
  </si>
  <si>
    <t>1 Op + 1 Stby: Transferir los derrames desde sumidero Molienda a área Lixiviación</t>
  </si>
  <si>
    <t>No afectación a producción, Costos por reparación de bomba</t>
  </si>
  <si>
    <t>3110PU0064</t>
  </si>
  <si>
    <t>Activos para control de emergencias</t>
  </si>
  <si>
    <t>Lavaojos</t>
  </si>
  <si>
    <t>3110SY0005</t>
  </si>
  <si>
    <t>Ducha y lava ojos emergencia</t>
  </si>
  <si>
    <t>Lavado de ojos de forma rápida y eficaz cuando una persona se ve afectada ante sustancias peligrosas</t>
  </si>
  <si>
    <t>Rotura línea alimentación agua potable / neutra</t>
  </si>
  <si>
    <t>No afectación a producción, Pérdida de visión de la persona</t>
  </si>
  <si>
    <t>Sistema analizador tamaño partícula</t>
  </si>
  <si>
    <t>3120AY0001</t>
  </si>
  <si>
    <t>Analizador tamaño partícula</t>
  </si>
  <si>
    <t>Analizar el tamaño de partícula de la muestra obtenida de muestreador 3120SA0004</t>
  </si>
  <si>
    <t>Falla analizador</t>
  </si>
  <si>
    <t>No afecta a operaciones, 
Costos por cambio analizador</t>
  </si>
  <si>
    <t>Tolva bolas Molino</t>
  </si>
  <si>
    <t>3120BN0012</t>
  </si>
  <si>
    <t>Contener las bolas requeridas proveniente de camiones para transferir a capacho 3120-KB-0002</t>
  </si>
  <si>
    <t>No afectación a operaciones, 
Costos por reparación de tolva</t>
  </si>
  <si>
    <t>3120CH0032</t>
  </si>
  <si>
    <t>Recibir la descarga de bolas desde tolva 3120-HO-0002, agua y mineral proveniente de hidro ciclones para alimentar el Molino de Bolas.</t>
  </si>
  <si>
    <t>Afectación a operaciones, 
Parada Molino Bolas
Costos por reparación de chute</t>
  </si>
  <si>
    <t>Chute desechos</t>
  </si>
  <si>
    <t>3120CH0034</t>
  </si>
  <si>
    <t>Recepcionar la descarga de desechos proveniente de Molino Bolas</t>
  </si>
  <si>
    <t>No afectación a operaciones, 
Costos por reparación de chute</t>
  </si>
  <si>
    <t>Chute Trommel Molino Bolas</t>
  </si>
  <si>
    <t>3120CH0058</t>
  </si>
  <si>
    <t>Recepcionar la pulpa bajo tamaño proveniente de Trommel de Molino Bolas</t>
  </si>
  <si>
    <t>Afectación a operaciones, 
Costos por reparación de chute</t>
  </si>
  <si>
    <t>3110CT0001</t>
  </si>
  <si>
    <t>CCTV molienda SAG</t>
  </si>
  <si>
    <t>Puente grúa hidrociclones</t>
  </si>
  <si>
    <t>3120CN0006</t>
  </si>
  <si>
    <t>Izar y desplazar cargas en hidrociclones 3120-CY-0001</t>
  </si>
  <si>
    <t>Fatalidad o incapacidad permanente a una persona, Afectación a producción, Cambio de cable</t>
  </si>
  <si>
    <t>Batería de hidrociclones Molienda</t>
  </si>
  <si>
    <t>3120CY0001</t>
  </si>
  <si>
    <t>Hidrociclón molienda</t>
  </si>
  <si>
    <t>10 Operando + 4 Standby: Clasificar el mineral al tamaño producto requerido para Lixiviación, mediante la separación del mineral en dos fracciones, el rebose que contiene los sólidos finos y la descarga que contiene los sólidos más gruesos.</t>
  </si>
  <si>
    <t>Rotura de estructura de hidrociclón</t>
  </si>
  <si>
    <t>No afectación a producción, 
Costo de cambio de hidrociclón</t>
  </si>
  <si>
    <t>Tolva Bolas</t>
  </si>
  <si>
    <t>3120HO0002</t>
  </si>
  <si>
    <t>Recibir la descarga de bolas del capacho 3120-KB-0002 mediante puente grúa y posterior alimentación a 3120CH0032 chute intermedio alimentación a Molino Bolas</t>
  </si>
  <si>
    <t>3120HT0014</t>
  </si>
  <si>
    <t>Izar y trasladar tubería alimentación ciclón 3120-CY-0001</t>
  </si>
  <si>
    <t>Contenedor bolas</t>
  </si>
  <si>
    <t>3120KB0002</t>
  </si>
  <si>
    <t>Depositar las bolas que serán transferidas desde 3120-BN-0012 tolva desechos  hacia 3120-HO-0002 tolva de bolas cuando sea requerido.</t>
  </si>
  <si>
    <t>Removedor pernos</t>
  </si>
  <si>
    <t>3120ME0013</t>
  </si>
  <si>
    <t>Remover pernos de Molino Bolas</t>
  </si>
  <si>
    <t>No afecta operación de Molienda, 
Cambio de unidad hidráulica</t>
  </si>
  <si>
    <t>Inching Drive Molino Bolas</t>
  </si>
  <si>
    <t>3120ME0014</t>
  </si>
  <si>
    <t>Inching drive molino Bolas</t>
  </si>
  <si>
    <t>Mover el Molino de forma lenta en mantención</t>
  </si>
  <si>
    <t>Afectación a producción, Alarga parada de mantención de Molino Bolas
Cambio de inching drive</t>
  </si>
  <si>
    <t>Molino Bolas</t>
  </si>
  <si>
    <t>3120MI0002</t>
  </si>
  <si>
    <t>Molino bolas</t>
  </si>
  <si>
    <t>Reducir de tamaño el material grueso que descarga de 3120-CY-0001 batería de hidrociclones con el fin de contribuir a obtener la distribución granulométrica con tamaño producto P80 =75 μm para el circuito global de molienda (SAG-Molienda bolas).</t>
  </si>
  <si>
    <t>Afectación a operaciones, 
Parada de Molino Bolas, 
Costos por cambio de motor eléctrico</t>
  </si>
  <si>
    <t>Bomba rechazo muestreo</t>
  </si>
  <si>
    <t>3120PU0085</t>
  </si>
  <si>
    <t>Retornar la muestra obtenida a través de 3120SA0004 muestreador hacia 3120BX0003/4 cajones descarga de harneros</t>
  </si>
  <si>
    <t>No afecta operación de Molienda, 
cambio de bomba</t>
  </si>
  <si>
    <t>Muestreador rebose hidrociclones</t>
  </si>
  <si>
    <t>3120SA0004</t>
  </si>
  <si>
    <t>Obtener una muestra del rebose de hidrociclones 3120-CY-0001</t>
  </si>
  <si>
    <t>Falla de motor eléctrico por cortocircuito</t>
  </si>
  <si>
    <t>No afecta operación de Molienda, 
Cambiar motorreductor</t>
  </si>
  <si>
    <t>Harnero rechazo</t>
  </si>
  <si>
    <t>3120SN0008</t>
  </si>
  <si>
    <t>1 Op + 1 Stby: Clasificar material fino proveniente de hidrociclones 3120-CY-0001 hacia 3120SA0004 muestreador</t>
  </si>
  <si>
    <t>Falla de frame, viga y laterales de harnero por fisura</t>
  </si>
  <si>
    <t xml:space="preserve">No afecta operación de Molienda, 
Cambiar frame, viga y laterales de harnero </t>
  </si>
  <si>
    <t>3120SN0009</t>
  </si>
  <si>
    <t>3200 Lixiviación</t>
  </si>
  <si>
    <t>3210 Espesamiento de Lixiviación</t>
  </si>
  <si>
    <t>Bomba descarga espesador</t>
  </si>
  <si>
    <t>3210PU0081</t>
  </si>
  <si>
    <t>Bomba descarga espesador lixiviación</t>
  </si>
  <si>
    <t>1 Op + 1 Stby: Descargar el sólido de espesador lixiviación 3210-TH-0001 a muestreo primario</t>
  </si>
  <si>
    <t>No afectación a producción, Cambio de componentes internos de bombas</t>
  </si>
  <si>
    <t>3210PU0082</t>
  </si>
  <si>
    <t>Bomba sumidero espesador lixiviación</t>
  </si>
  <si>
    <t>3210PU0084</t>
  </si>
  <si>
    <t>Descargar derrames desde sumidero hacia 3210-TH-0001 Espesador de Lixiviación</t>
  </si>
  <si>
    <t>No afectación a producción, Cambio de componentes internos de bomba</t>
  </si>
  <si>
    <t>Muestreador primario alimentación lixiviación</t>
  </si>
  <si>
    <t>3210SA0001</t>
  </si>
  <si>
    <t>Muestreador primario lixiviación</t>
  </si>
  <si>
    <t>Cortar una fracción de flujo principal proveniente de 3210-PU-0081/0082 bomba descarga espesador o solución detox proveniente de 3700-PU-0271/0272 para muestreo</t>
  </si>
  <si>
    <t>No afectación a producción, Cambiar motorreductor</t>
  </si>
  <si>
    <t>Muestreador secundario alimentación lixiviación</t>
  </si>
  <si>
    <t>3210SA0002</t>
  </si>
  <si>
    <t>Muestreador secundario lixiviación</t>
  </si>
  <si>
    <t>Cortar una fracción de muestra proveniente del muestreador primario para muestreo o rechazo de muestra</t>
  </si>
  <si>
    <t>Muestreador terciario alimentación lixiviación</t>
  </si>
  <si>
    <t>3210SA0003</t>
  </si>
  <si>
    <t>Muestreador terciario lixiviación</t>
  </si>
  <si>
    <t>Cortar una fracción de muestra proveniente del muestreador secundario para muestreo o rechazo de muestra</t>
  </si>
  <si>
    <t>Espesador Lixiviación</t>
  </si>
  <si>
    <t>3210TH0001</t>
  </si>
  <si>
    <t>Espesador lixiviación</t>
  </si>
  <si>
    <t>Maximizar la recuperación de agua clara con mínimo contenido de sólidos y baja concentración de cianuro para recircular a molienda y obtener un porcentaje de sólidos en la descarga del espesador apto para la siguiente etapa del proceso</t>
  </si>
  <si>
    <t>Detención de espesador, Falla de rastras de Espesador</t>
  </si>
  <si>
    <t xml:space="preserve">Afectación a producción, Detención de Espesador, 
Reparación de rastras de espesador
</t>
  </si>
  <si>
    <t>3220 Lixiviación</t>
  </si>
  <si>
    <t>Cajón alimentación Lixiviación</t>
  </si>
  <si>
    <t>3220BX0002</t>
  </si>
  <si>
    <t>Cajón alimentación lixiviación</t>
  </si>
  <si>
    <t>Recepcionar la pulpa que descarga del espesador de lixiviación 3210-TH-0001, la solución barren y la lechada de cal con el fin de ajustar la concentración en sólidos (45%) y pH para alimentar a los reactores de lixiviación 3220TA0001 o 3220TA0002</t>
  </si>
  <si>
    <t>Afectación a producción, Detención de Espesador 
Costos por reparación de cajón</t>
  </si>
  <si>
    <t>Bomba sumidero estanques lixiviación</t>
  </si>
  <si>
    <t>3220PU0083</t>
  </si>
  <si>
    <t>Bomba sumidero lixiviación</t>
  </si>
  <si>
    <t xml:space="preserve">Transferir  los derrames contenidos en sumidero a 3220BX0002 cajón alimentador lixiviación </t>
  </si>
  <si>
    <t>Bomba portátil estanque Lixiviación</t>
  </si>
  <si>
    <t>3220PU0087</t>
  </si>
  <si>
    <t>Descargar los drenajes de estanques Lixiviación 3220TA0001/2/3/4</t>
  </si>
  <si>
    <t>Lava ojos emergencia</t>
  </si>
  <si>
    <t>3220SY0006</t>
  </si>
  <si>
    <t>Ducha lava ojos emergencia</t>
  </si>
  <si>
    <t>Estanque Lixiviación</t>
  </si>
  <si>
    <t>3220TA0001</t>
  </si>
  <si>
    <t>Estanque lixiviación</t>
  </si>
  <si>
    <t xml:space="preserve">Mezcla de solución barren, pulpa lixiviada U/F y lechada de cal proveniente de 3220-BX-0002 cajón de alimentación, lechada de cal y cianuro de sodio para transferir a siguiente etapa  </t>
  </si>
  <si>
    <t>Falla de caja reductora de agitador</t>
  </si>
  <si>
    <t>Afectación ambiental, Afectación a producción, Cambio de caja reductora</t>
  </si>
  <si>
    <t>3220TA0002</t>
  </si>
  <si>
    <t xml:space="preserve">Mezcla de solución barren, pulpa lixiviada U/F y lechada de cal proveniente de 3220-BX-0002 cajón de alimentación o 3220TA0001 estanque lixiviación para mezclar con lechada de cal y cianuro de sodio para transferir a siguiente etapa </t>
  </si>
  <si>
    <t>3220TA0003</t>
  </si>
  <si>
    <t xml:space="preserve">Mezcla proveniente de  estanque 3220TA0002 para mezclar con lechada de cal y cianuro de sodio para transferir a siguiente etapa    </t>
  </si>
  <si>
    <t>3220TA0004</t>
  </si>
  <si>
    <t xml:space="preserve">Mezcla proveniente de  estanque 3220TA0003 para mezclar con lechada de cal y cianuro de sodio para transferir a siguiente etapa   </t>
  </si>
  <si>
    <t>3300 Recuperación de metales preciosos</t>
  </si>
  <si>
    <t>3310 CCD</t>
  </si>
  <si>
    <t>Cajón alimentación espesador MC CCD con agitador</t>
  </si>
  <si>
    <t>3310BX0006</t>
  </si>
  <si>
    <t>Cajón alimentación espesador MC CCD</t>
  </si>
  <si>
    <t>Homogenizar la pulpa proveniente de cajón 3310BX0013 para alimentar a espesador 3310TH0003</t>
  </si>
  <si>
    <t>Falla en caja reductora de agitador</t>
  </si>
  <si>
    <t>Afectación a producción, Detención de Espesador 3310TH0003, 
Cambio de caja reductora</t>
  </si>
  <si>
    <t>Cajón precarga CCD</t>
  </si>
  <si>
    <t>3310BX0012</t>
  </si>
  <si>
    <t>Cajón precarga CCD 1</t>
  </si>
  <si>
    <t>Almacenar solución barren, pulpa proveniente de clarificador MC, underflow de espesador MC, derrames de sumidero para transferir a agitador alimentador  3310BX0005</t>
  </si>
  <si>
    <t>Rotura de cajón</t>
  </si>
  <si>
    <t>Afectación a producción, Costos por reparación de cajón</t>
  </si>
  <si>
    <t>3310BX0013</t>
  </si>
  <si>
    <t>Cajón precarga CCD 2</t>
  </si>
  <si>
    <t>Almacenar solución barren, pulpa lixiviada y rebose espesador MC para transferir a 3310BX0006 cajón alimentador de espesador</t>
  </si>
  <si>
    <t>Bomba descarga MC CCD</t>
  </si>
  <si>
    <t>3310PU0101</t>
  </si>
  <si>
    <t>1 Op + 1 Stby: Descargar el porcentaje de sólido del espesador 3310-TH-0002 y transferir al cajón de alimentación CIP (3220-BX-0007)</t>
  </si>
  <si>
    <t>3310PU0102</t>
  </si>
  <si>
    <t>3310PU0103</t>
  </si>
  <si>
    <t>1 Op + 1 Stby: Descargar el porcentaje de sólido del espesador 3310-TH-0003 y transferir al cajón de alimentación CIP (3220-BX-0012)</t>
  </si>
  <si>
    <t>3310PU0104</t>
  </si>
  <si>
    <t>Bomba sumidero MC CCD</t>
  </si>
  <si>
    <t>3310PU0196</t>
  </si>
  <si>
    <t>Transferir derrames desde sumidero a 3310BX0012 cajón alimentador de espesador MC CCD</t>
  </si>
  <si>
    <t>Lavaojos emergencia</t>
  </si>
  <si>
    <t>3310SY0024</t>
  </si>
  <si>
    <t>Espesador MC CCD</t>
  </si>
  <si>
    <t>3310TH0002</t>
  </si>
  <si>
    <t xml:space="preserve">Entrada de solución de descarga proveniente de 3310BX0005 Agitador (descarga 3310-TH-0003) </t>
  </si>
  <si>
    <t>Afectación a producción, Detención de espesador, Parada de planta CCD, 
Reparación de rastras de espesador</t>
  </si>
  <si>
    <t>3310TH0003</t>
  </si>
  <si>
    <t>Lavar la pulpa entregando una solución rica en el overflow hacia   clarificador MC con de 55% de sólidos que alimentará la etapa CIP. Underflow a 3310-BX-0012 que alimentará 3310-TH-0002 Espesador</t>
  </si>
  <si>
    <t xml:space="preserve">Fatalidad o incapacidad permanente a una persona, Afectación a producción, Detención de espesador, Parada de planta CCD, 
Reparación de rastras de espesador
</t>
  </si>
  <si>
    <t>3330 Merrill Crowe</t>
  </si>
  <si>
    <t>Tolva recepción ayuda filtrante</t>
  </si>
  <si>
    <t>3330BN0020</t>
  </si>
  <si>
    <t>Recepción de ayuda filtrante para transferir a través de tornillo 3330FE0016 a estanque ayuda filtrante 3330TA0016</t>
  </si>
  <si>
    <t>Tolva recepción precapa</t>
  </si>
  <si>
    <t>3330BN0021</t>
  </si>
  <si>
    <t>Recepción de precapa para transferir a través de tornillo 3330FE0017 a estanque precapa 3330TA0015</t>
  </si>
  <si>
    <t>Celosía Merrill Crowe</t>
  </si>
  <si>
    <t>3330XM0113</t>
  </si>
  <si>
    <t>Celosía merrill crowe</t>
  </si>
  <si>
    <t>Permitir entrada de aire a edificio</t>
  </si>
  <si>
    <t>Falla de celosía</t>
  </si>
  <si>
    <t>No afectación a producción, Cambio de celosía</t>
  </si>
  <si>
    <t>3330XM0114</t>
  </si>
  <si>
    <t>Línea emulsión zinc</t>
  </si>
  <si>
    <t>3330ZL0001</t>
  </si>
  <si>
    <t>Transportar emulsión zinc para distribución</t>
  </si>
  <si>
    <t>Falla de instrumentos</t>
  </si>
  <si>
    <t>No afectación a producción, Cambio de instrumentos</t>
  </si>
  <si>
    <t>Chute filtro precipitado 1</t>
  </si>
  <si>
    <t>3330CH0046</t>
  </si>
  <si>
    <t>2 Op + 1 Stby: Descarga de precipitados de filtro para alimentar tornillo 3330FE0007 y transferir a mesa de rodillos</t>
  </si>
  <si>
    <t>No afectación a producción, Costos por reparación de chute</t>
  </si>
  <si>
    <t>Chute filtro precipitado 2</t>
  </si>
  <si>
    <t>3330CH0047</t>
  </si>
  <si>
    <t>Chute filtro precipitado 3</t>
  </si>
  <si>
    <t>3330CH0048</t>
  </si>
  <si>
    <t>Puente grúa filtro</t>
  </si>
  <si>
    <t>3330CN0009</t>
  </si>
  <si>
    <t>Puente grúa filtro precipitado</t>
  </si>
  <si>
    <t>Izar y desplazar cargas en filtros precipitados</t>
  </si>
  <si>
    <t>No afectación a producción, Fatalidad o incapacidad permanente a una persona, Cambio de cable</t>
  </si>
  <si>
    <t>Puente grúa zinc</t>
  </si>
  <si>
    <t>3330CN0021</t>
  </si>
  <si>
    <t>Puente grúa Zinc</t>
  </si>
  <si>
    <t>Izar y desplazar cargas en área de zinc</t>
  </si>
  <si>
    <t>Colector de polvo</t>
  </si>
  <si>
    <t>3330DC0007</t>
  </si>
  <si>
    <t>Colector polvo</t>
  </si>
  <si>
    <t>Colector de polvo de ayuda filtrante 3330BN0020 y tierras diatomeas 3330BN0021</t>
  </si>
  <si>
    <t>Falla de colector</t>
  </si>
  <si>
    <t>No afectación a producción, Afectación ambiental, Reparación de colector</t>
  </si>
  <si>
    <t>3330DC0008</t>
  </si>
  <si>
    <t>Colector de polvo en tolva zinc 3330HO0006</t>
  </si>
  <si>
    <t>Tornillo alimentador precipitado</t>
  </si>
  <si>
    <t>3330FE0005</t>
  </si>
  <si>
    <t>2 Op + 1 Stby: Transferir precipitado húmedo de la descarga del filtro 3300-FL-0004 hacia mesa de rodillos 3300-ME-0035</t>
  </si>
  <si>
    <t>Falla en caja reductora</t>
  </si>
  <si>
    <t>No afectación a producción, Cambio de caja reductora</t>
  </si>
  <si>
    <t>3330FE0006</t>
  </si>
  <si>
    <t>2 Op + 1 Stby: Transferir precipitado húmedo de la descarga del filtro 3300-FL-0005 hacia mesa de rodillos 3300-ME-0035</t>
  </si>
  <si>
    <t>3330FE0007</t>
  </si>
  <si>
    <t>2 Op + 1 Stby: Transferir precipitado húmedo de la descarga del filtro 3300-FL-0006 hacia mesa de rodillos 3300-ME-0035</t>
  </si>
  <si>
    <t>Tornillo alimentación zinc</t>
  </si>
  <si>
    <t>3330FE0009</t>
  </si>
  <si>
    <t>Alimentación de zinc proveniente de tolva de zinc 3330HO0006 a estanque cono zinc 3330TA0018</t>
  </si>
  <si>
    <t>Afectación a producción, Cambio de caja reductora</t>
  </si>
  <si>
    <t>Transportador de tornillo precapa</t>
  </si>
  <si>
    <t>3330FE0017</t>
  </si>
  <si>
    <t>Transporte de ayuda filtrante proveniente de tolva 3330BN0021 a estanque 3330TA0015</t>
  </si>
  <si>
    <t>Tornillo alimentación nitrato de plomo</t>
  </si>
  <si>
    <t>3330FE0018</t>
  </si>
  <si>
    <t>Transporte de nitrato de plomo de tolva 3330HO0007 a estanque 3330TK0016</t>
  </si>
  <si>
    <t>Filtro clarificador</t>
  </si>
  <si>
    <t>3330FL0001</t>
  </si>
  <si>
    <t>Filtro clarificador 1</t>
  </si>
  <si>
    <t>2 Op + 1 Stby: Entrada solución rica proveniente de 3330-TK-0011 para ser tratada en 3 filtros pulidores o clarificadores permitiendo
bajar la concentración de sólidos a un nivel &lt;1 ppm. Salida de solución clarificada y pulida hacia la torre des aireadora (3330-VE-0001)</t>
  </si>
  <si>
    <t xml:space="preserve">Falla unidad motriz
</t>
  </si>
  <si>
    <t>No afectación a producción, Cambio de eje</t>
  </si>
  <si>
    <t>3330FL0002</t>
  </si>
  <si>
    <t>Filtro clarificador 2</t>
  </si>
  <si>
    <t>3330FL0003</t>
  </si>
  <si>
    <t>Filtro clarificador 3</t>
  </si>
  <si>
    <t>Filtro precipitado No. 1</t>
  </si>
  <si>
    <t>3330FL0004</t>
  </si>
  <si>
    <t>Filtro precipitado 1</t>
  </si>
  <si>
    <t>2 Op + 1 Stby: Recuperación de metales con la aplicación de tierra de diatomeas como ayuda para el filtrado. La solución filtrada es la solución barren que será utilizada en todo el proceso, tiene una concentración de 0.01 ppm de oro y 0.40 ppm de plata.
Descarga de precipitado húmedo a presión contiene 70% de sólidos y se transfiere mediante alimentadores de tornillo 3330FE0005 a bandejas de 390 kg de capacidad para luego alimentar a la Refinería</t>
  </si>
  <si>
    <t>Falla de unidad hidráulica</t>
  </si>
  <si>
    <t>Afectación a producción, Cambio de bomba</t>
  </si>
  <si>
    <t>Filtro precipitado No. 2</t>
  </si>
  <si>
    <t>3330FL0005</t>
  </si>
  <si>
    <t>Filtro precipitado 2</t>
  </si>
  <si>
    <t>Recuperación de metales con la aplicación de tierra de diatomeas como ayuda para el filtrado. La solución filtrada es la solución barren que será utilizada en todo el proceso, tiene una concentración de 0.01 ppm de oro y 0.40 ppm de plata.
Descarga de precipitado húmedo a presión contiene 70% de sólidos y se transfiere mediante alimentadores de tornillo 3330FE0006 a bandejas de 390 kg de capacidad para luego alimentar a la Refinería</t>
  </si>
  <si>
    <t>Filtro precipitado No. 3</t>
  </si>
  <si>
    <t>3330FL0006</t>
  </si>
  <si>
    <t>Filtro precipitado 3</t>
  </si>
  <si>
    <t>Recuperación de metales con la aplicación de tierra de diatomeas como ayuda para el filtrado. La solución filtrada es la solución barren que será utilizada en todo el proceso, tiene una concentración de 0.01 ppm de oro y 0.40 ppm de plata.
Descarga de precipitado húmedo a presión contiene 70% de sólidos y se transfiere mediante alimentadores de tornillo 3330FE0007 a bandejas de 390 kg de capacidad para luego alimentar a la Refinería</t>
  </si>
  <si>
    <t>Filtro limpieza</t>
  </si>
  <si>
    <t>3330FL0007</t>
  </si>
  <si>
    <t>Filtro limpieza precipitación</t>
  </si>
  <si>
    <t>Filtrar derrames recolectados de sumideros para transferir a estanque solución rica</t>
  </si>
  <si>
    <t>Falla de paños filtrantes</t>
  </si>
  <si>
    <t>No afectación a producción, Cambio de paños filtrantes</t>
  </si>
  <si>
    <t>Tolva zinc</t>
  </si>
  <si>
    <t>3330HO0006</t>
  </si>
  <si>
    <t>Almacenamiento de zinc que se transferirá a 3330TA0018</t>
  </si>
  <si>
    <t>Falla de ventilador</t>
  </si>
  <si>
    <t>Afectación a producción, Costos cambio de ventilador</t>
  </si>
  <si>
    <t>Tolva nitrato de plomo</t>
  </si>
  <si>
    <t>3330HO0007</t>
  </si>
  <si>
    <t>Almacenamiento de nitrato de plomo que se transferirá a agitador 3330TK0016</t>
  </si>
  <si>
    <t>Afectación ambiental, Afectación a producción, Costos cambio de ventilador</t>
  </si>
  <si>
    <t>Mesa de rodillos</t>
  </si>
  <si>
    <t>3330ME0035</t>
  </si>
  <si>
    <t>Recepcionar precipitado transferido desde 3330-FE-0004/5/6 a rack bandejas 3330ME0031</t>
  </si>
  <si>
    <t>Falla de rodillos de mesa</t>
  </si>
  <si>
    <t>No afectación a producción, Cambio de rodillos de mesa</t>
  </si>
  <si>
    <t>Bomba U/F clarificador MC</t>
  </si>
  <si>
    <t>3330PU0119</t>
  </si>
  <si>
    <t>Bomba descarga clarificador MC</t>
  </si>
  <si>
    <t>1 Op + 1 Stby: Transferir pulpa proveniente de descarga de clarificador 3300-TH-0004 hacia espesador 3310-TH-0002</t>
  </si>
  <si>
    <t>3330PU0120</t>
  </si>
  <si>
    <t>Bomba alimentación filtro clarificador</t>
  </si>
  <si>
    <t>3330PU0121</t>
  </si>
  <si>
    <t>2 Op + 1 Stby: Alimentación de solución rica a filtros clarificadores 3330-FL-0001/0002/0003 proveniente de estanque 3330-TK-0011</t>
  </si>
  <si>
    <t>3330PU0122</t>
  </si>
  <si>
    <t>3330PU0123</t>
  </si>
  <si>
    <t>Bomba vacío</t>
  </si>
  <si>
    <t>3330PU0125</t>
  </si>
  <si>
    <t>1 Op + 1 Stby: Extraer el oxígeno disuelto en solución de a menos de 0.5 g / m3 en columna de aireadora 3330-VE-0001</t>
  </si>
  <si>
    <t>3330PU0126</t>
  </si>
  <si>
    <t>Bomba precipitado</t>
  </si>
  <si>
    <t>3330PU0127</t>
  </si>
  <si>
    <t>Bomba precipitado oro</t>
  </si>
  <si>
    <t>2 Op + 1 Stby: Transferir solución precipitada a estanque solución rica y filtro precipitado</t>
  </si>
  <si>
    <t>No afectación a producción, Cambio de bomba</t>
  </si>
  <si>
    <t>3330PU0128</t>
  </si>
  <si>
    <t>3330PU0129</t>
  </si>
  <si>
    <t>Bomba solución barren</t>
  </si>
  <si>
    <t>3330PU0130</t>
  </si>
  <si>
    <t>1 Op + 1 Stby: Transferir solución barren desde estanque 3310TK0013 para distribución en planta</t>
  </si>
  <si>
    <t>3330PU0131</t>
  </si>
  <si>
    <t>Bomba precapa</t>
  </si>
  <si>
    <t>3330PU0132</t>
  </si>
  <si>
    <t>Bomba precapa precipitado</t>
  </si>
  <si>
    <t>Transferir precapa desde estanque 3330TA0015 a filtros precipitados</t>
  </si>
  <si>
    <t>Bomba lavado de tela</t>
  </si>
  <si>
    <t>3330PU0133</t>
  </si>
  <si>
    <t>Bomba lavado telas</t>
  </si>
  <si>
    <t>1 Op + 1 Stby: Transferir agua desde estanque 3330TK0014 para el lavado de telas de filtro 3330FL0004/5/6</t>
  </si>
  <si>
    <t>Bomba lavado de telas</t>
  </si>
  <si>
    <t>3330PU0134</t>
  </si>
  <si>
    <t>Bomba ayuda filtrante</t>
  </si>
  <si>
    <t>3330PU0135</t>
  </si>
  <si>
    <t>1 Op + 1 Stby: Inyección de ayuda filtrante en filtros clarificadores 3330-FL-0001/0002/0003</t>
  </si>
  <si>
    <t>3330PU0136</t>
  </si>
  <si>
    <t>3330PU0139</t>
  </si>
  <si>
    <t>Inyección de precapa en  filtros clarificadores 3330-FL-0001/0002/0003</t>
  </si>
  <si>
    <t>Bomba sumidero MC</t>
  </si>
  <si>
    <t>3330PU0142</t>
  </si>
  <si>
    <t>Descargar derrames y aguas de lavado contenidos en sumidero hacia estanque colección de derrames</t>
  </si>
  <si>
    <t>Bomba nitrato de plomo</t>
  </si>
  <si>
    <t>3330PU0143</t>
  </si>
  <si>
    <t>Descargar nitrato de plomo de estanque de almacenamiento 3330-TK-0016 hacia estanque 3330-TA-0018</t>
  </si>
  <si>
    <t>Afectación a producción, Cambio de componentes internos de bomba</t>
  </si>
  <si>
    <t>Bomba sumidero precipitado</t>
  </si>
  <si>
    <t>3330PU0147</t>
  </si>
  <si>
    <t>Transferir derrames de precipitado proveniente de sumidero a estanque derrames 3330TA0033</t>
  </si>
  <si>
    <t>Bomba alimentación precipitado</t>
  </si>
  <si>
    <t>3330PU0148</t>
  </si>
  <si>
    <t>Transferir derrames provenientes de estanque de derrames 3330TA0033 hacia filtro de limpieza 3330FL0007</t>
  </si>
  <si>
    <t>Bomba solución rica recuperada</t>
  </si>
  <si>
    <t>3330PU0149</t>
  </si>
  <si>
    <t>Transferir derrames recuperados provenientes de estanque 3330TK0056 hacia estanque de solución rica 3330TK0011</t>
  </si>
  <si>
    <t>Bomba rebose clarificador MC</t>
  </si>
  <si>
    <t>3330PU0150</t>
  </si>
  <si>
    <t>1 Op + 1 Stby: Impulsar solución rica clarificada desde estanque rebose de clarificador 3330TH0004 hacia el estanque de solución rica 3330TK0011</t>
  </si>
  <si>
    <t>3330PU0151</t>
  </si>
  <si>
    <t>3330PU0192</t>
  </si>
  <si>
    <t>1 Op + 1 Stby: Transferir ayuda filtrante desde 3330TA0016 hacia filtros de precipitado 3330FL0004/5/6</t>
  </si>
  <si>
    <t>3330PU0193</t>
  </si>
  <si>
    <t>Bomba solución barren a clarificador</t>
  </si>
  <si>
    <t>3330PU0493</t>
  </si>
  <si>
    <t>1 Op + 1 Stby: Distribuir solución barren desde estanque de almacenamiento 3330TK0013 a diferentes puntos de proceso</t>
  </si>
  <si>
    <t>3330PU0494</t>
  </si>
  <si>
    <t>Bomba intermedia solución barren</t>
  </si>
  <si>
    <t>3330PU0498</t>
  </si>
  <si>
    <t>1 Op + 1 Stby: Transferir solución barren desde estanque de transferencia 3330TK0101 a estanque de almacenamiento 3330TK0013</t>
  </si>
  <si>
    <t>3330PU0499</t>
  </si>
  <si>
    <t>Muestreador</t>
  </si>
  <si>
    <t>3330SA0005</t>
  </si>
  <si>
    <t>Muestreador alimentación filtros</t>
  </si>
  <si>
    <t>Tomar muestra en línea alimentación a filtros 3330FL0001/02/03</t>
  </si>
  <si>
    <t>3330SA0006</t>
  </si>
  <si>
    <t>Muestreador solución barren</t>
  </si>
  <si>
    <t>Tomar muestra de solución barren proveniente de filtros precipitados</t>
  </si>
  <si>
    <t>Ducha emergencia</t>
  </si>
  <si>
    <t>3330SY0009</t>
  </si>
  <si>
    <t>Lavado de cuerpo de forma rápida y eficaz cuando una persona se ve afectada ante sustancias peligrosas</t>
  </si>
  <si>
    <t>No afectación a producción, Quemaduras en la piel</t>
  </si>
  <si>
    <t>Lava ojos</t>
  </si>
  <si>
    <t>3330SY0027</t>
  </si>
  <si>
    <t>3330SY0028</t>
  </si>
  <si>
    <t>3330SY0029</t>
  </si>
  <si>
    <t>3330SY0037</t>
  </si>
  <si>
    <t>Tanque de purga</t>
  </si>
  <si>
    <t>3330TA0001</t>
  </si>
  <si>
    <t>Recolectar precipitado al purgar línea alimentación de filtro 3330FL0004</t>
  </si>
  <si>
    <t>No afectación a producción, Afectación ambiental, Cambio de caja reductora</t>
  </si>
  <si>
    <t>Separador aire liquido</t>
  </si>
  <si>
    <t>3330TA0012</t>
  </si>
  <si>
    <t>Separar aire liquido proveniente de columna des aireadora 3330VE0001</t>
  </si>
  <si>
    <t>Estanque precapa</t>
  </si>
  <si>
    <t>3330TA0015</t>
  </si>
  <si>
    <t xml:space="preserve">Mezclar tierra diatomeas y solución barren para distribuir en filtros clarificadores y precipitados </t>
  </si>
  <si>
    <t>Estanque ayuda filtrante distribución a filtros clarificadores y de precipitado</t>
  </si>
  <si>
    <t>3330TA0016</t>
  </si>
  <si>
    <t>Estanque ayuda filtrante</t>
  </si>
  <si>
    <t xml:space="preserve">Mezclar ayuda filtrante y solución barren para distribuir en filtros clarificadores y precipitados </t>
  </si>
  <si>
    <t>Estanque cono zinc</t>
  </si>
  <si>
    <t>3330TA0018</t>
  </si>
  <si>
    <t xml:space="preserve">Mezclar zinc, nitrato de plomo y solución barren para distribuir en filtros precipitados </t>
  </si>
  <si>
    <t>Afectación ambiental, Afectación a producción, Detención de planta Merril Crowe, 
Cambio de caja reductora</t>
  </si>
  <si>
    <t>Estanque colección derrames</t>
  </si>
  <si>
    <t>3330TA0033</t>
  </si>
  <si>
    <t>Colector de derrames del área y agua lavado de tela para alimentar filtro de limpieza 3330FL0007 a través de bomba 3330PU0148</t>
  </si>
  <si>
    <t>3330TA0054</t>
  </si>
  <si>
    <t>Separador aire liquido en descarga columna des aireadora 3330VE0001</t>
  </si>
  <si>
    <t>Tanque recuperación derrames</t>
  </si>
  <si>
    <t>3330TA0056</t>
  </si>
  <si>
    <t>Recuperación de derrames descargados de filtro 3330FL0007 para transferir a estanque solución rica</t>
  </si>
  <si>
    <t>Clarificador MC</t>
  </si>
  <si>
    <t>3330TH0004</t>
  </si>
  <si>
    <t>La solución rica producto del lavado de CCD será clarificada descargando por el rebose la solución rica con una concentración &lt; 50 ppm y transfiriendo a estanque de rebose 3330TK0074. La solución de descarga del clarificador será un flujo discontinuo, tendrá un 5 % de sólidos, que retornará a la etapa de CCD 3310TH0002</t>
  </si>
  <si>
    <t>Estanque solución rica</t>
  </si>
  <si>
    <t>3330TK0011</t>
  </si>
  <si>
    <t>Almacenar cianuro de sodio, 
solución rica, eluato y derrames recuperados para transferir a filtros clarificadores mediante bombas (3330-PU-0150/0151)</t>
  </si>
  <si>
    <t>Afectación a producción, Detención planta Merrill Crowe, 
Reparación de estructura de estanque</t>
  </si>
  <si>
    <t>3330TK0012</t>
  </si>
  <si>
    <t>Estanque sello vacío</t>
  </si>
  <si>
    <t>Separación de aire / líquido de gases provenientes de torre des aireadora 3330VE0001</t>
  </si>
  <si>
    <t>No afectación a producción, Afectación ambiental, Reparación de estructura de estanque</t>
  </si>
  <si>
    <t>Estanque solución barren</t>
  </si>
  <si>
    <t>3330TK0013</t>
  </si>
  <si>
    <t>Almacenamiento de solución barren proveniente de filtros precipitados, estanque solución clarificada y distribución de cianuro para ser distribuido a diferentes puntos del proceso</t>
  </si>
  <si>
    <t>Afectación a producción, Reparación de tanque</t>
  </si>
  <si>
    <t>Tanque lavado de tela</t>
  </si>
  <si>
    <t>3330TK0014</t>
  </si>
  <si>
    <t>Estanque lavado de tela</t>
  </si>
  <si>
    <t>Almacenar agua fresca proveniente de estanque almacenamiento agua fresca y transferir a través de 3330PU0133/34 a lavado de telas 3330FL0004/5/6</t>
  </si>
  <si>
    <t>Afectación a producción, Detención de planta Merril Crowe, 
Reparación de estructura de estanque</t>
  </si>
  <si>
    <t>Estanque almacenamiento de nitrato de plomo</t>
  </si>
  <si>
    <t>3330TK0016</t>
  </si>
  <si>
    <t>Estanque almacenamiento nitrato de plomo</t>
  </si>
  <si>
    <t>Preparar solución de nitrato de plomo mezclando nitrato de plomo en polvo y solución barren, alcanzando una concentración de 3% para adicionar en agitador 3330-TA-0018</t>
  </si>
  <si>
    <t>Estanque separación aire / agua</t>
  </si>
  <si>
    <t>3330TK0054</t>
  </si>
  <si>
    <t>Crear sistema de vacío en torre des aireadora 3330-VE-0001</t>
  </si>
  <si>
    <t>Estanque recuperación derrames</t>
  </si>
  <si>
    <t>3330TK0056</t>
  </si>
  <si>
    <t>Almacenar los derrames filtrados provenientes de filtro limpieza 3330FL0007 para transferir a estanque solución rica</t>
  </si>
  <si>
    <t>No afectación a producción, Reparación de estructura de tanque</t>
  </si>
  <si>
    <t>Estanque rebose clarificador MC 3330TH0004</t>
  </si>
  <si>
    <t>3330TK0074</t>
  </si>
  <si>
    <t>Estanque rebose clarificador MC</t>
  </si>
  <si>
    <t>Recepcionar la solución rica de Clarificador 3330-TH-0004 para impulsar hasta el estanque de solución rica 3330-TK-0011 con las bombas 3330-PU-
0150/0151</t>
  </si>
  <si>
    <t>Afectación a producción, Reparación de estructura de estanque</t>
  </si>
  <si>
    <t>3330TK0100</t>
  </si>
  <si>
    <t>Separación de aire / líquido de gases provenientes de torre des aireadora 3330-VE-0001</t>
  </si>
  <si>
    <t>Estanque transferencia solución barren</t>
  </si>
  <si>
    <t>3330TK0101</t>
  </si>
  <si>
    <t xml:space="preserve">Transferir solución barren hacia estanque almacenamiento 3330TK0101 </t>
  </si>
  <si>
    <t>Columna des aireadora</t>
  </si>
  <si>
    <t>3330VE0001</t>
  </si>
  <si>
    <t>Opera con sistema de vacío, formado, por las bombas de vacío 3330-PU-0125/0126, el estanque de agua de sello 3330-TK-0012 y el estanque cabeza barométrico 3330-TK-005), que permitirá remover el oxígeno disuelto en la solución y obtener solución rica</t>
  </si>
  <si>
    <t>Falla en columna</t>
  </si>
  <si>
    <t>Afectación a producción, Reparación de columna</t>
  </si>
  <si>
    <t>Colector polvo tanque alimentación zinc, precoat &amp; alimentador</t>
  </si>
  <si>
    <t>3330VN0006</t>
  </si>
  <si>
    <t>Colector polvo zinc, precoat, alimentaci</t>
  </si>
  <si>
    <t>Colectar polvo de tanques de alimentación zinc, precoat &amp; alimentador para filtrar partículas de polvo</t>
  </si>
  <si>
    <t>Afectación ambiental, Afectación a producción, Reparación de colector</t>
  </si>
  <si>
    <t>3800 Reactivos</t>
  </si>
  <si>
    <t>3830 Floculante</t>
  </si>
  <si>
    <t>Celosía Reactivos</t>
  </si>
  <si>
    <t>3830XM0078</t>
  </si>
  <si>
    <t>Celosía reactivos</t>
  </si>
  <si>
    <t>3830XM0079</t>
  </si>
  <si>
    <t>3830XM0085</t>
  </si>
  <si>
    <t>3830XM0090</t>
  </si>
  <si>
    <t>3320 CIP</t>
  </si>
  <si>
    <t>Cajón alimentación CIP</t>
  </si>
  <si>
    <t>3320BX0007</t>
  </si>
  <si>
    <t xml:space="preserve">Recepcionar la pulpa proveniente del espesamiento CCD, solución detoxificada (3700-PU-0271/0272) y solución barren (3330-PU-0130/0131), que alimentaran los estanques CIP (3220-TA-0007/0008), ajustando porcentaje de sólidos para el posterior proceso </t>
  </si>
  <si>
    <t>Afectación a producción, Detención de planta CIP
Costos por reparación de cajón</t>
  </si>
  <si>
    <t>Chute alimentación harnero carbón cargado</t>
  </si>
  <si>
    <t>3320CH0045</t>
  </si>
  <si>
    <t>Almacenar el carbón para alimentar 3320SN0022 harnero carbón</t>
  </si>
  <si>
    <t>Chute bajo tamaño harnero carbón cargado</t>
  </si>
  <si>
    <t>3320CH0050</t>
  </si>
  <si>
    <t>Almacenar el carbón descargado de 3320SN0022 harnero carbón</t>
  </si>
  <si>
    <t>Chute sobre tamaño harnero carbón cargado</t>
  </si>
  <si>
    <t>3320CH0063</t>
  </si>
  <si>
    <t>Almacenar el carbón de sobre tamaño descargado de 3320SN0022 harnero carbón</t>
  </si>
  <si>
    <t>Puente grúa CIP</t>
  </si>
  <si>
    <t>3320CN0008</t>
  </si>
  <si>
    <t>Grúa portal de CIP</t>
  </si>
  <si>
    <t>Izar y trasladar cargas en CIP</t>
  </si>
  <si>
    <t>Bomba transferencia carbón</t>
  </si>
  <si>
    <t>3320PU0107</t>
  </si>
  <si>
    <t>Transferencia de carbón desde 3320-TA-0007 Agitador hacia 3320SN0022 harnero carbón</t>
  </si>
  <si>
    <t>3320PU0108</t>
  </si>
  <si>
    <t>Transferencia de carbón desde agitador 3320-TA-0008 hacia 3320TA0007</t>
  </si>
  <si>
    <t>3320PU0109</t>
  </si>
  <si>
    <t xml:space="preserve">Transferencia de carbón desde agitador 3320-TA-0009 hacia 3320TA0008 </t>
  </si>
  <si>
    <t>3320PU0110</t>
  </si>
  <si>
    <t xml:space="preserve">Transferencia de carbón desde agitador 3320-TA-0010 hacia 3320TA0009 </t>
  </si>
  <si>
    <t>3320PU0111</t>
  </si>
  <si>
    <t xml:space="preserve">Transferencia de carbón desde agitador 3320-TA-0011 hacia 3320TA0010 </t>
  </si>
  <si>
    <t>3320PU0112</t>
  </si>
  <si>
    <t xml:space="preserve">Transferencia de carbón desde agitador 3320-TA-0012 hacia 3320TA0011  </t>
  </si>
  <si>
    <t>3320PU0113</t>
  </si>
  <si>
    <t xml:space="preserve">Transferencia de carbón desde agitador 3320-TA-0013 hacia 3320TA0012 </t>
  </si>
  <si>
    <t>3320PU0114</t>
  </si>
  <si>
    <t xml:space="preserve">Transferencia de carbón desde agitador 3320-TA-0014 hacia 3320TA0013 </t>
  </si>
  <si>
    <t>Bomba sumidero CIP</t>
  </si>
  <si>
    <t>3320PU0155</t>
  </si>
  <si>
    <t>En caso de derrames, estas bombas generarán un flujo discreto descargando el cajón de alimentación CIP (3220-BX-0007) hacia sumideros del área de estanques CIP</t>
  </si>
  <si>
    <t>No afectación a producción, Primeros auxilios sin pérdida de tiempo, Cambio de componentes internos de bomba</t>
  </si>
  <si>
    <t>3320PU0156</t>
  </si>
  <si>
    <t>No afectación a producción, Tratamiento médico no restrictivo, Cambio de componentes internos de bomba</t>
  </si>
  <si>
    <t>Bomba drenaje estanque CIP</t>
  </si>
  <si>
    <t>3320PU0479</t>
  </si>
  <si>
    <t>Transferir drenaje de estanques agitadores CIP hacia sumideros</t>
  </si>
  <si>
    <t>Harnero carbón cargado</t>
  </si>
  <si>
    <t>3320SN0022</t>
  </si>
  <si>
    <t xml:space="preserve">Clasificar el carbón cargado para transferir a 3320-BX-0007 Cajón alimentación CIP proveniente de agitadores estanques CIP </t>
  </si>
  <si>
    <t>Falla de frame, viga y paredes laterales de harnero</t>
  </si>
  <si>
    <t>No afectación a producción, Cambio de frame, viga y paredes laterales de harnero</t>
  </si>
  <si>
    <t>3320SY0008</t>
  </si>
  <si>
    <t>Ducha emergencia - lavaojos</t>
  </si>
  <si>
    <t>3320SY0025</t>
  </si>
  <si>
    <t>Lavado de ojos y de cuerpo de forma rápida y eficaz cuando una persona se ve afectada ante sustancias peligrosas</t>
  </si>
  <si>
    <t>No afectación a producción, Pérdida de visión, Quemaduras en la piel</t>
  </si>
  <si>
    <t>3320SY0026</t>
  </si>
  <si>
    <t>Estanque CIP</t>
  </si>
  <si>
    <t>3320TA0007</t>
  </si>
  <si>
    <t>Agitar mezcla proveniente de 3320BX0007 Cajón alimentador controlando la concentración de carbón, flujo de descarga y flujo de aire enriquecido para recuperar oro y plata desde la pulpa que se
desplaza en forma continua, por adsorción con carbón activado que fluye en contracorriente en forma intermitente. La pulpa de carbón cargado es transferido a harnero 3320SN0022 y mezcla es transferida a siguiente estanque de agitación</t>
  </si>
  <si>
    <t>3320TA0008</t>
  </si>
  <si>
    <t>Agitar mezcla proveniente de 3320TA0007 agitador o 3320BX0007 cajón alimentador controlando la concentración de carbón, flujo de descarga y flujo de aire enriquecido para recuperar oro y plata desde la pulpa que se
desplaza en forma continua, por adsorción con carbón activado que fluye en contracorriente en forma intermitente. La pulpa de carbón cargado es transferido a agitador 3320TA0007 y mezcla es transferida a siguiente estanque de agitación</t>
  </si>
  <si>
    <t>3320TA0009</t>
  </si>
  <si>
    <t>Agitar mezcla proveniente de agitador 3320TA0008 agitador controlando la concentración de carbón, flujo de descarga y flujo de aire enriquecido para recuperar oro y plata desde la pulpa que se
desplaza en forma continua, por adsorción con carbón activado que fluye en contracorriente en forma intermitente. La pulpa de carbón cargado es transferido a agitador 3320TA0008 y mezcla es transferida a siguiente estanque de agitación</t>
  </si>
  <si>
    <t>3320TA0010</t>
  </si>
  <si>
    <t>Agitar mezcla proveniente de agitador 3320TA0009 agitador controlando la concentración de carbón, flujo de descarga y flujo de aire enriquecido para recuperar oro y plata desde la pulpa que se
desplaza en forma continua, por adsorción con carbón activado que fluye en contracorriente en forma intermitente. La pulpa de carbón cargado es transferido a agitador 3320TA0009 y mezcla es transferida a siguiente estanque de agitación</t>
  </si>
  <si>
    <t>3320TA0011</t>
  </si>
  <si>
    <t>Agitar mezcla proveniente de agitador 3320TA0010 agitador controlando la concentración de carbón, flujo de descarga y flujo de aire enriquecido para recuperar oro y plata desde la pulpa que se
desplaza en forma continua, por adsorción con carbón activado que fluye en contracorriente en forma intermitente. La pulpa de carbón cargado es transferido a agitador 3320TA0010 y mezcla es transferida a siguiente estanque de agitación</t>
  </si>
  <si>
    <t>3320TA0012</t>
  </si>
  <si>
    <t>Agitar mezcla proveniente de agitador 3320TA0011 agitador controlando la concentración de carbón, flujo de descarga y flujo de aire enriquecido para recuperar oro y plata desde la pulpa que se
desplaza en forma continua, por adsorción con carbón activado que fluye en contracorriente en forma intermitente. La pulpa de carbón cargado es transferido a agitador 3320TA0011 y mezcla es transferida a siguiente estanque de agitación</t>
  </si>
  <si>
    <t>3320TA0013</t>
  </si>
  <si>
    <t>Agitar mezcla proveniente de agitador 3320TA0012 agitador controlando la concentración de carbón, flujo de descarga y flujo de aire enriquecido para recuperar oro y plata desde la pulpa que se
desplaza en forma continua, por adsorción con carbón activado que fluye en contracorriente en forma intermitente. La pulpa de carbón cargado es transferido a agitador 3320TA0012 y mezcla es transferida a siguiente estanque de agitación</t>
  </si>
  <si>
    <t>3320TA0014</t>
  </si>
  <si>
    <t>Agitar mezcla proveniente de agitador 3320TA0013 agitador controlando la concentración de carbón, flujo de descarga y flujo de aire enriquecido para recuperar oro y plata desde la pulpa que se
desplaza en forma continua, por adsorción con carbón activado que fluye en contracorriente en forma intermitente. La pulpa de carbón cargado es transferido a agitador 3320TA0013 y mezcla es transferida a estanque Detox</t>
  </si>
  <si>
    <t>3400 Lavado ácido, elución y regenera carbón</t>
  </si>
  <si>
    <t>3410 Lavado ácido</t>
  </si>
  <si>
    <t>Bomba ácido diluido</t>
  </si>
  <si>
    <t>3410PU0171</t>
  </si>
  <si>
    <t>Descargar el ácido diluido de estanque 3410-TK-0071 con el objeto de mantener una operación constante en estanque destrucción de cianuro 3610-TA-0022</t>
  </si>
  <si>
    <t>No afectación a producción, Cambio de componentes internos</t>
  </si>
  <si>
    <t>Bomba neutralización</t>
  </si>
  <si>
    <t>3410PU0172</t>
  </si>
  <si>
    <t>1 Op + 1 Stby: Descargar solución neutralizada desde estanque 3410-TK-0072 y transferir a columna de lavado de ácido 3410-VE-0002</t>
  </si>
  <si>
    <t>Bomba hidróxido de sodio</t>
  </si>
  <si>
    <t>3410PU0174</t>
  </si>
  <si>
    <t>Descargar el ácido clorhídrico de estanque 3410-TK-0017 y transferir a estanque impregnación, estanque impregnación y bombas de hidróxido de sodio</t>
  </si>
  <si>
    <t>Bomba ácido clorhídrico</t>
  </si>
  <si>
    <t>3410PU0175</t>
  </si>
  <si>
    <t>Descargar el ácido clorhídrico de estanque 3410-TK-0018 hacia estanque ácido diluido 3410-TK-0071</t>
  </si>
  <si>
    <t>Bomba sumidero área lavado ácido</t>
  </si>
  <si>
    <t>3410PU0188</t>
  </si>
  <si>
    <t>Bomba sumidero ácido diluido</t>
  </si>
  <si>
    <t>Transferir derrames hacia estanque ácido diluido 3410-TK-0071</t>
  </si>
  <si>
    <t>No afectación a producción, Reversibles moderados con pérdida de tiempo, Cambio de componentes internos</t>
  </si>
  <si>
    <t>Bomba sumidero ácido clorhídrico</t>
  </si>
  <si>
    <t>3410PU0190</t>
  </si>
  <si>
    <t>Transferir ácido clorhídrico desde sumidero hacia estanque de almacenamiento 3410TK0018</t>
  </si>
  <si>
    <t>Bomba sumidero hidróxido de sodio</t>
  </si>
  <si>
    <t>3410PU0191</t>
  </si>
  <si>
    <t>Descarga de hidróxido de sodio desde sumidero a estanque  hidróxido de sodio 3410TK0017</t>
  </si>
  <si>
    <t>No afectación a producción, Reversibles moderados con pérdida de tiempo, Cambiar bomba</t>
  </si>
  <si>
    <t>Bomba descarga camión ácido clorhídrico</t>
  </si>
  <si>
    <t>3410PU0463</t>
  </si>
  <si>
    <t>Descargar ácido desde camión y transferir a estanque de ácido clorhídrico 3410-TK-0018</t>
  </si>
  <si>
    <t>Bomba descarga camión hidróxido de sodio</t>
  </si>
  <si>
    <t>3410PU0464</t>
  </si>
  <si>
    <t>Descargar hidróxido de sodio desde camión y transferido hacia el estanque de hidróxido de sodio 3410-TK-0017</t>
  </si>
  <si>
    <t>3410PU0500</t>
  </si>
  <si>
    <t>No afectación a producción, Cambiar bomba</t>
  </si>
  <si>
    <t>3410SY0015</t>
  </si>
  <si>
    <t>3410SY0016</t>
  </si>
  <si>
    <t>Estanque hidróxido de sodio</t>
  </si>
  <si>
    <t>3410TK0017</t>
  </si>
  <si>
    <t xml:space="preserve">Almacenar hidróxido de sodio descargado desde camión y transferido a través de la bomba (3410-PU-0464) para transferir a distintos puntos de proceso </t>
  </si>
  <si>
    <t>Tratamiento médico no restrictivo,  Afectación ambiental, Afectación a producción, Reparación de estructura de estanque</t>
  </si>
  <si>
    <t>Estanque ácido clorhídrico</t>
  </si>
  <si>
    <t>3410TK0018</t>
  </si>
  <si>
    <t>Recepcionar ácido clorhídrico descargado de camión a través de 3410-PU-0463 para transferir a estanque de ácido diluido</t>
  </si>
  <si>
    <t>Reversibles moderados con pérdida de tiempo, Afectación ambiental, Afectación a producción, Reparación de estructura de estanque</t>
  </si>
  <si>
    <t>Estanque ácido diluido</t>
  </si>
  <si>
    <t>3410TK0071</t>
  </si>
  <si>
    <t>Almacenar ácido diluido y agua fresca desde 4100-TK-0042 para transferir a columna lavado ácido y estanque destrucción de cianuro</t>
  </si>
  <si>
    <t>Estanque neutralizador</t>
  </si>
  <si>
    <t>3410TK0072</t>
  </si>
  <si>
    <t>Adición de agua fresca desde el estanque (4100-TK-0042) e hidróxido de sodio para transferir a columna lavado ácido y estanque destrucción de cianuro</t>
  </si>
  <si>
    <t>3420 Elución</t>
  </si>
  <si>
    <t>Estanque compensación térmico</t>
  </si>
  <si>
    <t>3420TK0102</t>
  </si>
  <si>
    <t>Compensación térmica posterior al paso por intercambiador de calor calentamiento 3420HX0005</t>
  </si>
  <si>
    <t>Columna lavado ácido</t>
  </si>
  <si>
    <t>3410VE0002</t>
  </si>
  <si>
    <t>Adición de carbón, ácido diluido y solución neutralizada para lavado de ácido</t>
  </si>
  <si>
    <t>Tratamiento médico no restrictivo, Afectación ambiental, Afectación a producción, Reparación de columna</t>
  </si>
  <si>
    <t>Calentador de petróleo elución</t>
  </si>
  <si>
    <t>3420DH0001</t>
  </si>
  <si>
    <t>Calentar solución rica que es circulada mediante la bomba (3420-PU-0465) y la salida del calentador es retornada hacia el intercambiador de calor – calentamiento 3420HX0005 para ingresar a columna elución 3420VE0002.</t>
  </si>
  <si>
    <t>Falla de quemador</t>
  </si>
  <si>
    <t>Afectación a producción, Impacto en producción Cambiar resistencias</t>
  </si>
  <si>
    <t>Intercambiador de calor recuperación</t>
  </si>
  <si>
    <t>3420HX0004</t>
  </si>
  <si>
    <t>Intercambiador calor recuperación</t>
  </si>
  <si>
    <t xml:space="preserve">Transferencia de calor entre solución impregnación proveniente de estanque de enjuague 3420-TK-0076 y la solución rica proveniente de columna de elución
3420VE0002. Posteriormente descarga por un lado la solución rica hacia el intercambiador de calor – calentamiento (3420-HX-0005) y por otro lado, presenta la opción de descargar la solución hacia el intercambiador de calor – enfriamiento (3420-HX-0006). </t>
  </si>
  <si>
    <t xml:space="preserve">Rotura de tubos </t>
  </si>
  <si>
    <t>No afectación a producción, Reparar  intercambiador calor</t>
  </si>
  <si>
    <t>Intercambiador de calor calentamiento</t>
  </si>
  <si>
    <t>3420HX0005</t>
  </si>
  <si>
    <t>Intercambiador calor calentamiento</t>
  </si>
  <si>
    <t>Intercambio d calor entre fluido térmico proveniente de calentador 3420DH0001 y solución impregnación proveniente de intercambiador 3420HX0004 para transferir a columna elución 3420VE0002.
El intercambiador de calor – calentamiento (3420-HX-0005), envía la solución hacia la columna de elución (3420-VE-0003). El intercambiador de calor – calentamiento además, tiene la opción de enviar la solución rica hacia el calentador a diésel (3420-DH-0001) a través de la bomba (3420-PU-0465).</t>
  </si>
  <si>
    <t>Rotura de tubos</t>
  </si>
  <si>
    <t>Intercambiador de calor enfriamiento</t>
  </si>
  <si>
    <t>3420HX0006</t>
  </si>
  <si>
    <t>Intercambiador calor enfriamiento</t>
  </si>
  <si>
    <t>Enfriar con solución clarificada la solución rica proveniente de intercambiador 3420HX0004 para transferir a estanque 3420TK0020</t>
  </si>
  <si>
    <t>Bomba sumidero elución</t>
  </si>
  <si>
    <t>3420PU0179</t>
  </si>
  <si>
    <t>Transferir derrames de elución a estanque de solución rica  3420TK0020</t>
  </si>
  <si>
    <t>Bomba solución rica</t>
  </si>
  <si>
    <t>3420PU0180</t>
  </si>
  <si>
    <t xml:space="preserve">Descargar el estanque de solución rica 3420-TK-0020 y transferir hacia el estanque 3330-TK-0011 en la etapa de clarificación. </t>
  </si>
  <si>
    <t>Bomba de agua de enjuague</t>
  </si>
  <si>
    <t>3420PU0187</t>
  </si>
  <si>
    <t>Bomba agua de enjuague</t>
  </si>
  <si>
    <t>Transferir solución impregnada desde estanque 3420-TK-0034 hacia intercambiador 3420-HX-0004</t>
  </si>
  <si>
    <t>3420PU0197</t>
  </si>
  <si>
    <t>Transferir agua enjuague desde estanque 3420TK0076 hacia el intercambiador de calor 3420-HX-0004 para alimentar columna 3420VE0003</t>
  </si>
  <si>
    <t>Bomba circuito de calefacción</t>
  </si>
  <si>
    <t>3420PU0465</t>
  </si>
  <si>
    <t>Bomba circuito calefacción</t>
  </si>
  <si>
    <t>Circular fluido térmico proveniente que sale de calentador a diésel 3420-DH-0001 hacia intercambiador 3420-HX-0004</t>
  </si>
  <si>
    <t>3420SY0010</t>
  </si>
  <si>
    <t>3420TK0020</t>
  </si>
  <si>
    <t>Recepcionar la solución rica proveniente de columna de elución 3420VE0003, de intercambiador 3420-HX-0006 y sumidero. De aquí se desprenden vapores que son transferidos hacia el lavador de gases y eluato a estanque 3330TK0001</t>
  </si>
  <si>
    <t>Tratamiento médico no restrictivo, Afectación a producción, Reparación de estructura de estanque</t>
  </si>
  <si>
    <t>Estanque impregnación</t>
  </si>
  <si>
    <t>3420TK0034</t>
  </si>
  <si>
    <t>Estanque agua enjuague</t>
  </si>
  <si>
    <t xml:space="preserve">Alimentación de cianuro de sodio desde el estanque 3820-TK-0030, hidróxido de sodio desde el estanque 3410-TK-0017, agua fresca desde estanque 4100-TK-0042 y solución rica desde intercambiador 3420HX0004. </t>
  </si>
  <si>
    <t>Afectación ambiental, Afectación a producción, Reparación de estructura de estanque</t>
  </si>
  <si>
    <t>3420TK0076</t>
  </si>
  <si>
    <t>Agua de lavado y descargado a través de bomba 3420-PU-0197 hacia circuito de recuperación 3420HX0004</t>
  </si>
  <si>
    <t>Columna elución</t>
  </si>
  <si>
    <t>3420VE0003</t>
  </si>
  <si>
    <t>La alimentación a la columna de elución 3420-VE-0003, con carbón cargado proveniente desde la etapa de lavado ácido, obteniendo como resultado el carbón descargado hacia los harneros de carbón descargado 3450-SN-0031/0032 y la solución rica se envía hacia el intercambiador de calor 3420-HX-0004 y solución rica que pasa por circuito de recuperación y enfriamiento para ser depositado en estanque 3420-TK-0020.</t>
  </si>
  <si>
    <t>Tratamiento médico no restrictivo,  Afectación ambiental, Afectación a producción, Reparación de  columna</t>
  </si>
  <si>
    <t>3450 Regeneración de carbón</t>
  </si>
  <si>
    <t>Cajón extracción horno</t>
  </si>
  <si>
    <t>3450BX0035</t>
  </si>
  <si>
    <t>Cajón para depositar gases extraídos de horno 3450KI0001</t>
  </si>
  <si>
    <t>No afectación a producción, Afectación ambiental, Costos por reparación de cajón</t>
  </si>
  <si>
    <t>Puente grúa regeneración carbón</t>
  </si>
  <si>
    <t>3450CN0011</t>
  </si>
  <si>
    <t>Izar y desplazar cargas en regeneración de carbón</t>
  </si>
  <si>
    <t>Bomba sumidero CCD</t>
  </si>
  <si>
    <t>3310PU0504</t>
  </si>
  <si>
    <t>Bomba sumidero clarificado CCD</t>
  </si>
  <si>
    <t>Transferir derrames de clarificador a espesador CCD</t>
  </si>
  <si>
    <t>No afectación a producción, Costo de reparación de bomba</t>
  </si>
  <si>
    <t>Ventilador colector polvo</t>
  </si>
  <si>
    <t>3330FA0051</t>
  </si>
  <si>
    <t>Ventilador extractor colector polvo</t>
  </si>
  <si>
    <t>Extraer polvo de tolva tierras diatomeas hacia atmósfera</t>
  </si>
  <si>
    <t>Afectación a producción, Cambio de motor eléctrico</t>
  </si>
  <si>
    <t>Ventilador gases horno</t>
  </si>
  <si>
    <t>3450FA0012</t>
  </si>
  <si>
    <t>Extraer gases de columna de carbón 3450VE0005</t>
  </si>
  <si>
    <t>No afectación a producción, Afectación ambiental, Emisión de gases a atmósfera,  Cambio de motor eléctrico</t>
  </si>
  <si>
    <t>Ventilador horno</t>
  </si>
  <si>
    <t>3450FA0029</t>
  </si>
  <si>
    <t>Suministrar aire a quemador para generar la combustión en horno 3450KI0001</t>
  </si>
  <si>
    <t>No afectación a producción, Afectación ambiental, Parada área 3450, 
Cambio de motor eléctrico</t>
  </si>
  <si>
    <t>Alimentador tornillo horno</t>
  </si>
  <si>
    <t>3450FE0010</t>
  </si>
  <si>
    <t>Alimentación de carbón descargado a horno 3450KI0001</t>
  </si>
  <si>
    <t>Filtro prensa finos carbón</t>
  </si>
  <si>
    <t>3450FL0009</t>
  </si>
  <si>
    <t>Entrada de finos de carbón provenientes 3450-TK-0021 a través de la bomba 3450-PU-0182. La descarga de filtrado finos de carbón es enviado a estanque  3450-TK-0023</t>
  </si>
  <si>
    <t>Calentador horno escape</t>
  </si>
  <si>
    <t>3450HE0007</t>
  </si>
  <si>
    <t>Calentador de gases de escape de horno para transferir a columna carbón 3450VE0006</t>
  </si>
  <si>
    <t>No afectación a producción, Afectación ambiental, Cambio de intercambiador calor</t>
  </si>
  <si>
    <t>Tolva alimentación horno</t>
  </si>
  <si>
    <t>3450HO0013</t>
  </si>
  <si>
    <t>Tolva de alimentación de carbón a tornillo 3450FE0010 que transfiere al horno regeneración de carbón 3450KI0001</t>
  </si>
  <si>
    <t>Tolva carbón</t>
  </si>
  <si>
    <t>3450HO0014</t>
  </si>
  <si>
    <t>Tolva alimentación de carbón aquel alimenta agitador estanque atricción de carbón</t>
  </si>
  <si>
    <t>Chute descarga carbón</t>
  </si>
  <si>
    <t>3450HO0068</t>
  </si>
  <si>
    <t>Almacenar el carbón descargado de harnero 3450SN0032 para transferir a estanque 3450TK0084</t>
  </si>
  <si>
    <t>No afectación a producción, Reparación de chute</t>
  </si>
  <si>
    <t>Horno reactivación carbón</t>
  </si>
  <si>
    <t>3450KI0001</t>
  </si>
  <si>
    <t xml:space="preserve">Recepcionar la alimentación de carbón desde tornillo 3450 –FE-0010, el que se abastece de diésel desde estanque 4500-TK-0048 y cuenta con ventilador 3450-FA-0029 para regenerar carbón que es enviado a estanque de enfriamiento 3450-
TK-0022. El horno de reactivación cuenta con salida de gases de combustión hacia la atmosfera, los cuales pueden ser muestreados manualmente. A su vez, el vapor generado en la regeneración del carbón es enviado al lavador de gases 3450-SK-0001. </t>
  </si>
  <si>
    <t>Falla en unidad motriz</t>
  </si>
  <si>
    <t>No afectación a producción, Reparar unidad motriz</t>
  </si>
  <si>
    <t>3450PU0181</t>
  </si>
  <si>
    <t>Descarga de carbón de estanque de enfriamiento de carbón 3450-TK-0022 hacia el harnero de carbón descargado 3450-SN-0032</t>
  </si>
  <si>
    <t>Bomba finos carbón</t>
  </si>
  <si>
    <t>3450PU0182</t>
  </si>
  <si>
    <t>Transferir finos de carbón de estanque colección finos de carbón 3450-TK-0021 hacia filtro prensa de finos de carbón 3450-FL-0009</t>
  </si>
  <si>
    <t>Bomba filtrado</t>
  </si>
  <si>
    <t>3450PU0183</t>
  </si>
  <si>
    <t>Bomba filtrado finos de carbón</t>
  </si>
  <si>
    <t>Transferir carbón filtrado de estanque 3450-TK-0023 a estanque de transferencia de carbón 3450-TK-0084</t>
  </si>
  <si>
    <t>Bomba atrición carbón</t>
  </si>
  <si>
    <t>3450PU0184</t>
  </si>
  <si>
    <t>Descarga de carbón de estanque de atrición hacia el harnero de carbón descargado 3450-SN-0032</t>
  </si>
  <si>
    <t>3450PU0185</t>
  </si>
  <si>
    <t>Transferir carbón descargado desde 3450-TK-0084 hacia 3330-TA-0013/14, 3410VE0002 y 3420VE0003.</t>
  </si>
  <si>
    <t>Bomba sumidero regeneración carbón</t>
  </si>
  <si>
    <t>3450PU0186</t>
  </si>
  <si>
    <t>Descargar derrames a estanque colección finos de carbón 3450-TK-0084</t>
  </si>
  <si>
    <t>Bomba agua rechazos</t>
  </si>
  <si>
    <t>3450PU0500</t>
  </si>
  <si>
    <t xml:space="preserve">Bomba agua rechazos </t>
  </si>
  <si>
    <t>Transferir agua de rechazos de cajón extracción horno 3450BX0035 y calentador horno escape 3450HE0007 a espesador de relaves</t>
  </si>
  <si>
    <t>Lavador gas horno</t>
  </si>
  <si>
    <t>3450SK0001</t>
  </si>
  <si>
    <t>Lavador mercurio</t>
  </si>
  <si>
    <t>Recepcionar el vapor de estanque solución rica, gases de horno regeneración de carbón, gases de estanque enfriador de carbón y agua fresca. El líquido de retorno del lavador de gases, en enviada al estanque de enfriamiento de carbón y el gas es transferido hacia la columna de lavado de carbón.</t>
  </si>
  <si>
    <t>Falla en estructura de lavador de gases</t>
  </si>
  <si>
    <t>No afectación a producción, Afectación ambiental, Reparar estructura de lavador de gases</t>
  </si>
  <si>
    <t>Harnero carbón descargado</t>
  </si>
  <si>
    <t>3450SN0031</t>
  </si>
  <si>
    <t>Recepcionar el carbón descargado de columna de elución 3420-VE-0003, obtener solución rica para enviar hacia el intercambiador de calor (3420-HX-0004), clasificar el bajo tamaño de carbón para enviar al estanque de enfriamiento de carbón (3450-TK-0022) y la fracción gruesa es enviada a través de 3450–FE-0010 a la tolva de alimentación al horno de reactivación de carbón 3450-HO-0013.</t>
  </si>
  <si>
    <t xml:space="preserve">No afectación a producción, Cambiar frame, viga y laterales de harnero </t>
  </si>
  <si>
    <t xml:space="preserve">Harnero finos de carbón </t>
  </si>
  <si>
    <t>3450SN0032</t>
  </si>
  <si>
    <t>Harnero carbón finos</t>
  </si>
  <si>
    <t>Alimentación de carbón proveniente de estanque de enfriamiento de carbón, el carbón proveniente de estanque de atrición y solución détox.  
Clasificar el bajo tamaño del harnero de carbón descargado, enviar el agua al estanque de colección de finos de carbón y la fracción gruesa es enviada al estanque de transferencia de carbón (3450-TK-0084).</t>
  </si>
  <si>
    <t>Puerta corrediza</t>
  </si>
  <si>
    <t>3450SV0003</t>
  </si>
  <si>
    <t>Permitir entrada a área proceso</t>
  </si>
  <si>
    <t>Falla riel + ruedas</t>
  </si>
  <si>
    <t>No afectación a producción, Reparación de riel</t>
  </si>
  <si>
    <t>Estanque atrición carbón</t>
  </si>
  <si>
    <t>3450TA0021</t>
  </si>
  <si>
    <t xml:space="preserve">Mezcla de solución detox desde estanque de almacenamiento y carbón para transferir mezcla a harnero finos de carbón 3450SN0032 </t>
  </si>
  <si>
    <t>Estanque colección finos carbón</t>
  </si>
  <si>
    <t>3450TK0021</t>
  </si>
  <si>
    <t>Colector de finos de carbón provenientes de harnero de carbón descargado 3450-SN-0032. La descarga del estanque de colección de finos de carbón es enviada al filtro prensa de finos de carbón 3450-FL-0009.</t>
  </si>
  <si>
    <t>Estanque enfriamiento carbón</t>
  </si>
  <si>
    <t>3450TK0022</t>
  </si>
  <si>
    <t>Alimentación de carbón regenerado desde horno de reactivación de carbón y recepción de líquido de retorno del lavador de gases. El gas derivado es enviado al sistema de lavado de gases y descarga de carbón hacia el harnero de carbón descargado 3450SN0032 .</t>
  </si>
  <si>
    <t>3450TK0023</t>
  </si>
  <si>
    <t>Recepcionar los finos de carbón provenientes de filtro prensa 3450-FL-0009. La descargada es enviada hacia el estanque de trasferencia de carbón 3450-TK-0084.</t>
  </si>
  <si>
    <t>Estanque transferencia carbón</t>
  </si>
  <si>
    <t>3450TK0084</t>
  </si>
  <si>
    <t xml:space="preserve">Alimentación de carbón proveniente del sobre tamaño del harnero de carbón descargado 
3450-SN-0032, el cual es mezclado con solución détox proveniente de estanque 3700-TK-0028 y agua 
proveniente del estanque de filtrado de finos de carbón 3450-TK-0023. </t>
  </si>
  <si>
    <t>Estanque agua rechazos</t>
  </si>
  <si>
    <t>3450TK0103</t>
  </si>
  <si>
    <t>Almacenar agua de rechazos provenientes de cajón extracción horno 3450BX0035, calentador horno escape 3450HE0007, lavador gases 3450SK0001 y columna carbón 3450VE0006</t>
  </si>
  <si>
    <t>3500 Refinería</t>
  </si>
  <si>
    <t>Colector polvo refinería</t>
  </si>
  <si>
    <t>3500BH0006</t>
  </si>
  <si>
    <t>Colector polvo horno fundición</t>
  </si>
  <si>
    <t>Colectar el polvo provenientes de refinería para transferir a atmosfera</t>
  </si>
  <si>
    <t>Tolva fundente</t>
  </si>
  <si>
    <t>3500BN0039</t>
  </si>
  <si>
    <t>Almacenar fundente para adicionar silica a cinta mezcladora 3500MX001 a través de tornillo 3500FE0013</t>
  </si>
  <si>
    <t>Afectación a producción, Costos reparación de tolva</t>
  </si>
  <si>
    <t>3500BN0040</t>
  </si>
  <si>
    <t>Almacenar fundente para adicionar Fluorspar  a cinta mezcladora 3500MX001 a través de tornillo 3500FE0013</t>
  </si>
  <si>
    <t>3500BN0041</t>
  </si>
  <si>
    <t>Almacenar fundente para adicionar soda ASH  a cinta mezcladora 3500MX001 a través de tornillo 3500FE0013</t>
  </si>
  <si>
    <t>3500BN0042</t>
  </si>
  <si>
    <t>Almacenar fundente para alimentar Nitrato de sodio  a cinta mezcladora 3500MX001 a través de tornillo 3500FE0013</t>
  </si>
  <si>
    <t>3500BN0043</t>
  </si>
  <si>
    <t>Almacenar fundente para alimentar bórax a cinta mezcladora 3500MX001 a través de tornillo 3500FE0013</t>
  </si>
  <si>
    <t>Pre-coalescedor</t>
  </si>
  <si>
    <t>3500BX0033</t>
  </si>
  <si>
    <t>Precoalescedor</t>
  </si>
  <si>
    <t>Generar la formación de grandes gotas de mercurio para facilitar la separación provenientes de colector de horno retorta 3500FU0001</t>
  </si>
  <si>
    <t>Afectación ambiental, Afectación a producción, Cambio de intercambiador calor</t>
  </si>
  <si>
    <t>3500BX0034</t>
  </si>
  <si>
    <t>Generar la formación de grandes gotas de mercurio para facilitar la separación provenientes de colector de horno retorta 3500FU0002</t>
  </si>
  <si>
    <t>Puente grúa de refinería</t>
  </si>
  <si>
    <t>3500CN0017</t>
  </si>
  <si>
    <t>Izar y desplazar cargas en refinería</t>
  </si>
  <si>
    <t>Colector mercurio</t>
  </si>
  <si>
    <t>3500CO0001</t>
  </si>
  <si>
    <t>Recolectar mercurio generado en horno retorta 3500FU0001</t>
  </si>
  <si>
    <t>3500CO0002</t>
  </si>
  <si>
    <t>Recolectar mercurio generado en horno retorta 3500FU0002</t>
  </si>
  <si>
    <t>Enfriador mercurio</t>
  </si>
  <si>
    <t>3500CQ0001</t>
  </si>
  <si>
    <t>Enfriar mercurio (circuito cerrado de agua) generado en horno retorta 3500FU0001 y proveniente de condensador</t>
  </si>
  <si>
    <t>Afectación ambiental, Afectación a producción, Cambio de motor eléctrico</t>
  </si>
  <si>
    <t>3500CQ0004</t>
  </si>
  <si>
    <t>Ventilador de extracción horno</t>
  </si>
  <si>
    <t>3500FA0015</t>
  </si>
  <si>
    <t>Ventilador extractor aire refinería</t>
  </si>
  <si>
    <t>Extraer polvo de área hornos de fundición 3500FU0003/4</t>
  </si>
  <si>
    <t>No afectación a producción, Afectación ambiental, Cambio de motor eléctrico</t>
  </si>
  <si>
    <t>Chimenea refinería</t>
  </si>
  <si>
    <t>3500ST0003</t>
  </si>
  <si>
    <t>Chimenea de fundición</t>
  </si>
  <si>
    <t>Conducir los gases de Refinería a atmósfera</t>
  </si>
  <si>
    <t>Falla en estructura de chimenea</t>
  </si>
  <si>
    <t>Afectación a producción, Reparación de chimenea</t>
  </si>
  <si>
    <t>Ventilador edificio</t>
  </si>
  <si>
    <t>3500FA0052</t>
  </si>
  <si>
    <t>Extraer polvo de edificio Refinería</t>
  </si>
  <si>
    <t>Transportador de tornillo</t>
  </si>
  <si>
    <t>3500FE0013</t>
  </si>
  <si>
    <t>Transportar el fundente desde tolvas a mezclador 3500-MX-0001 que alimenta hornos de fundición</t>
  </si>
  <si>
    <t>Alimentador articulado</t>
  </si>
  <si>
    <t>3500FE0014</t>
  </si>
  <si>
    <t>Alimentador fundente/ precipitado</t>
  </si>
  <si>
    <t>Alimentar fundente y precipitado desde mezclador 3450MX0001 a horno fundición 3500FU0003/4</t>
  </si>
  <si>
    <t>3500FE0015</t>
  </si>
  <si>
    <t>Filtros coalescedores</t>
  </si>
  <si>
    <t>3500FL0025</t>
  </si>
  <si>
    <t>Retener líquido contenido en gases de mercurio proveniente de colector de horno retorta 3500FU0001</t>
  </si>
  <si>
    <t>Falla de filtro precoalescedor</t>
  </si>
  <si>
    <t>Afectación ambiental, Afectación a producción, Cambio de filtro precoalescedor</t>
  </si>
  <si>
    <t>3500FL0026</t>
  </si>
  <si>
    <t>3500FL0027</t>
  </si>
  <si>
    <t>Retener líquido contenido en gases de mercurio proveniente de colector de horno retorta 3500FU0002</t>
  </si>
  <si>
    <t>3500FL0028</t>
  </si>
  <si>
    <t>Horno de retorta</t>
  </si>
  <si>
    <t>3500FU0001</t>
  </si>
  <si>
    <t>Horno retortas 1</t>
  </si>
  <si>
    <t xml:space="preserve">Eliminar el mercurio como la humedad de precipitado por calentamiento, antes de procesarlo en la etapa de fundición. Dentro de los hornos de retorta, el mercurio y el agua se vaporizan por calentamiento. </t>
  </si>
  <si>
    <t>Falla de resistencias</t>
  </si>
  <si>
    <t>3500FU0002</t>
  </si>
  <si>
    <t>Horno retortas 2</t>
  </si>
  <si>
    <t>Horno fundición (incluye unidad hidráulica)</t>
  </si>
  <si>
    <t>3500FU0003</t>
  </si>
  <si>
    <t>Horno fundición 1</t>
  </si>
  <si>
    <t>El precipitado seco se funde finalmente en dos hornos de fundición a diésel, para producir lingotes de metal doré.
Para ello, el crisol del horno se carga con precipitado seco y sin mercurio, mezclado con fundentes y se calienta a
unos 1200 °C, mediante fuego directo con diésel.</t>
  </si>
  <si>
    <t xml:space="preserve">Falla unidad hidráulica
</t>
  </si>
  <si>
    <t>Afectación a producción, Parada de horno de fundición
Cambio de cilindro</t>
  </si>
  <si>
    <t>3500FU0004</t>
  </si>
  <si>
    <t>Horno fundición 2</t>
  </si>
  <si>
    <t>Campana edificio</t>
  </si>
  <si>
    <t>3500HD0001</t>
  </si>
  <si>
    <t>Campana extractora edificio Refinería</t>
  </si>
  <si>
    <t>Extraer gases de edificio de Refinería</t>
  </si>
  <si>
    <t>Falla en campana</t>
  </si>
  <si>
    <t>No afectación a producción, Afectación ambiental, Cambio de campana extractora de gases</t>
  </si>
  <si>
    <t>Condensador</t>
  </si>
  <si>
    <t>3500HX0008</t>
  </si>
  <si>
    <t>A partir de los gases que salen de horno 3500FU0001, el mercurio se condensa por enfriamiento, para ser recolectado y posteriormente manipulado como subproducto.</t>
  </si>
  <si>
    <t>No afectación a producción, Afectación ambiental, Reparar  intercambiador calor</t>
  </si>
  <si>
    <t>3500HX0009</t>
  </si>
  <si>
    <t>A partir de los gases que salen de horno 3500FU0002, el mercurio se condensa por enfriamiento, para ser recolectado y posteriormente manipulado como subproducto.</t>
  </si>
  <si>
    <t>3500HX0013</t>
  </si>
  <si>
    <t xml:space="preserve">A partir de los gases que salen de horno 3500FU0001, el mercurio se condensa por enfriamiento, para ser recolectado y posteriormente manipulado como subproducto. </t>
  </si>
  <si>
    <t>3500HX0014</t>
  </si>
  <si>
    <t xml:space="preserve">A partir de los gases que salen de horno 3500FU0002, el mercurio se condensa por enfriamiento, para ser recolectado y posteriormente manipulado como subproducto. </t>
  </si>
  <si>
    <t>Unidad hidráulica caja alimentación ciclones</t>
  </si>
  <si>
    <t>3110HY0033</t>
  </si>
  <si>
    <t>Unidad hidráulica alimentación ciclones</t>
  </si>
  <si>
    <t>Suministrar potencia hidráulica a válvulas de  bombas de ciclones 3110PU0061/ 3110PU0062</t>
  </si>
  <si>
    <t>Afectación a producción, Cambio de bomba hidráulica</t>
  </si>
  <si>
    <t>Rack bandejas WP</t>
  </si>
  <si>
    <t>3500ME0061</t>
  </si>
  <si>
    <t>Transportar las retortas de precipitado a hornos de fundición 3500FU0003/4</t>
  </si>
  <si>
    <t>Falla en bandejas</t>
  </si>
  <si>
    <t>No afectación a producción, Cambiar bandejas</t>
  </si>
  <si>
    <t>3500ME0064</t>
  </si>
  <si>
    <t>3500ME0065</t>
  </si>
  <si>
    <t>3500ME0066</t>
  </si>
  <si>
    <t>3500ME0067</t>
  </si>
  <si>
    <t>Rack bandejas DP</t>
  </si>
  <si>
    <t>3500ME0068</t>
  </si>
  <si>
    <t>Mezclador fundente y precipitado</t>
  </si>
  <si>
    <t>3500MX0001</t>
  </si>
  <si>
    <t xml:space="preserve">Mezclar fundentes y precipitado para alimentar hornos de fundición 3500FU0003/4 </t>
  </si>
  <si>
    <t>Falla en motorreductor</t>
  </si>
  <si>
    <t>Afectación a producción, Cambio motorreductor</t>
  </si>
  <si>
    <t>Bomba recirculación agua enfriamiento</t>
  </si>
  <si>
    <t>3500PU0209</t>
  </si>
  <si>
    <t>2 Op + 1 Stby: Suministrar agua de enfriamiento de estanque 3500TK0098  al enfriador  de mercurio provenientes de hornos retortas 3500FU0001/2</t>
  </si>
  <si>
    <t>3500PU0210</t>
  </si>
  <si>
    <t>Bomba sumidero área recuperación mercurio</t>
  </si>
  <si>
    <t>3500PU0211</t>
  </si>
  <si>
    <t>Bomba sumidero recuperación mercurio</t>
  </si>
  <si>
    <t>Trasferir el mercurio recuperado en sumideros a estanque transferencia de solución barren</t>
  </si>
  <si>
    <t>Bomba sumidero granulación escoria</t>
  </si>
  <si>
    <t>3500PU0212</t>
  </si>
  <si>
    <t>Trasferir la granulación escoria recuperada en sumideros a estanque separador gruesos escoria 3500TK0025</t>
  </si>
  <si>
    <t>Bomba sumidero recuperación agua</t>
  </si>
  <si>
    <t>3500PU0213</t>
  </si>
  <si>
    <t xml:space="preserve">Transferir agua recuperada en 3500-TK-0025 hacia estanque agua enfriamiento escoria 3500-TK-0026 </t>
  </si>
  <si>
    <t>Bomba alimentación agua enfriamiento escoria</t>
  </si>
  <si>
    <t>3500PU0214</t>
  </si>
  <si>
    <t>Bomba agua enfriamiento escoria</t>
  </si>
  <si>
    <t>Transferir agua enfriamiento de escoria desde 3500-TK-0026 a clarificador MC</t>
  </si>
  <si>
    <t>Bomba agua granulación escoria</t>
  </si>
  <si>
    <t>3500PU0215</t>
  </si>
  <si>
    <t>Retornar agua granulación escoria desde estanque 3500-TK-0026  hacia canaleta 3500-LN-0018</t>
  </si>
  <si>
    <t>3500PU0216</t>
  </si>
  <si>
    <t>Bomba vacío retorta</t>
  </si>
  <si>
    <t>1 Op + 1 Stby: Una bomba de vacío extrae los gases de la cámara 3500VE0004 hacia el sistema de refrigeración de gases 3500XM0040.</t>
  </si>
  <si>
    <t>Afectación ambiental, Afectación a producción, Cambio de componentes internos de bomba</t>
  </si>
  <si>
    <t>3500PU0217</t>
  </si>
  <si>
    <t>1 Op + 1 Stby: Una bomba de vacío extrae los gases de la cámara 3500VE0009 hacia el sistema de refrigeración de gases 3500XM0042.</t>
  </si>
  <si>
    <t>Balanza</t>
  </si>
  <si>
    <t>3500SC0004</t>
  </si>
  <si>
    <t>Medición de material</t>
  </si>
  <si>
    <t>Falla en balanza</t>
  </si>
  <si>
    <t>No afectación a producción, Cambiar balanza</t>
  </si>
  <si>
    <t>3500ST0002</t>
  </si>
  <si>
    <t>Chimenea de retortas</t>
  </si>
  <si>
    <t>Conducir los gases provenientes de hornos retortas 3500FU0001/2 a atmósfera</t>
  </si>
  <si>
    <t>Estanque colección mercurio</t>
  </si>
  <si>
    <t>3500TK0024</t>
  </si>
  <si>
    <t>Recolectar mercurio obtenido en enfriadores proveniente de hornos retortas 3500FU0001/2</t>
  </si>
  <si>
    <t>Estanque separador gruesos escoria</t>
  </si>
  <si>
    <t>3500TK0025</t>
  </si>
  <si>
    <t>Separar los gruesos de escoria del agua provenientes de hornos de fundición 3500FU0003/4</t>
  </si>
  <si>
    <t>Estanque agua enfriamiento escoria</t>
  </si>
  <si>
    <t>3500TK0026</t>
  </si>
  <si>
    <t>Almacenar solución detox, agua enfriamiento escoria proveniente de estanque separador gruesos escoria y sumidero de escoria para transferir a estanque solución barren y retornar a 3500-LN-0018</t>
  </si>
  <si>
    <t>Estanque agua enfriamiento</t>
  </si>
  <si>
    <t>3500TK0099</t>
  </si>
  <si>
    <t>Estanque agua de enfriamiento</t>
  </si>
  <si>
    <t>Almacenar agua de enfriamiento a utilizar en condensador y enfriador de mercurio provenientes de hornos retortas 3500FU0001/2</t>
  </si>
  <si>
    <t>Columna carbón</t>
  </si>
  <si>
    <t>3500VE0004</t>
  </si>
  <si>
    <t>Limpieza de gases producidos en horno retortas 3500FU0001 y transferir a chimenea</t>
  </si>
  <si>
    <t>Afectación ambiental, Afectación a producción, Reparación de columna</t>
  </si>
  <si>
    <t>3500VE0009</t>
  </si>
  <si>
    <t>Limpieza de gases producidos en horno retortas 3500FU0002 y transferir a chimenea</t>
  </si>
  <si>
    <t>Enfriador (cooler)</t>
  </si>
  <si>
    <t>3500XM0098</t>
  </si>
  <si>
    <t>Enfriador agua enfriamiento</t>
  </si>
  <si>
    <t>Después de que el agua de enfriamiento se calienta en el condensador y en el enfriador, pasa a un enfriador para ser refrigerada y regresa al tanque de agua 3500TK0099</t>
  </si>
  <si>
    <t>3500XM0099</t>
  </si>
  <si>
    <t>Cascada moldeo</t>
  </si>
  <si>
    <t>3500XM0032</t>
  </si>
  <si>
    <t>Molde cascada</t>
  </si>
  <si>
    <t>Moldes en donde se vierte el metal provenientes de hornos de fundición 3500FU0003/4 y permiten dar formar a los lingotes de oro</t>
  </si>
  <si>
    <t>Falla de molde</t>
  </si>
  <si>
    <t>Afectación a producción, Cambiar molde</t>
  </si>
  <si>
    <t>Separador</t>
  </si>
  <si>
    <t>3500XM0040</t>
  </si>
  <si>
    <t>Separador gases retorta</t>
  </si>
  <si>
    <t>Separador de gases producidos en horno retortas 3500FU0001 para transferir a chimenea</t>
  </si>
  <si>
    <t>Falla en estructura de separador</t>
  </si>
  <si>
    <t>Afectación ambiental, Afectación a producción, Reparación de estructura de separador</t>
  </si>
  <si>
    <t>Canaleta granulación</t>
  </si>
  <si>
    <t>3500LN0018</t>
  </si>
  <si>
    <t>Canaleta escoria granulada</t>
  </si>
  <si>
    <t xml:space="preserve">Conducir la escoria de cascada de moldeo a sumidero </t>
  </si>
  <si>
    <t>Falla en canaleta</t>
  </si>
  <si>
    <t>Afectación a producción, Reparar canaleta</t>
  </si>
  <si>
    <t>3500XM0101</t>
  </si>
  <si>
    <t>Separador de gases producidos en horno retortas 3500FU0002 para transferir a chimenea</t>
  </si>
  <si>
    <t>3500XM0116</t>
  </si>
  <si>
    <t>3600 Detox de cianuro y espesamiento relaves</t>
  </si>
  <si>
    <t>3610 Detoxificación</t>
  </si>
  <si>
    <t>Chute sobre tamaño harnero</t>
  </si>
  <si>
    <t>3610CH0057</t>
  </si>
  <si>
    <t xml:space="preserve">Recibir descarga de carbón recuperado de harnero vibratorio 3610-SN-0037 para transferir a cajón harnero detox 3610-BX-0032 </t>
  </si>
  <si>
    <t>Afectación a producción, Costos por reparación de chute</t>
  </si>
  <si>
    <t>Chute bajo tamaño harnero</t>
  </si>
  <si>
    <t>3610CH0060</t>
  </si>
  <si>
    <t>Recepcionar la descarga de harnero detox 3610-SN-0037 para transferir a espesador de relaves 3610TH0006</t>
  </si>
  <si>
    <t>Chute alimentación harnero</t>
  </si>
  <si>
    <t>3610CH0066</t>
  </si>
  <si>
    <t>Alimentar harnero detox 3610SN0037</t>
  </si>
  <si>
    <t>Bomba de sumidero detox</t>
  </si>
  <si>
    <t>3610PU0235</t>
  </si>
  <si>
    <t>Bomba sumidero detox</t>
  </si>
  <si>
    <t>Transferir producto de sumidero detox a estanque 3610TA0022</t>
  </si>
  <si>
    <t>Cajón harnero detox</t>
  </si>
  <si>
    <t>3610BX0032</t>
  </si>
  <si>
    <t>Almacenar detox proveniente de 3610SN0037</t>
  </si>
  <si>
    <t>No afectación a producción, Costos por reparación de cajón</t>
  </si>
  <si>
    <t>Bomba sobre tamaño harnero detox</t>
  </si>
  <si>
    <t>3610PU0294</t>
  </si>
  <si>
    <t>Transferir sobre tamaño harnero detox almacenado desde cajón 3610BX0032 a harnero carbón descargado</t>
  </si>
  <si>
    <t>Harnero detox</t>
  </si>
  <si>
    <t>3610SN0037</t>
  </si>
  <si>
    <t>Obtener la descarga de espesador de relave (3620-TH-0006) permitiendo eventualmente retener el carbón, de la pulpa pasante que
descargada de espesador. El carbón recuperado será conducido por un chute (3610-CH-0057) a la tolva (3610-BN-0044) mientras la pulpa pasante del harnero, con una concentración de 42 % de sólidos será descargada en tolva (3620-BX-0029) que alimenta el espesador de relave, de alta capacidad.</t>
  </si>
  <si>
    <t xml:space="preserve">Afectación a producción, Cambiar frame, viga y laterales de harnero </t>
  </si>
  <si>
    <t>3610SY0011</t>
  </si>
  <si>
    <t>Estanque detoxificación</t>
  </si>
  <si>
    <t>3610TA0022</t>
  </si>
  <si>
    <t>Estanque destrucción cianuro</t>
  </si>
  <si>
    <t>Alimentación de relaves CIP, lechada de cal proveniente del loop, el metabisulfito de sodio proveniente de estanque de distribución, sulfato de cobre proveniente de estanque de distribución y el aire enriquecido proveniente de planta de Oxígeno. Adicionalmente recibe aguas: aguas neutralizadas (flujo discreto) desde las etapas de lavado acido del carbón, aguas contactadas (flujo discreto) de agua desde el sumidero recolector de la planta, agua residual de laboratorio (flujo discreto) y agua de derrame (flujo discreto) desde el sumidero del área del agua de enfriamiento en la planta de oxígeno. Descarga por rebose al espesador de relave (3620-TH-0006).</t>
  </si>
  <si>
    <t>Fatalidad o incapacidad permanente a una persona, Afectación ambiental, Afectación a producción, 
Cambio de caja reductora</t>
  </si>
  <si>
    <t>3620 Espesamiento de relaves</t>
  </si>
  <si>
    <t>Bomba harnero detox (3610PU0285)</t>
  </si>
  <si>
    <t>3620PU0285 (Consultar)</t>
  </si>
  <si>
    <t>1 Op + 1 Stby: Transferir el harnero detox proveniente de 3610BX0008 (alimentado desde 3610-SN-0037)</t>
  </si>
  <si>
    <t>Bomba harnero detox (3610PU0286)</t>
  </si>
  <si>
    <t>3620PU0286 (Consultar)</t>
  </si>
  <si>
    <t>Bomba descarga espesador de relaves</t>
  </si>
  <si>
    <t>3620PU0238</t>
  </si>
  <si>
    <t>Bomba descarga espesador relaves</t>
  </si>
  <si>
    <t>1 Op + 1 Stby: Transferir la descarga o underflow del espesador a la planta Filtro pasando por un muestreador metalúrgico y finalmente será descargada en el cajón distribuidor de relave (3630-BX-0023) que alimenta a los estanques de filtración.</t>
  </si>
  <si>
    <t>3620PU0239</t>
  </si>
  <si>
    <t>Bomba solución detox</t>
  </si>
  <si>
    <t>3620PU0253</t>
  </si>
  <si>
    <t>Bomba rebose espesador relaves</t>
  </si>
  <si>
    <t>1 Op + 1 Stby: Transferencia de rebose de espesador almacenado en estanque 3620TK0053 al estanque de solución Detox 3700-TK-0028</t>
  </si>
  <si>
    <t>3620PU0254</t>
  </si>
  <si>
    <t>Bomba descarga clarificador detox</t>
  </si>
  <si>
    <t>3620PU0265</t>
  </si>
  <si>
    <t>1 Op + 1 Stby: Transferencia de descarga de clarificador detox a cajón alimentador espesador relaves 3620BX0029</t>
  </si>
  <si>
    <t>3620PU0266</t>
  </si>
  <si>
    <t>Bomba sumidero espesador de relaves</t>
  </si>
  <si>
    <t>3620PU0293</t>
  </si>
  <si>
    <t>Bomba sumidero espesador relaves</t>
  </si>
  <si>
    <t>Transferir derrames hacia cajón alimentador espesador relaves 3620BX0029</t>
  </si>
  <si>
    <t>3620SY0030</t>
  </si>
  <si>
    <t>Espesador de relaves</t>
  </si>
  <si>
    <t>3620TH0006</t>
  </si>
  <si>
    <t>Espesador relaves</t>
  </si>
  <si>
    <t>Transferencia de pulpa pasante proveniente de cajón 3620BX0029 para recuperar el agua y producir una pulpa estable, alcanzando un 55% de sólidos para alimentar la etapa de filtración. El rebose de espesador será descargado por gravedad en el estanque 3620-TK-0053 y la descarga o underflow del espesador será bombeado 3620-PU-0238/0239 a la planta Filtro</t>
  </si>
  <si>
    <t>Clarificador solución detox</t>
  </si>
  <si>
    <t>3620TH0007</t>
  </si>
  <si>
    <t>Proporcionar un agua recuperada de mejor calidad, disminuyendo los ppm de sólidos disueltos desde 200 ppm a 20 ppm, obteniendo un rebose que será
descargado gravitacionalmente al estanque de solución clarificada. La pulpa recuperada en la descarga del clarificador con un 5% de sólidos será descargada en el espesador de relave.</t>
  </si>
  <si>
    <t>Afectación a producción, Detención de clarificador, 
Reparación de rastras de espesador</t>
  </si>
  <si>
    <t>Estanque solución detox</t>
  </si>
  <si>
    <t>3620TK0053</t>
  </si>
  <si>
    <t>Recepción del rebose del espesador 3620TH0006 descargado por gravedad y luego bombeado a estanque de solución Detox 3700-TK-0028.</t>
  </si>
  <si>
    <t>3630 Filtrado de relaves</t>
  </si>
  <si>
    <t>Acumulador aire</t>
  </si>
  <si>
    <t>3630AR0009</t>
  </si>
  <si>
    <t>Acumulador de aire</t>
  </si>
  <si>
    <t>2 Op + 1 Stby: Suministrar aire de secado para extraer la humedad residual que se encuentra sobre la tela del filtro, una vez concluido la etapa de prensado en filtros de relaves 3630-FL-0010@0012. Suministro de aire para el soplado de manifold</t>
  </si>
  <si>
    <t>Afectación a producción, Costos de cambio de acumulador</t>
  </si>
  <si>
    <t>3630AR0010</t>
  </si>
  <si>
    <t>3630AR0011</t>
  </si>
  <si>
    <t>3630AR0012</t>
  </si>
  <si>
    <t>Suministrar aire comprimido de apoyo a filtro relaves 3630-FL-0010@0012</t>
  </si>
  <si>
    <t>Cajón distribución filtración</t>
  </si>
  <si>
    <t>3630BX0023</t>
  </si>
  <si>
    <t>Recepcionar la descarga o underflow del espesador 3620TH0006 al cajón distribuidor de relaves 3630-BX-0023 que alimenta a los estanques de filtración.</t>
  </si>
  <si>
    <t>Cajón recepción de filtrado</t>
  </si>
  <si>
    <t>3630BX0028</t>
  </si>
  <si>
    <t>Cajón recepción filtrado</t>
  </si>
  <si>
    <t>Recepcionar el agua del lavado de telas de filtros de relaves para impulsar a través de bombas hasta el estanque (3630-TA-0037) y retornar el agua al proceso.</t>
  </si>
  <si>
    <t>Afectación a producción, Detención de planta Detox
Costos por reparación de cajón</t>
  </si>
  <si>
    <t>Puente grúa filtro relaves</t>
  </si>
  <si>
    <t>3630CN0013</t>
  </si>
  <si>
    <t>Izar y desplazar cargas en filtro relaves</t>
  </si>
  <si>
    <t>Compresor servicio filtros relaves</t>
  </si>
  <si>
    <t>3630CP0005</t>
  </si>
  <si>
    <t>2 Op + 1 Stby: Comprimir aire para el soplado y secado de filtros de relaves 3630-FL-0010@0012</t>
  </si>
  <si>
    <t>Afectación a producción, Costos por cambio de compresor</t>
  </si>
  <si>
    <t>3630CP0006</t>
  </si>
  <si>
    <t>3630CP0007</t>
  </si>
  <si>
    <t>Compresor apoyo filtros relaves</t>
  </si>
  <si>
    <t>3630CP0008</t>
  </si>
  <si>
    <t>Comprimir aire para el prensado de filtros relaves 3630-FL-0010@0012</t>
  </si>
  <si>
    <t>Filtro relaves</t>
  </si>
  <si>
    <t>3630FL0010</t>
  </si>
  <si>
    <t>Filtro relaves 1</t>
  </si>
  <si>
    <t>2 Op + 1 Stby: Alimentación de descarga de espesador 3630-TA-0025/0026, el agua producto del filtrado es descargada a un cajón 3630-BX-0028, desde el cual es transferida hasta el estanque de agua filtrada 3630-TA-0037. El relave filtrado es descargado al piso</t>
  </si>
  <si>
    <t>3630FL0011</t>
  </si>
  <si>
    <t>Filtro relaves 2</t>
  </si>
  <si>
    <t>3630FL0012</t>
  </si>
  <si>
    <t>Filtro relaves 3</t>
  </si>
  <si>
    <t>Bomba alimentación filtración</t>
  </si>
  <si>
    <t>3630PU0240</t>
  </si>
  <si>
    <t>2 Op + 1 Stby: Transferir descarga de estanque agitador 3630-TA-0025/0026 y alimentar filtros de relaves 3630-FL-0010@0012</t>
  </si>
  <si>
    <t>3630PU0242</t>
  </si>
  <si>
    <t>3630PU0244</t>
  </si>
  <si>
    <t>3630PU0246</t>
  </si>
  <si>
    <t>2 Op + 1 Stby: Transferir el agua para lavado de manifold de filtros de relaves desde estanque 3630-TK-0027</t>
  </si>
  <si>
    <t>3630PU0247</t>
  </si>
  <si>
    <t>3630PU0248</t>
  </si>
  <si>
    <t>3630PU0251</t>
  </si>
  <si>
    <t>Bomba agua filtrado relaves</t>
  </si>
  <si>
    <t>3 Op + 1 Stby: Transferir el agua filtrada de estanque de filtrado 3630-TA-0037 hacia cajón de alimentación espesador de relaves 3620-BX-0029</t>
  </si>
  <si>
    <t>Bomba filtrado relave</t>
  </si>
  <si>
    <t>3630PU0252</t>
  </si>
  <si>
    <t>Bomba agua de sello</t>
  </si>
  <si>
    <t>3630PU0261</t>
  </si>
  <si>
    <t>Bomba agua sello</t>
  </si>
  <si>
    <t>1 Op + 1 Stby: Suministrar agua para sello desde 3630TK0027 a 3630-PU-0240/0242/0244 y 3630-PU-0476/0477/0478/0482</t>
  </si>
  <si>
    <t>3630PU0262</t>
  </si>
  <si>
    <t>Bomba rechazo de muestra relave</t>
  </si>
  <si>
    <t>3630PU0267</t>
  </si>
  <si>
    <t>Bomba rechazo de muestra relaves</t>
  </si>
  <si>
    <t>Transferir la muestra de relave al proceso</t>
  </si>
  <si>
    <t>Bomba de sumidero filtro relaves</t>
  </si>
  <si>
    <t>3630PU0291</t>
  </si>
  <si>
    <t>Bomba sumidero filtro relaves</t>
  </si>
  <si>
    <t>Transferir los derrames producidos en planta a cajón distribuidor de relaves 3630-BX-0023</t>
  </si>
  <si>
    <t>3630PU0292</t>
  </si>
  <si>
    <t>Transferir los derrames producidos en planta a estanque de agua filtrada 3630-TA-0037</t>
  </si>
  <si>
    <t>3630PU0293</t>
  </si>
  <si>
    <t>Bomba relaves</t>
  </si>
  <si>
    <t>Transferir el producto de sumidero a 3630BX0029</t>
  </si>
  <si>
    <t>Bomba impulsión filtrado</t>
  </si>
  <si>
    <t>3630PU0476</t>
  </si>
  <si>
    <t>3 Op + 1 Stby: Transferir el material filtrado desde cajón 3620-BX-0028 hacia estanque de filtrado 3620-TA-0037</t>
  </si>
  <si>
    <t>3630PU0477</t>
  </si>
  <si>
    <t>3630PU0478</t>
  </si>
  <si>
    <t>3630PU0480</t>
  </si>
  <si>
    <t>Bomba filtrado relaves</t>
  </si>
  <si>
    <t>3630PU0481</t>
  </si>
  <si>
    <t>3630PU0482</t>
  </si>
  <si>
    <t>Muestreador primario relaves</t>
  </si>
  <si>
    <t>3630SA0011</t>
  </si>
  <si>
    <t>Cortar una fracción de flujo principal de relaves para análisis</t>
  </si>
  <si>
    <t>Muestreador secundario relaves</t>
  </si>
  <si>
    <t>3630SA0012</t>
  </si>
  <si>
    <t>Cortar una fracción de muestra secundario de relaves para análisis</t>
  </si>
  <si>
    <t>Muestreador terciario relaves</t>
  </si>
  <si>
    <t>3630SA0013</t>
  </si>
  <si>
    <t>Cortar una fracción de muestra terciario de relaves para análisis</t>
  </si>
  <si>
    <t>Ducha y lava ojos emergencia autónomo</t>
  </si>
  <si>
    <t>3630SY0013</t>
  </si>
  <si>
    <t>Estanque filtración</t>
  </si>
  <si>
    <t>3630TA0025</t>
  </si>
  <si>
    <t>1 Op + 1 Stby: Recepción de descarga de relave de cajón distribuidor 3620-BX-0023 hacia filtros de relaves</t>
  </si>
  <si>
    <t>3630TA0026</t>
  </si>
  <si>
    <t>Estanque filtrado</t>
  </si>
  <si>
    <t>3630TA0037</t>
  </si>
  <si>
    <t>Recepción de filtrado proveniente de filtros relaves, descarga de agua filtrada y rebose de agua filtrada a piscina de agua recuperada</t>
  </si>
  <si>
    <t>Estanque agua lavado telas</t>
  </si>
  <si>
    <t>3630TK0027</t>
  </si>
  <si>
    <t>Almacenamiento de agua clarificada para lavado de telas posterior a la etapa de descarga de relave filtrado en 3630-FL-0010@0012</t>
  </si>
  <si>
    <t>3700 Agua de proceso</t>
  </si>
  <si>
    <t>Bomba solución clarificada</t>
  </si>
  <si>
    <t>3700PU0263</t>
  </si>
  <si>
    <t>1 Op + 1 Stby: Transferir solución clarificada desde 3700-TK-0062 hacia estanque lavado telas, estanque MBSS, solución floculante, tolva harnero detox, intercambiador de calor recuperación y enfriamiento, preparación lechada cal, harneros finos de carbón y harneros carbón descargado.</t>
  </si>
  <si>
    <t>3700PU0264</t>
  </si>
  <si>
    <t>3700PU0271</t>
  </si>
  <si>
    <t>1 Op + 1 Stby: Alimentación de solución detoxificada 3700-TK-0029 y distribución a diferentes áreas proceso</t>
  </si>
  <si>
    <t>3700PU0272</t>
  </si>
  <si>
    <t>1 Op + 1 Stby: Alimentación de solución detoxificada 3700-TK-0029 y distribución a Molienda, enfriamiento escoria, tolva de carbón, regeneración de carbón, carbón alimentación CIP, área CIP, clarificador solución detox, harnero detox y analizador de partículas.</t>
  </si>
  <si>
    <t>Bomba de agua Molienda</t>
  </si>
  <si>
    <t>3700PU0274</t>
  </si>
  <si>
    <t>Bomba agua molienda</t>
  </si>
  <si>
    <t>1 Op + 1 Stby: Distribuir agua Molienda desde 3700-TK-0029  hacia Molienda, muestreo y distribución</t>
  </si>
  <si>
    <t>3700PU0275</t>
  </si>
  <si>
    <t>3700PU0283</t>
  </si>
  <si>
    <t>1 Op + 1 Stby: Distribuir agua sellos desde estanque 3700TK0062 hacia bombas</t>
  </si>
  <si>
    <t>3700PU0284</t>
  </si>
  <si>
    <t>3700TK0028</t>
  </si>
  <si>
    <t>Recepción de solución detox proveniente de espesador de relaves y lixiviación para distribución</t>
  </si>
  <si>
    <t>Estanque agua Molienda</t>
  </si>
  <si>
    <t>3700TK0029</t>
  </si>
  <si>
    <t>Alimentar a planta Molienda para Molienda, muestreo y distribución</t>
  </si>
  <si>
    <t>Estanque solución clarificada</t>
  </si>
  <si>
    <t>3700TK0062</t>
  </si>
  <si>
    <t>Almacenar solución clarificada para transferir a diferentes áreas de procesos (3300, 3600, 3800, 3400 y 3700)</t>
  </si>
  <si>
    <t>3810 Cal</t>
  </si>
  <si>
    <t>Grúa pedestal planta cal</t>
  </si>
  <si>
    <t>3810CN0010</t>
  </si>
  <si>
    <t>Izar y desplazar cargas en área de reactivos cal</t>
  </si>
  <si>
    <t>No afectación a producción, Cambio de cable</t>
  </si>
  <si>
    <t>Compresor neumático</t>
  </si>
  <si>
    <t>3810CP0010</t>
  </si>
  <si>
    <t xml:space="preserve">Compresor de aire </t>
  </si>
  <si>
    <t>Suministrar presión a circuito neumático de camión para descarga de cal viva</t>
  </si>
  <si>
    <t>No afectación a producción, Costos por cambio de compresor</t>
  </si>
  <si>
    <t>Ventilador escape lechada cal</t>
  </si>
  <si>
    <t>3810FA0044</t>
  </si>
  <si>
    <t>Ventilador scrubber A</t>
  </si>
  <si>
    <t>Ventilador escape estanque lechada de cal</t>
  </si>
  <si>
    <t>Ventilador escape apagador cal</t>
  </si>
  <si>
    <t>3810FA0030</t>
  </si>
  <si>
    <t>Ventilador scrubber B</t>
  </si>
  <si>
    <t>Ventilador escape apagador de cal</t>
  </si>
  <si>
    <t>Alimentador tornillo cal</t>
  </si>
  <si>
    <t>3810FE0012</t>
  </si>
  <si>
    <t>Transferir cal viva de silo 3810-SO-0001 al slaker.</t>
  </si>
  <si>
    <t>Bomba distribución cal</t>
  </si>
  <si>
    <t>3810PU0301</t>
  </si>
  <si>
    <t>1 Op + 1 Stby: Descargar lechada de cal desde 3810-TA-0027/28 a estanque 3610-TA-0022</t>
  </si>
  <si>
    <t>No afectación a producción, Fatalidad o incapacidad permanente a una persona, Cambio de componentes internos de bomba</t>
  </si>
  <si>
    <t>3810PU0302</t>
  </si>
  <si>
    <t>Bomba sumidero lechada de cal</t>
  </si>
  <si>
    <t>3810PU0303</t>
  </si>
  <si>
    <t>Bomba sumidero lechada cal</t>
  </si>
  <si>
    <t>Descargar lechada de cal de sumidero a estanque distribución lechada cal 3810TA0028</t>
  </si>
  <si>
    <t>Bomba traspaso alimentación lechada de cal</t>
  </si>
  <si>
    <t>3810PU0395</t>
  </si>
  <si>
    <t>Bomba traspaso alimentación lechada cal</t>
  </si>
  <si>
    <t>1 Op + 1 Stby: Transferir lechada de cal de estanque 3810TA0040 a estanques 3810TA0027/28</t>
  </si>
  <si>
    <t>3810PU0396</t>
  </si>
  <si>
    <t>Harnero cal</t>
  </si>
  <si>
    <t>3810SN0038</t>
  </si>
  <si>
    <t>Harnero eliminación arena</t>
  </si>
  <si>
    <t>Recepción de cal de Slaker, alimentar material fino a estanque lechada de cal 3810TA0040 y descarga de material grueso a pila</t>
  </si>
  <si>
    <t>Falla de estructura - Reparar</t>
  </si>
  <si>
    <t>Silo de cal</t>
  </si>
  <si>
    <t>3810SO0001</t>
  </si>
  <si>
    <t>Silo almacenamiento cal</t>
  </si>
  <si>
    <t>Recepción de cal viva descargada de camión y transferir a través de alimentador tornillo 3810FE0012 al apagador de cal 3810XM0060</t>
  </si>
  <si>
    <t>Falla de estructura de silo</t>
  </si>
  <si>
    <t>No afectación a producción, Reparar estructura de silo</t>
  </si>
  <si>
    <t>Ducha emergencia - lava ojos</t>
  </si>
  <si>
    <t>3810SY0019</t>
  </si>
  <si>
    <t>3810SY0031</t>
  </si>
  <si>
    <t>Estanque de distribución lechada de cal</t>
  </si>
  <si>
    <t>3810TA0027</t>
  </si>
  <si>
    <t>Estanque de distribución lechada cal</t>
  </si>
  <si>
    <t>Recepción de lechada de cal, lechada de cal de sumidero, agua fresca desde distribución área cal y agua clarificada desde estanque de solución clarificada para transferir a diferentes puntos de proceso</t>
  </si>
  <si>
    <t>3810TA0028</t>
  </si>
  <si>
    <t>Estanque lechada de cal</t>
  </si>
  <si>
    <t>3810TA0040</t>
  </si>
  <si>
    <t>Estanque lechada cal</t>
  </si>
  <si>
    <t>Mezclar cal obtenida de slaker + agua para producir lechada de cal</t>
  </si>
  <si>
    <t>Apagador cal</t>
  </si>
  <si>
    <t>3810XM0060</t>
  </si>
  <si>
    <t>Preparar le lechada de cal al mezclar cal viva con agua para distribuir  a Molienda, Lixiviación y detox</t>
  </si>
  <si>
    <t>Falla de caja reductora</t>
  </si>
  <si>
    <t>No afectación a producción, Afectación ambiental, Cambiar caja reductora</t>
  </si>
  <si>
    <t>3820 Cianuro</t>
  </si>
  <si>
    <t>Puente grúa de cianuro</t>
  </si>
  <si>
    <t>3820CN0015</t>
  </si>
  <si>
    <t>Puente grúa cianuro</t>
  </si>
  <si>
    <t>Izar y desplazar cargas en área de reactivos cianuro</t>
  </si>
  <si>
    <t>Fatalidad o incapacidad permanente a una persona, No afectación a producción,  Cambio de cable</t>
  </si>
  <si>
    <t>Ventilador sistema scrubber</t>
  </si>
  <si>
    <t>3820FA0019</t>
  </si>
  <si>
    <t>Extraer los gases generados en scrubber hacia la atmósfera</t>
  </si>
  <si>
    <t>Tolva cianuro de sodio</t>
  </si>
  <si>
    <t>3820HO0029</t>
  </si>
  <si>
    <t>Almacenar cianuro de sodio proveniente de sacos</t>
  </si>
  <si>
    <t>3820PU0304</t>
  </si>
  <si>
    <t>Descargar el hidróxido de sodio desde estanque y transferir a Scrubber para lavado de cianuro</t>
  </si>
  <si>
    <t>Bomba sistema lavado</t>
  </si>
  <si>
    <t>3820PU0305</t>
  </si>
  <si>
    <t>Recirculación en Scrubber para lavado de cianuro</t>
  </si>
  <si>
    <t>Bomba sumidero cianuro de sodio</t>
  </si>
  <si>
    <t>3820PU0306</t>
  </si>
  <si>
    <t>Transferir el derrame contenido en sumidero hacia estanque de distribución 3820-TA-0030</t>
  </si>
  <si>
    <t>Afectación en salud reversible moderada con pérdida de tiempo, Afectación ambiental, No afectación a producción, Cambio de componentes internos de bomba</t>
  </si>
  <si>
    <t>Bomba transferencia de cianuro</t>
  </si>
  <si>
    <t>3820PU0307</t>
  </si>
  <si>
    <t>Bomba transferencia cianuro</t>
  </si>
  <si>
    <t>Transferir cianuro de sodio desde estanque de preparación hacia estanque de distribución</t>
  </si>
  <si>
    <t>Bomba distribución de cianuro</t>
  </si>
  <si>
    <t>3820PU0308</t>
  </si>
  <si>
    <t>Bomba distribución cianuro</t>
  </si>
  <si>
    <t xml:space="preserve">2 Op + 1 Stby: Transferir el cianuro proveniente de estanque 3820-TA-0030 para distribución </t>
  </si>
  <si>
    <t>Pasiva</t>
  </si>
  <si>
    <t>3820PU0309</t>
  </si>
  <si>
    <t>Bomba distribución de cianuro (repuesto)</t>
  </si>
  <si>
    <t>3820PU0310</t>
  </si>
  <si>
    <t>Bomba distribución cianuro (repuesto)</t>
  </si>
  <si>
    <t>Bomba sumidero estanque preparación</t>
  </si>
  <si>
    <t>3820PU0462</t>
  </si>
  <si>
    <t>Bomba sumidero unidad lavado</t>
  </si>
  <si>
    <t>Transferir el producto contenido en sumidero hacia estanque distribuidor 3820-TA-0030</t>
  </si>
  <si>
    <t>No afectación a producción, Reversibles moderados con pérdida de tiempo, Afectación ambiental, Cambio de componentes internos de bomba</t>
  </si>
  <si>
    <t>Sistema scrubber cianuro</t>
  </si>
  <si>
    <t>3820SK0005</t>
  </si>
  <si>
    <t>Lavado de cianuro para transferir a estanque preparación de cianuro de sodio 3820TA0029</t>
  </si>
  <si>
    <t>Falla en estructura de lavador de cianuro</t>
  </si>
  <si>
    <t>Fatalidad o incapacidad permanente a una persona, Afectación a producción, Reparar estructura de lavador de cianuro</t>
  </si>
  <si>
    <t>Estanque preparación cianuro de sodio</t>
  </si>
  <si>
    <t>3820TA0029</t>
  </si>
  <si>
    <t>Preparar cianuro de sodio para transferir a estanque de distribución</t>
  </si>
  <si>
    <t>Estanque distribución de cianuro de sodio</t>
  </si>
  <si>
    <t>3820TA0030</t>
  </si>
  <si>
    <t>Estanque distribución cianuro de sodio</t>
  </si>
  <si>
    <t>Almacenar el cianuro de sodio proveniente de 3820-TA-0029 para distribución</t>
  </si>
  <si>
    <t>3820TA0031</t>
  </si>
  <si>
    <t xml:space="preserve">Almacenar agua fresca e hidróxido de sodio proveniente de estanque </t>
  </si>
  <si>
    <t>Ducha de emergencia</t>
  </si>
  <si>
    <t>3820SY0032</t>
  </si>
  <si>
    <t>3820SY0033</t>
  </si>
  <si>
    <t>3820SY0014</t>
  </si>
  <si>
    <t>Soplador sistema floculante</t>
  </si>
  <si>
    <t>3830BL0001</t>
  </si>
  <si>
    <t>Adicionar aire presurizado a venturi floculante 3830XH0068</t>
  </si>
  <si>
    <t>No afectación a producción, Cambio de motor eléctrico</t>
  </si>
  <si>
    <t>Chute descarga floculante</t>
  </si>
  <si>
    <t>3830CH0067</t>
  </si>
  <si>
    <t>Tolvín descarga floculante</t>
  </si>
  <si>
    <t>Recepcionar el floculante desde tolva 3830HO0024 hacia venturi floculante 3830XH0068</t>
  </si>
  <si>
    <t>Alimentador tornillo floculante</t>
  </si>
  <si>
    <t>3830FE0020</t>
  </si>
  <si>
    <t>Transferir floculante desde tolva 3830HO0024 hacia venturi floculante 3830XH0068</t>
  </si>
  <si>
    <t>Tolva floculante</t>
  </si>
  <si>
    <t>3830HO0024</t>
  </si>
  <si>
    <t>Recepción y almacenamiento de floculante para transferir posteriormente a venturi</t>
  </si>
  <si>
    <t>Tecle área floculante</t>
  </si>
  <si>
    <t>3830HT0025</t>
  </si>
  <si>
    <t>Mezclador floculante</t>
  </si>
  <si>
    <t>3830MX0005</t>
  </si>
  <si>
    <t>Mezcla de floculante proveniente de bomba 3810PU0312 y ser distribuido en diferentes puntos del proceso</t>
  </si>
  <si>
    <t>Rotura de cámara</t>
  </si>
  <si>
    <t>Afectación a producción, Cambio de mezclador</t>
  </si>
  <si>
    <t>3830MX0006</t>
  </si>
  <si>
    <t>Mezcla de floculante proveniente de bomba 3810PU0313 y ser distribuido en diferentes puntos del proceso</t>
  </si>
  <si>
    <t>3830MX0007</t>
  </si>
  <si>
    <t>Mezcla de floculante proveniente de bomba 3810PU0314 y ser distribuido en diferentes puntos del proceso</t>
  </si>
  <si>
    <t>3830MX0008</t>
  </si>
  <si>
    <t>Mezcla de floculante proveniente de bomba 3810PU0315 y ser distribuido en diferentes puntos del proceso</t>
  </si>
  <si>
    <t>3830MX0009</t>
  </si>
  <si>
    <t>Mezcla de floculante proveniente de bomba 3810PU0316 y ser distribuido en diferentes puntos del proceso</t>
  </si>
  <si>
    <t>3830MX0010</t>
  </si>
  <si>
    <t>Mezcla de floculante proveniente de bomba 3810PU0317 y ser distribuido en diferentes puntos del proceso</t>
  </si>
  <si>
    <t>Bomba floculante</t>
  </si>
  <si>
    <t>3830PU0312</t>
  </si>
  <si>
    <t>7 Op + 1 Stby: Dosificar floculante proveniente de estanque 3830TA0042 hacia Espesadores</t>
  </si>
  <si>
    <t>3830PU0313</t>
  </si>
  <si>
    <t>3830PU0314</t>
  </si>
  <si>
    <t>3830PU0315</t>
  </si>
  <si>
    <t>3830PU0316</t>
  </si>
  <si>
    <t>3830PU0317</t>
  </si>
  <si>
    <t>1 Op + 1 Stby: Transferir floculante proveniente de estanque 3830TA0042 hacia Clarificadores</t>
  </si>
  <si>
    <t>Bomba sumidero floculante</t>
  </si>
  <si>
    <t>3830PU0333</t>
  </si>
  <si>
    <t>Retornar derrames desde sumidero hacia espesador de relave 3620-TH-0001</t>
  </si>
  <si>
    <t>Bomba transferencia floculante</t>
  </si>
  <si>
    <t>3830PU0467</t>
  </si>
  <si>
    <t>1 Op + 1 Stby: Transferir floculante preparado en 3830TA0039 hacia estanque 3830TA0042</t>
  </si>
  <si>
    <t>3830PU0468</t>
  </si>
  <si>
    <t>3830SY0019</t>
  </si>
  <si>
    <t>3830SY0031</t>
  </si>
  <si>
    <t>3830SY0034</t>
  </si>
  <si>
    <t>Estanque preparación floculante</t>
  </si>
  <si>
    <t>3830TA0039</t>
  </si>
  <si>
    <t>Recepción de floculante humectado en 3830XP0024 para preparar floculante</t>
  </si>
  <si>
    <t>Estanque floculante</t>
  </si>
  <si>
    <t>3830TA0042</t>
  </si>
  <si>
    <t>Recepción de floculante a través de 3830PU0467 para distribuir a través de bombas 3830PU0312/13/14/15/16/17</t>
  </si>
  <si>
    <t>Venturi floculante</t>
  </si>
  <si>
    <t>3830XM0068</t>
  </si>
  <si>
    <t>Generar depresión en un estrechamiento al aumentar la velocidad del fluido y así propiciar condiciones para mezcla</t>
  </si>
  <si>
    <t>No afectación a producción, Cambio de mezclador</t>
  </si>
  <si>
    <t>Cámara solución floculante</t>
  </si>
  <si>
    <t>3830XP0024</t>
  </si>
  <si>
    <t>Humectación con agua fresca de floculante proveniente de venturi 3840-XM-0068 y posteriormente descargado a 3840-TA-0039</t>
  </si>
  <si>
    <t>Rotura de cámara floculante</t>
  </si>
  <si>
    <t>No afectación a producción, Cambio de cámara floculante</t>
  </si>
  <si>
    <t>3840 Reactivos detoxificantes</t>
  </si>
  <si>
    <t>Puente grúa SMBS</t>
  </si>
  <si>
    <t>3840CN0018</t>
  </si>
  <si>
    <t>Puente grúa SBMS</t>
  </si>
  <si>
    <t>Izar y desplazar cargas en SMBS</t>
  </si>
  <si>
    <t>Tornillo alimentador sulfato de cobre</t>
  </si>
  <si>
    <t>3840FE0018</t>
  </si>
  <si>
    <t>Transferir metabisulfito de sodio de tolva 3840HO0026 a estanque preparación MBSS 3840TA0034</t>
  </si>
  <si>
    <t>Tornillo alimentador SMBS</t>
  </si>
  <si>
    <t>3840FE0019</t>
  </si>
  <si>
    <t>Tornillo alimentador MBSS</t>
  </si>
  <si>
    <t>Transferir metabisulfito de sodio de tolva 3840HO0028 a estanque preparación SMBS 3840TA0032</t>
  </si>
  <si>
    <t>Tolva sulfato cobre</t>
  </si>
  <si>
    <t>3840HO0026</t>
  </si>
  <si>
    <t>Almacenamiento de metabisulfito de sodio para transferir a través de 3840FE0018 a estanque preparación MBSS 3840TA0034</t>
  </si>
  <si>
    <t>Tolva SMBS</t>
  </si>
  <si>
    <t>3840HO0028</t>
  </si>
  <si>
    <t>Almacenamiento de metabisulfito de sodio para transferir a través de 3840FE0019 a estanque preparación SMBS 3840TA0032</t>
  </si>
  <si>
    <t>Grúa sulfato de cobre</t>
  </si>
  <si>
    <t>3840HT0027</t>
  </si>
  <si>
    <t>Tecle sulfato de cobre</t>
  </si>
  <si>
    <t>Izar y trasladar cargas en metabisulfito de cobre</t>
  </si>
  <si>
    <t>Bomba sulfato de cobre</t>
  </si>
  <si>
    <t>3840PU0318</t>
  </si>
  <si>
    <t>1 Op + 1 Stby: Transferir sulfato de cobre desde estanque 3840TK0036 a estanque de destrucción cianuro</t>
  </si>
  <si>
    <t>No afectación a producción, Afectación ambiental, Cambio de componentes internos de bomba</t>
  </si>
  <si>
    <t>3840PU0319</t>
  </si>
  <si>
    <t>Bomba transferencia sulfato de cobre</t>
  </si>
  <si>
    <t>3840PU0320</t>
  </si>
  <si>
    <t xml:space="preserve">Descargar el metabisulfito de sodio desde estanque 3610-TA-0034 hacia estanque 3840-TK-0036  </t>
  </si>
  <si>
    <t>Bomba transferencia SMBS</t>
  </si>
  <si>
    <t>3840PU0321</t>
  </si>
  <si>
    <t xml:space="preserve">Descargar el metabisulfito de sodio desde estanque de distribución 3610-TA-0022 hacia estanque 3840-TK-0035 </t>
  </si>
  <si>
    <t>Bomba distribución SMBS</t>
  </si>
  <si>
    <t>3840PU0322</t>
  </si>
  <si>
    <t xml:space="preserve">1 Op + 1 Stby: Transferencia de metabisulfito de sodio de estanque SMBS 3840TK0035 hacia estanque destrucción de cianuro </t>
  </si>
  <si>
    <t>3840PU0323</t>
  </si>
  <si>
    <t>Bomba sumidero SMBS</t>
  </si>
  <si>
    <t>3840PU0324</t>
  </si>
  <si>
    <t>Retorno de SMBS de sumidero a estanque 3840-TK-0035</t>
  </si>
  <si>
    <t>Bomba recirculación drenaje</t>
  </si>
  <si>
    <t>3840PU0496</t>
  </si>
  <si>
    <t>Bomba recirculación drenaje lavado gases</t>
  </si>
  <si>
    <t>Recircular el drenaje a lavador de gases 3840SK0003</t>
  </si>
  <si>
    <t>Lavador de gases</t>
  </si>
  <si>
    <t>3840SK0003</t>
  </si>
  <si>
    <t>Columna lavado de gases provenientes de 3840TA0032 y 3840TK0035</t>
  </si>
  <si>
    <t>Falla medio filtrante</t>
  </si>
  <si>
    <t>No afectación a producción, Afectación ambiental, Cambio medio filtrante</t>
  </si>
  <si>
    <t>3840SY0020</t>
  </si>
  <si>
    <t>3840SY0035</t>
  </si>
  <si>
    <t>Estanque preparación SMBS</t>
  </si>
  <si>
    <t>3840TA0032</t>
  </si>
  <si>
    <t>Preparación de SMBS para transferir a través de 3840PU0321 a estanque de distribución 3840-TK-0035</t>
  </si>
  <si>
    <t>Estanque preparación sulfato de cobre</t>
  </si>
  <si>
    <t>3840TA0034</t>
  </si>
  <si>
    <t xml:space="preserve">Preparación de sulfato de cobre para transferir a través de 3840PU0320 a estanque de distribución 3840-TK-0036. </t>
  </si>
  <si>
    <t>Estanque distribución SMBS</t>
  </si>
  <si>
    <t>3840TK0035</t>
  </si>
  <si>
    <t>Almacenamiento de metabisulfito de sodio para distribución a través de 3840PU0322/23</t>
  </si>
  <si>
    <t>Estanque distribución sulfato de cobre</t>
  </si>
  <si>
    <t>3840TK0036</t>
  </si>
  <si>
    <t>Almacenamiento de metabisulfito de sodio para distribución a través de 3840PU0318/19</t>
  </si>
  <si>
    <t>3900 Contención de emergencias y derrames</t>
  </si>
  <si>
    <t>3910 Manejo de agua contactada</t>
  </si>
  <si>
    <t>Cajón residuos laboratorio</t>
  </si>
  <si>
    <t>3910BX0027</t>
  </si>
  <si>
    <t>Recepcionar los residuos de laboratorio para transferir a estanque 3910TK0079</t>
  </si>
  <si>
    <t>Tecle manual bomba</t>
  </si>
  <si>
    <t>3910HT0031</t>
  </si>
  <si>
    <t>Tecle bomba</t>
  </si>
  <si>
    <t>Izar y trasladar bomba en área aguas contactadas</t>
  </si>
  <si>
    <t>Tecle bomba sumidero</t>
  </si>
  <si>
    <t>3910HT0034</t>
  </si>
  <si>
    <t>Izar y trasladar bomba en sumidero aguas contactadas</t>
  </si>
  <si>
    <t>Bomba móvil sumergible planta</t>
  </si>
  <si>
    <t>3910PU0355</t>
  </si>
  <si>
    <t>Descargar aguas contactadas flujo (discreto) al estanque (3610-TA-0022) proveniente de sumidero recolector de la planta</t>
  </si>
  <si>
    <t>Bomba móvil sumergible laboratorio</t>
  </si>
  <si>
    <t>3910PU0356</t>
  </si>
  <si>
    <t>Transferir los residuos de laboratorio provenientes de 3910TK0079 a estanque detoxificación</t>
  </si>
  <si>
    <t>TSF bomba móvil sumergible</t>
  </si>
  <si>
    <t>3910PU0357</t>
  </si>
  <si>
    <t>Bomba móvil sumergible TSF</t>
  </si>
  <si>
    <t>Transferir derrames de Molienda hacia piscina de agua recuperada</t>
  </si>
  <si>
    <t>No afectación a producción, Afectación ambiental, Costo de reparación de bomba (Costos por cambio)</t>
  </si>
  <si>
    <t>Bomba sumidero agua contactada</t>
  </si>
  <si>
    <t>3910PU0358</t>
  </si>
  <si>
    <t>Transferir agua contactada proveniente de sumidero a estanque filtrado</t>
  </si>
  <si>
    <t>Bomba diésel portátil agua contactada</t>
  </si>
  <si>
    <t>3910PU0470</t>
  </si>
  <si>
    <t>Bomba portátil agua contactada</t>
  </si>
  <si>
    <t>Transferir agua recuperada de piscina botadero relaves norte hacia estanque filtrado</t>
  </si>
  <si>
    <t>Estanque residuo de laboratorio</t>
  </si>
  <si>
    <t>3910TK0079</t>
  </si>
  <si>
    <t>Almacenar los residuos provenientes de cajón 3910BX0027 y succión lavado de gases laboratorio</t>
  </si>
  <si>
    <t>4100 Agua fresca &amp; agua potable</t>
  </si>
  <si>
    <t>Bomba duchas emergencia</t>
  </si>
  <si>
    <t>4100PU0036</t>
  </si>
  <si>
    <t>Transferir agua hacia las duchas de emergencia proveniente 4100-TK-0064 hacia duchas de emergencia</t>
  </si>
  <si>
    <t>No afectación a producción, Afectación en ojos o quemaduras en piel por contacto con sustancias químicas, 
Cambio de componentes internos de bomba</t>
  </si>
  <si>
    <t>Bomba agua mina</t>
  </si>
  <si>
    <t>4100PU0343</t>
  </si>
  <si>
    <t>Transferir agua desde estanque 4100TK0041 a camiones para riego mina</t>
  </si>
  <si>
    <t>Bomba agua caminos</t>
  </si>
  <si>
    <t>4100PU0346</t>
  </si>
  <si>
    <t>Transferir agua desde estanque 4100TK0041 a camiones para riego caminos</t>
  </si>
  <si>
    <t>Bomba agua potable</t>
  </si>
  <si>
    <t>4100PU0347</t>
  </si>
  <si>
    <t>Transferir agua potable proveniente de 4100-TK-0044 hacia camión de reparto</t>
  </si>
  <si>
    <t>Bomba agua fresca</t>
  </si>
  <si>
    <t>4100PU0361</t>
  </si>
  <si>
    <t>Bomba agua fresca taller camiones</t>
  </si>
  <si>
    <t>Transferir agua fresca desde estanque 4100TK0042 hacia estanque agua lavado taller EMP</t>
  </si>
  <si>
    <t>4100PU0495</t>
  </si>
  <si>
    <t>Bomba impulsión agua potable</t>
  </si>
  <si>
    <t>Transferir agua potable proveniente de estanque 4100-TK-0044 hacia duchas emergencia y/o taller HME</t>
  </si>
  <si>
    <t>Tratamiento médico no restrictivo,  Afectación a producción, Cambio de componentes internos de bomba</t>
  </si>
  <si>
    <t>4100SY0036</t>
  </si>
  <si>
    <t>Estanque agua potable planta filtros</t>
  </si>
  <si>
    <t>4100TK0037</t>
  </si>
  <si>
    <t>Almacenar agua potable proveniente de unidad repotabilizadora 4100-WT-0003 para distribución planta filtro</t>
  </si>
  <si>
    <t>No afectación a producción, Tratamiento médico no restrictivo, Reparación de estructura de estanque</t>
  </si>
  <si>
    <t>Estanque agua mina</t>
  </si>
  <si>
    <t>4100TK0041</t>
  </si>
  <si>
    <t>Almacenar agua mina para riego de mina y caminos</t>
  </si>
  <si>
    <t>Estanque agua fresca</t>
  </si>
  <si>
    <t>4100TK0042</t>
  </si>
  <si>
    <t>Almacenar agua fresca proveniente de 7200TK0052 para distribución en varios puntos de planta</t>
  </si>
  <si>
    <t>Reversibles moderados con pérdida de tiempo, Afectación a producción, Reparación de estructura de estanque</t>
  </si>
  <si>
    <t>Estanque agua potable</t>
  </si>
  <si>
    <t>4100TK0044</t>
  </si>
  <si>
    <t>Almacenar agua de unidad potabilizadora 4100-WT-0002 para distribuir a 4100-TK-0064, camión reparto para 4100-TK-0037 /
4100-TK-0038, tanque duchas emergencias 1210-TK-0080 y consumo taller HME, consumo oficinas permanente mina, consumo planta y barrio cívico</t>
  </si>
  <si>
    <t>Estanque agua incendio</t>
  </si>
  <si>
    <t>4100TK0045</t>
  </si>
  <si>
    <t>Almacenar agua fresca proveniente 7200-PU-0423/0424/0427 hacia agua contraincendios planta filtro</t>
  </si>
  <si>
    <t>Estanque ducha emergencia</t>
  </si>
  <si>
    <t>4100TK0064</t>
  </si>
  <si>
    <t>Almacenar agua proveniente de estanque agua potable para distribuir a hidro pack duchas de emergencias</t>
  </si>
  <si>
    <t>No afectación a producción, Fatalidad o incapacidad permanente a una persona, Reparación de estructura de estanque</t>
  </si>
  <si>
    <t>Unidad potabilización</t>
  </si>
  <si>
    <t>4100WT0002</t>
  </si>
  <si>
    <t>Unidad potabilización agua</t>
  </si>
  <si>
    <t>Potabilizar el agua fresca proveniente de 4100TK0041 para distribuir en duchas emergencia y consumo planta, barrio cívico, oficinas satélite mina, consumo polvorín y taller camiones</t>
  </si>
  <si>
    <t>Rotura de contenedor</t>
  </si>
  <si>
    <t>Tratamiento médico no restrictivo,  Afectación a producción, Reparar contenedor</t>
  </si>
  <si>
    <t>Unidad repotabilizadora</t>
  </si>
  <si>
    <t>4100WT0003</t>
  </si>
  <si>
    <t>Unidad repotabilizadora agua</t>
  </si>
  <si>
    <t>Potabilizar el agua para alimentar 4100-TK-0037 estanque agua potable planta filtros</t>
  </si>
  <si>
    <t>No afectación a producción, Tratamiento médico no restrictivo, Reparar contenedor</t>
  </si>
  <si>
    <t>Hidro pack planta filtros</t>
  </si>
  <si>
    <t>4100XP0011</t>
  </si>
  <si>
    <t>Hidropack planta filtros</t>
  </si>
  <si>
    <t>Mantener presión en tanque hidroneumático para alimentar planta filtros</t>
  </si>
  <si>
    <t>Falla de tanque hidroneumático</t>
  </si>
  <si>
    <t>No afectación a producción, Tratamiento médico no restrictivo, Cambio de hidro pack</t>
  </si>
  <si>
    <t>4300 Aire comprimido</t>
  </si>
  <si>
    <t>Acumulador aire planta</t>
  </si>
  <si>
    <t>4300AR0004</t>
  </si>
  <si>
    <t>Acumulador de aire planta</t>
  </si>
  <si>
    <t>Acumular el aire comprimido proveniente de compresor 4300CP0011/13 para alimentar planta</t>
  </si>
  <si>
    <t>No afectación a producción, Costos de cambio de acumulador</t>
  </si>
  <si>
    <t>Acumulador aire instrumentación</t>
  </si>
  <si>
    <t>4300AR0005</t>
  </si>
  <si>
    <t>Acumulador de aire instrumentación</t>
  </si>
  <si>
    <t>Acumular el aire comprimido proveniente de compresor 4300CP0011/13 para alimentar instrumentación</t>
  </si>
  <si>
    <t>3310BX0005</t>
  </si>
  <si>
    <t>Homogenizar la pulpa proveniente de cajón 3310BX0012 para alimentar a espesador 3310TH0002</t>
  </si>
  <si>
    <t>Afectación a producción, Detención de Espesador 3310TH0002, 
Cambio de caja reductora</t>
  </si>
  <si>
    <t>7200 Pozos de agua y cañería de impulsión</t>
  </si>
  <si>
    <t>Lín agua fresca 7220-9012-RA6A-6"-WFR-N</t>
  </si>
  <si>
    <t>7220WL0002</t>
  </si>
  <si>
    <t>Línea agua 7220-9012-RA6A-6"-WFR-N</t>
  </si>
  <si>
    <t>Transportar agua fresca desde línea descarga de bombas transferencia a sumidero</t>
  </si>
  <si>
    <t>Lín pulpa relaves 3630-5205-LUNA-10"-TSL-N</t>
  </si>
  <si>
    <t>3630PL0009</t>
  </si>
  <si>
    <t>Línea relaves 3630-5205-LUNA-10"-TSL-N</t>
  </si>
  <si>
    <t>Transportar pulpa relaves desde espesador a muestreador</t>
  </si>
  <si>
    <t>Rotura de línea</t>
  </si>
  <si>
    <t>Afectación a producción, Cambio de línea</t>
  </si>
  <si>
    <t>Compresor aire planta</t>
  </si>
  <si>
    <t>4300CP0011</t>
  </si>
  <si>
    <t>2 Op + 1 Stby: Comprimir el aire y alimentar el acumulador 4300AR0005 para alimentar planta</t>
  </si>
  <si>
    <t>4300CP0012</t>
  </si>
  <si>
    <t>Compresor de aire reserva</t>
  </si>
  <si>
    <t>Secador aire instrumentación</t>
  </si>
  <si>
    <t>4300DR0003</t>
  </si>
  <si>
    <t>Secador de aire instrumentación</t>
  </si>
  <si>
    <t>Eliminar vapor de agua del aire comprimido proveniente de compresor 4300CP0011/13</t>
  </si>
  <si>
    <t>Rotura de secador</t>
  </si>
  <si>
    <t>Afectación a producción, Costos de cambio de secador</t>
  </si>
  <si>
    <t>4700 Sistema de protección contra incendio</t>
  </si>
  <si>
    <t>Sistema contra incendios (Bomba jockey + Bomba principal + Bomba con motor combustión)</t>
  </si>
  <si>
    <t>4700FP0001</t>
  </si>
  <si>
    <t>Sistema contra incendios planta procesos</t>
  </si>
  <si>
    <t>Suministrar agua potable a presión y caudal requerido para alimentar los hidrantes en áreas taller EMP, chancado primario, barrio cívico, generación eléctrica y área húmeda.</t>
  </si>
  <si>
    <t>Falla en componentes de motor de combustión</t>
  </si>
  <si>
    <t>Afectación a producción, Fatalidad de varias personas o pérdida de plantas de proceso
Reemplazar motor combustión</t>
  </si>
  <si>
    <t>Sistema contra incendios (Bomba jockey + Bomba ppal + Bomba con motor combustión)</t>
  </si>
  <si>
    <t>4700FP0002</t>
  </si>
  <si>
    <t>Sistema contra incendios planta filtros</t>
  </si>
  <si>
    <t>Suministrar agua potable a presión y caudal requerido para alimentar los hidrantes en área planta filtros</t>
  </si>
  <si>
    <t>5300 Bodega</t>
  </si>
  <si>
    <t>Puente grúa almacén</t>
  </si>
  <si>
    <t>5300CN0019</t>
  </si>
  <si>
    <t>Izar y desplazar cargas en almacén</t>
  </si>
  <si>
    <t>Puente grúa pozos de agua</t>
  </si>
  <si>
    <t>7200CN0020</t>
  </si>
  <si>
    <t>Puente grúa pozos agua</t>
  </si>
  <si>
    <t>Izar y desplazar cargas en pozos de agua</t>
  </si>
  <si>
    <t>Bomba agua pozo</t>
  </si>
  <si>
    <t>7200PU0422</t>
  </si>
  <si>
    <t>Transferir agua de pozo WEDR1 a estanque 7200TK0052</t>
  </si>
  <si>
    <t>Bomba transferencia agua fresca</t>
  </si>
  <si>
    <t>7200PU0423</t>
  </si>
  <si>
    <t>2 Op + 1 Stby: Transferir agua proveniente de estanque agua fresca 7200TK0052 para distribuir a estanque agua fresca, agua incendio y estanque agua mina</t>
  </si>
  <si>
    <t>7200PU0424</t>
  </si>
  <si>
    <t>Bomba agua recuperada</t>
  </si>
  <si>
    <t>7200PU0425</t>
  </si>
  <si>
    <t>Transferir agua recuperada en piscina almacenamiento agua fresca a estanque agua fresca 7200TK0052</t>
  </si>
  <si>
    <t>7200PU0426</t>
  </si>
  <si>
    <t>Transferir agua de pozo WEDR3 a estanque 7200TK0052</t>
  </si>
  <si>
    <t>7200PU0427</t>
  </si>
  <si>
    <t>7200TK0052</t>
  </si>
  <si>
    <t>Almacenar agua proveniente de pozo WEDR1/3 para distribuir a estanque agua fresca, agua incendio y estanque agua mina</t>
  </si>
  <si>
    <t>8900 Equipos móviles</t>
  </si>
  <si>
    <t>Camión de riego por carretera</t>
  </si>
  <si>
    <t>8900MO0001</t>
  </si>
  <si>
    <t>Camión riego por carretera</t>
  </si>
  <si>
    <t>Falla en SCI</t>
  </si>
  <si>
    <t>No afectación a producción, Pérdida total equipo por incendio, Costos por reposición de equipo</t>
  </si>
  <si>
    <t>Elevador de horquilla</t>
  </si>
  <si>
    <t>8900MO0004</t>
  </si>
  <si>
    <t>Elevador horquilla</t>
  </si>
  <si>
    <t>Camión de servicio con pluma de elevación</t>
  </si>
  <si>
    <t>8900MO0005</t>
  </si>
  <si>
    <t>Camión pluma</t>
  </si>
  <si>
    <t>8900MO0009</t>
  </si>
  <si>
    <t>8900MO0010</t>
  </si>
  <si>
    <t>Grúa móvil</t>
  </si>
  <si>
    <t>8900MO0012</t>
  </si>
  <si>
    <t>8900MO0013</t>
  </si>
  <si>
    <t>Cargador</t>
  </si>
  <si>
    <t>8900MO0014</t>
  </si>
  <si>
    <t>1200 Instalaciones Mina</t>
  </si>
  <si>
    <t>Tablero distribución potencia</t>
  </si>
  <si>
    <t>1210DP0001</t>
  </si>
  <si>
    <t>Distribuir la potencia a cargas de servicios auxiliares área 1210</t>
  </si>
  <si>
    <t>Cortocircuito en tablero de distribución</t>
  </si>
  <si>
    <t>No afectación a producción, Reparación de tablero de distribución</t>
  </si>
  <si>
    <t>Transformador distribución potencia</t>
  </si>
  <si>
    <t>1210DX0001</t>
  </si>
  <si>
    <t>Distribuir la potencia a servicios auxiliares (enchufes)</t>
  </si>
  <si>
    <t>Falla de transformador por sobre corriente</t>
  </si>
  <si>
    <t>No afectación a producción, Cambio de transformador de potencia</t>
  </si>
  <si>
    <t>Transformador distribución instrumentación</t>
  </si>
  <si>
    <t>1210JX0001</t>
  </si>
  <si>
    <t>Transformador distribución instrumentos</t>
  </si>
  <si>
    <t>Reducir el voltaje para alimentar tablero de distribución</t>
  </si>
  <si>
    <t>Afectación a producción, Cambio de transformador de potencia</t>
  </si>
  <si>
    <t>Tablero distribución alumbrado</t>
  </si>
  <si>
    <t>1210LP0001</t>
  </si>
  <si>
    <t>Distribuir la potencia a diferentes cargas de alumbrado de área 1210</t>
  </si>
  <si>
    <t>Transformador distribución alumbrado</t>
  </si>
  <si>
    <t>1210LX0001</t>
  </si>
  <si>
    <t>Centro control motores 1200 A, 400 V, 65 kA</t>
  </si>
  <si>
    <t>1210MC0011</t>
  </si>
  <si>
    <t>Centro control motores 1200A/400V/65kA</t>
  </si>
  <si>
    <t>Alimentación de potencia a cargas de la planta</t>
  </si>
  <si>
    <t>Falla en barra principal por cortocircuito</t>
  </si>
  <si>
    <t>Afectación a producción, Cambiar barra principal</t>
  </si>
  <si>
    <t>Banco baterías UPS</t>
  </si>
  <si>
    <t>2100BA0001</t>
  </si>
  <si>
    <t>Suministrar voltaje de respaldo a UPS para sistema de control</t>
  </si>
  <si>
    <t>Daño en componentes internos de batería</t>
  </si>
  <si>
    <t>No afectación a operación de planta, 
Cambio de baterías</t>
  </si>
  <si>
    <t>Gabinete control DCS</t>
  </si>
  <si>
    <t>2100CS0001</t>
  </si>
  <si>
    <t>Panel DCS</t>
  </si>
  <si>
    <t>Recepción, emisión y procesamiento de señales de instrumentación de terreno y control</t>
  </si>
  <si>
    <t>Falla por cortocircuito en gabinete</t>
  </si>
  <si>
    <t>No afectación a operación de planta, 
Cambio de gabinete DCS</t>
  </si>
  <si>
    <t>2100DP0001</t>
  </si>
  <si>
    <t>Distribuir la potencia  a cargas de servicios auxiliares área 2100</t>
  </si>
  <si>
    <t>Tablero distribución potencia SS/AA</t>
  </si>
  <si>
    <t>2100DP0010</t>
  </si>
  <si>
    <t>SS/AA Tablero distribución potencia</t>
  </si>
  <si>
    <t>Distribuir la potencia a servicios auxiliares sala eléctrica SS/AA de área 2100</t>
  </si>
  <si>
    <t>Transformador distribución de potencia</t>
  </si>
  <si>
    <t>2100DX0001</t>
  </si>
  <si>
    <t>Transformador potencia</t>
  </si>
  <si>
    <t>Tablero distribución instrumentación</t>
  </si>
  <si>
    <t>2100JP0001</t>
  </si>
  <si>
    <t>Distribuir la potencia a instrumentos de área 2100</t>
  </si>
  <si>
    <t>Afectación a operación de planta, 
Reparación de tablero de distribución</t>
  </si>
  <si>
    <t>Transformador de instrumentos</t>
  </si>
  <si>
    <t>2100JX0001</t>
  </si>
  <si>
    <t>Transformador instrumentos</t>
  </si>
  <si>
    <t>2100LP0001</t>
  </si>
  <si>
    <t>Distribuir la potencia a diferentes cargas de alumbrado de área 2100</t>
  </si>
  <si>
    <t>Transformador distribución de alumbrado</t>
  </si>
  <si>
    <t>2100LX0001</t>
  </si>
  <si>
    <t>Transformador alumbrado</t>
  </si>
  <si>
    <t>Centro control de motores 400 V, 1600 A, 65 kA</t>
  </si>
  <si>
    <t>2100MC0011</t>
  </si>
  <si>
    <t>Centro control motores 400V/1600A/65kA</t>
  </si>
  <si>
    <t>Tablero distribución UPS</t>
  </si>
  <si>
    <t>2100TU0001</t>
  </si>
  <si>
    <t>Alimentación a tablero de distribución de instrumentación área 2100</t>
  </si>
  <si>
    <t>Afectación a operación de plantas, 
Reparación de tablero de distribución</t>
  </si>
  <si>
    <t>UPS</t>
  </si>
  <si>
    <t>2100UP0001</t>
  </si>
  <si>
    <t>Mantener alimentación a sistema de comunicación y control</t>
  </si>
  <si>
    <t>Cortocircuito en sistema de potencia</t>
  </si>
  <si>
    <t>Afectación a operación de plantas, 
Cambio de UPS</t>
  </si>
  <si>
    <t>Centro de control de motores 400 V, 1200 A, 65 kA</t>
  </si>
  <si>
    <t>2200MC0011</t>
  </si>
  <si>
    <t>Centro control motores 400V/1200A/65kA</t>
  </si>
  <si>
    <t>Variador de frecuencia BT 2210FE0001M1</t>
  </si>
  <si>
    <t>2210VF0001</t>
  </si>
  <si>
    <t>Variador frecuencia 2210FE0001M1VF</t>
  </si>
  <si>
    <t>Variar la velocidad de motor eléctrico de alimentador placas de  2210FE0001M1</t>
  </si>
  <si>
    <t>Cortocircuito en semiconductores</t>
  </si>
  <si>
    <t>Afectación no directa a operaciones (20%), 
Detención de feeder 2210FE0001, 
Costos por cambio de semiconductores</t>
  </si>
  <si>
    <t>Variador de frecuencia BT 2210FE0002M1</t>
  </si>
  <si>
    <t>2210VF0002</t>
  </si>
  <si>
    <t>Variador frecuencia 2210FE0002M1VF</t>
  </si>
  <si>
    <t>Variar la velocidad de motor eléctrico de alimentador placas de  2210FE0002M1</t>
  </si>
  <si>
    <t>Afectación no directa a operaciones (20%), 
Detención de feeder 2210FE0002, 
Costos por cambio de semiconductores</t>
  </si>
  <si>
    <t>Panel sistema Scada</t>
  </si>
  <si>
    <t>2100SC0001</t>
  </si>
  <si>
    <t>Control y visualización de variables de equipos en terreno (Panel de operaciones de subestaciones)</t>
  </si>
  <si>
    <t>Falla en recepción y emisión de señal</t>
  </si>
  <si>
    <t>Afectación a operación de áreas, 
Cambio de panel scada</t>
  </si>
  <si>
    <t>3100CS0001</t>
  </si>
  <si>
    <t>Afectación a operación de planta, 
Cambio de gabinete DCS</t>
  </si>
  <si>
    <t>3100CS0002</t>
  </si>
  <si>
    <t>3100DP0001</t>
  </si>
  <si>
    <t>Distribuir la potencia  a cargas de servicios auxiliares área 3100</t>
  </si>
  <si>
    <t>No afecta operación de Molienda, 
Reparación de tablero de distribución</t>
  </si>
  <si>
    <t>3100DP0010</t>
  </si>
  <si>
    <t>Distribuir la potencia a servicios auxiliares sala eléctrica SS/AA de área 3100</t>
  </si>
  <si>
    <t>3100DX0001</t>
  </si>
  <si>
    <t>3100JP0001</t>
  </si>
  <si>
    <t>Distribuir la potencia a instrumentos de área 3100</t>
  </si>
  <si>
    <t>Afectación a operación de planta, Parada de Molienda, 
Reparación de tablero de distribución</t>
  </si>
  <si>
    <t>Transformador distribución de instrumentación</t>
  </si>
  <si>
    <t>3100JX0001</t>
  </si>
  <si>
    <t>3100LP0001</t>
  </si>
  <si>
    <t>Distribuir la potencia a diferentes cargas de alumbrado de área 3100</t>
  </si>
  <si>
    <t>3100LX0001</t>
  </si>
  <si>
    <t>No afecta operación de Molienda, 
Cambio de transformador de potencia</t>
  </si>
  <si>
    <t>Centro control de motores 400 V, 1200 A, 65 kA</t>
  </si>
  <si>
    <t>3100MC0011</t>
  </si>
  <si>
    <t>Centro control de motores 400 V, 1200 A,  65 kA</t>
  </si>
  <si>
    <t>3100MC0012</t>
  </si>
  <si>
    <t xml:space="preserve">Centro control motores 400V/1200A/65kA </t>
  </si>
  <si>
    <t>3100SC0001</t>
  </si>
  <si>
    <t>Switch gear 630 A, 6.9 Kv, 31.5 kA</t>
  </si>
  <si>
    <t>3100SG0001</t>
  </si>
  <si>
    <t>Switch gear SAG 630 A, 6.9 Kv, 31.5 kA</t>
  </si>
  <si>
    <t>Distribución de cargas de potencia a Molino SAG</t>
  </si>
  <si>
    <t>Falla en barra principal</t>
  </si>
  <si>
    <t>Afectación a producción, Parada Molino SAG, 
Reparación de celda alimentación</t>
  </si>
  <si>
    <t>3100SG0002</t>
  </si>
  <si>
    <t>Switch gear Bolas 630 A, 6.9 Kv, 31.5 kA</t>
  </si>
  <si>
    <t>Distribución de cargas de potencia a Molino Bolas</t>
  </si>
  <si>
    <t>Afectación a producción, Parada Molino Bolas, 
Reparación de celda alimentación</t>
  </si>
  <si>
    <t>Switch gear 400 V, 3200 A, 65 kA</t>
  </si>
  <si>
    <t>3100SG0011</t>
  </si>
  <si>
    <t>Distribución de cargas de potencia a equipos de área 3100</t>
  </si>
  <si>
    <t>No afectación a producción, No parada Molienda (redundancia en celda alimentación + acople barras, Sistema lub Bolas y SAG), 
Reparación de celda alimentación</t>
  </si>
  <si>
    <t>Ser drive</t>
  </si>
  <si>
    <t>3110SE0001</t>
  </si>
  <si>
    <t>Ciclo convertidor 3110MI0001SER</t>
  </si>
  <si>
    <t>Variar la velocidad y frenado de Molino SAG</t>
  </si>
  <si>
    <t>Falla en transformador de aislación / Cambio (potencia + electrónica potencia + PLC)</t>
  </si>
  <si>
    <t>Afectación a producción, Cambio de Ser drive</t>
  </si>
  <si>
    <t>3110XF0001</t>
  </si>
  <si>
    <t>Transformador potencia 3110MI0001XF</t>
  </si>
  <si>
    <t>Reducir el voltaje para alimentar Molino SAG</t>
  </si>
  <si>
    <t>Variador de frecuencia BT 3110PU0061M1</t>
  </si>
  <si>
    <t>3110VF0061</t>
  </si>
  <si>
    <t>Variador frecuencia 3110PU0061M1VF</t>
  </si>
  <si>
    <t>Variar la velocidad de motor eléctrico bomba alimentación hidrociclón 3110PU0061M1</t>
  </si>
  <si>
    <t>No afectación a operación de Molienda, 
Cambio de semiconductores</t>
  </si>
  <si>
    <t>Variador de frecuencia BT 3110PU0062M1</t>
  </si>
  <si>
    <t>3110VF0062</t>
  </si>
  <si>
    <t>Variador frecuencia 3110PU0062M1VF</t>
  </si>
  <si>
    <t>Variar la velocidad de motor eléctrico bomba alimentación hidrociclón 3110PU0062M1</t>
  </si>
  <si>
    <t>3150 Auxiliares de Molienda</t>
  </si>
  <si>
    <t>Sistema lubricación a rodamientos de Molino SAG</t>
  </si>
  <si>
    <t>3150LU0004</t>
  </si>
  <si>
    <t>Sistema lubricación rodamientos M Sag</t>
  </si>
  <si>
    <t>Suministrar lubricante a rodamientos de Molino SAG</t>
  </si>
  <si>
    <t>Falla en bomba hidráulica</t>
  </si>
  <si>
    <t>Afectación a operación de Molienda, 
Cambio de bomba</t>
  </si>
  <si>
    <t>Sistema lubricación a rodamientos de Molino Bolas</t>
  </si>
  <si>
    <t>3150LU0006</t>
  </si>
  <si>
    <t>Sistema lubricación rodamientos M Bolas</t>
  </si>
  <si>
    <t>Suministrar lubricante a rodamientos de Molino Bolas</t>
  </si>
  <si>
    <t>Sistema lubricación a reductor y piñón  Molino SAG</t>
  </si>
  <si>
    <t>3150LU0010</t>
  </si>
  <si>
    <t>Sistema lubrica reductor y piñón M Sag</t>
  </si>
  <si>
    <t>Suministrar lubricante a reductor y piñón de Molino SAG</t>
  </si>
  <si>
    <t>3150LU0011</t>
  </si>
  <si>
    <t>Sistema lubrica reductor y piñón M Bolas</t>
  </si>
  <si>
    <t>Suministrar lubricante a reductor y piñón de Molino Bolas</t>
  </si>
  <si>
    <t>Puerta enrollable Molienda</t>
  </si>
  <si>
    <t>3150RD0021</t>
  </si>
  <si>
    <t>Habilitar / restringir entrada a planta Molienda</t>
  </si>
  <si>
    <t>Falla en sistema motriz</t>
  </si>
  <si>
    <t>No afectación a producción, Cambio de unidad motriz</t>
  </si>
  <si>
    <t>Variador de frecuencia 3150CQ0014M1</t>
  </si>
  <si>
    <t>3150VF0014</t>
  </si>
  <si>
    <t>Variador frecuencia 3150CQ0014M1VF</t>
  </si>
  <si>
    <t>Variar la velocidad de motor eléctrico 3150CQ0014M1</t>
  </si>
  <si>
    <t>Afectación a producción, Cambio de semiconductores</t>
  </si>
  <si>
    <t>Variador de frecuencia 3150CQ0015M1</t>
  </si>
  <si>
    <t>3150VF0015</t>
  </si>
  <si>
    <t>Variador frecuencia 3150CQ0015M1VF</t>
  </si>
  <si>
    <t>Variar la velocidad de motor eléctrico 3150CQ0015M1</t>
  </si>
  <si>
    <t>Variador de frecuencia 3150CQ0016M1</t>
  </si>
  <si>
    <t>3150VF0016</t>
  </si>
  <si>
    <t>Variador frecuencia 3150CQ0016M1VF</t>
  </si>
  <si>
    <t>Variar la velocidad de motor eléctrico 3150CQ0016M1</t>
  </si>
  <si>
    <t>Variador de frecuencia 3150CQ0017M1</t>
  </si>
  <si>
    <t>3150VF0017</t>
  </si>
  <si>
    <t>Variador frecuencia 3150CQ0017M1VF</t>
  </si>
  <si>
    <t>Variar la velocidad de motor eléctrico 3150CQ0017M1</t>
  </si>
  <si>
    <t>3200MC0011</t>
  </si>
  <si>
    <t>3200MC0012</t>
  </si>
  <si>
    <t>Variador de frecuencia BT 3210PU0081M</t>
  </si>
  <si>
    <t>3210VF0081</t>
  </si>
  <si>
    <t>Variador frecuencia 3210PU0081M1VF</t>
  </si>
  <si>
    <t>Variar la velocidad de motor eléctrico de bomba descarga espesador 3210PU0081M1</t>
  </si>
  <si>
    <t>No afectación a producción, Cambio de semiconductores</t>
  </si>
  <si>
    <t>Variador de frecuencia BT 3210PU0082M</t>
  </si>
  <si>
    <t>3210VF0082</t>
  </si>
  <si>
    <t>Variador frecuencia 3210PU0082M1VF</t>
  </si>
  <si>
    <t>Variar la velocidad de motor eléctrico de bomba descarga espesador 3210PU0082M1</t>
  </si>
  <si>
    <t>3300MC0011</t>
  </si>
  <si>
    <t>3300MC0012</t>
  </si>
  <si>
    <t>Variador de frecuencia 3310PU0101M1VF</t>
  </si>
  <si>
    <t>3310VF0101</t>
  </si>
  <si>
    <t>Variador frecuencia 3310PU0101M1VF</t>
  </si>
  <si>
    <t>Variar la velocidad de motor eléctrico 3310PU0101M1</t>
  </si>
  <si>
    <t>Variador de frecuencia 3310PU0102M1VF</t>
  </si>
  <si>
    <t>3310VF0102</t>
  </si>
  <si>
    <t>Variador frecuencia 3310PU0102M1VF</t>
  </si>
  <si>
    <t>Variar la velocidad de motor eléctrico 3310PU0102M1</t>
  </si>
  <si>
    <t>Variador de frecuencia 3310PU0103M1VF</t>
  </si>
  <si>
    <t>3310VF0103</t>
  </si>
  <si>
    <t>Variador frecuencia 3310PU0103M1VF</t>
  </si>
  <si>
    <t>Variar la velocidad de motor eléctrico 3310PU0103M1</t>
  </si>
  <si>
    <t>Variador de frecuencia 3310PU0104M1VF</t>
  </si>
  <si>
    <t>3310VF0104</t>
  </si>
  <si>
    <t>Variador frecuencia 3310PU0104M1VF</t>
  </si>
  <si>
    <t>Variar la velocidad de motor eléctrico 3310PU0104M1</t>
  </si>
  <si>
    <t>Variador de frecuencia 3330PU0150M1VF</t>
  </si>
  <si>
    <t>3330VF0150</t>
  </si>
  <si>
    <t>Variador frecuencia 3330PU0150M1VF</t>
  </si>
  <si>
    <t>Variar la velocidad de motor eléctrico 3330PU0150M1</t>
  </si>
  <si>
    <t>Variador de frecuencia 3330PU0151M1VF</t>
  </si>
  <si>
    <t>3330VF0151</t>
  </si>
  <si>
    <t>Variador frecuencia 3330PU0151M1VF</t>
  </si>
  <si>
    <t>Variar la velocidad de motor eléctrico 3330PU0151M1</t>
  </si>
  <si>
    <t>Resistor de Molino SAG</t>
  </si>
  <si>
    <t>3110MI0001LRS</t>
  </si>
  <si>
    <t>Arrancador líquido Molino SAG</t>
  </si>
  <si>
    <t>Minimizar la corriente de partida de Molino SAG</t>
  </si>
  <si>
    <t>Falla de resistor por cortocircuito</t>
  </si>
  <si>
    <t>Afectación a producción, Parada de Molino SAG
Cambio de resistor</t>
  </si>
  <si>
    <t>Resistor de Molino Bolas</t>
  </si>
  <si>
    <t>3120MI0002LRS</t>
  </si>
  <si>
    <t>Arrancador líquido Molino Bolas</t>
  </si>
  <si>
    <t>Minimizar la corriente de partida de Molino Bolas</t>
  </si>
  <si>
    <t>Afectación a producción, Parada de Molino Bolas
Cambio de resistor</t>
  </si>
  <si>
    <t>3100BA0001</t>
  </si>
  <si>
    <t>Afectación a operación de planta, 
Cambio de baterías</t>
  </si>
  <si>
    <t>Cargador de baterías</t>
  </si>
  <si>
    <t>3100BC0001</t>
  </si>
  <si>
    <t>Cargador baterías</t>
  </si>
  <si>
    <t>Suministrar energía eléctrica a banco de baterías</t>
  </si>
  <si>
    <t>Cortocircuito en etapa rectificadora</t>
  </si>
  <si>
    <t>Afectación a operación de planta, 
Cambio de cargador de baterías</t>
  </si>
  <si>
    <t>Bomba harnero inter etapa</t>
  </si>
  <si>
    <t>3320SN0013</t>
  </si>
  <si>
    <t>Bomba harnero inter etapa 1</t>
  </si>
  <si>
    <t>Transferir relaves entre etapas desde agitador 3320TA0007 a 3320TA0008 u otro estanque posterior.</t>
  </si>
  <si>
    <t>Falla de componentes internos de bomba</t>
  </si>
  <si>
    <t>Afectación a producción, Costo de reparación de bomba (Costos por cambio)</t>
  </si>
  <si>
    <t>3320SN0014</t>
  </si>
  <si>
    <t>Bomba harnero inter etapa 2</t>
  </si>
  <si>
    <t>Transferir relaves entre etapas desde agitador 3320TA0008 a  3320TA0009 u otro estanque posterior.</t>
  </si>
  <si>
    <t>3320SN0015</t>
  </si>
  <si>
    <t>Bomba harnero inter etapa 3</t>
  </si>
  <si>
    <t>Transferir relaves entre etapas desde agitador 3320TA0009 a  3320TA0010 u otro estanque posterior.</t>
  </si>
  <si>
    <t>3320SN0016</t>
  </si>
  <si>
    <t>Bomba harnero inter etapa 4</t>
  </si>
  <si>
    <t>Transferir relaves entre etapas desde agitador 3320TA0010 a  3320TA0011 u otro estanque posterior.</t>
  </si>
  <si>
    <t>3320SN0017</t>
  </si>
  <si>
    <t>Bomba harnero inter etapa 5</t>
  </si>
  <si>
    <t>Transferir relaves entre etapas desde agitador 3320TA0011 a  3320TA0012 u otro estanque posterior.</t>
  </si>
  <si>
    <t>3320SN0018</t>
  </si>
  <si>
    <t>Bomba harnero inter etapa 6</t>
  </si>
  <si>
    <t>Transferir relaves entre etapas desde agitador 3320TA0012 a  3320TA0013 u otro estanque posterior.</t>
  </si>
  <si>
    <t>3320SN0019</t>
  </si>
  <si>
    <t>Bomba harnero inter etapa 7</t>
  </si>
  <si>
    <t>Transferir relaves entre etapas desde agitador 3320TA0013 a  3320TA0014 u otro estanque posterior.</t>
  </si>
  <si>
    <t>3320SN0020</t>
  </si>
  <si>
    <t>Bomba harnero inter etapa 8</t>
  </si>
  <si>
    <t>Transferir relaves entre etapas desde agitador 3320TA0014 a  3320TA0014 u otro estanque posterior.</t>
  </si>
  <si>
    <t>3300BA0001</t>
  </si>
  <si>
    <t>3300CS0001</t>
  </si>
  <si>
    <t>3300CS0002</t>
  </si>
  <si>
    <t>3300DP0001</t>
  </si>
  <si>
    <t>Distribuir la potencia a cargas de servicios auxiliares área 3300</t>
  </si>
  <si>
    <t>3300DP0010</t>
  </si>
  <si>
    <t xml:space="preserve">Tablero distribución potencia SS/AA </t>
  </si>
  <si>
    <t>Distribuir la potencia a diferentes cargas (enchufes) SS/AA de área 3300</t>
  </si>
  <si>
    <t>3300DX0001</t>
  </si>
  <si>
    <t>3300JP0001</t>
  </si>
  <si>
    <t>Distribuir la potencia a instrumentos de área 3300</t>
  </si>
  <si>
    <t>3300JX0001</t>
  </si>
  <si>
    <t>3300LP0001</t>
  </si>
  <si>
    <t>Panel distribución alumbrado</t>
  </si>
  <si>
    <t>Distribuir la potencia a diferentes cargas de alumbrado de área 3300</t>
  </si>
  <si>
    <t>3300LX0001</t>
  </si>
  <si>
    <t>3300MC0013</t>
  </si>
  <si>
    <t>3300MC0014</t>
  </si>
  <si>
    <t>3300SC0001</t>
  </si>
  <si>
    <t>Switchgear 400 V, 3200 A, 65 kA</t>
  </si>
  <si>
    <t>3300SG0011</t>
  </si>
  <si>
    <t>Distribución de cargas a equipos de área 3300</t>
  </si>
  <si>
    <t>No afectación a producción, Reparación de celda alimentación</t>
  </si>
  <si>
    <t>3300TU0001</t>
  </si>
  <si>
    <t>3300UP0001</t>
  </si>
  <si>
    <t>Variador de frecuencia 3330PU0121M1VF</t>
  </si>
  <si>
    <t>3330VF0121</t>
  </si>
  <si>
    <t>Variador frecuencia 3330PU0121M1VF</t>
  </si>
  <si>
    <t>Variar la velocidad de motor eléctrico 3330PU0121M1</t>
  </si>
  <si>
    <t>Variador de frecuencia 3330PU0122M1VF</t>
  </si>
  <si>
    <t>3330VF0122</t>
  </si>
  <si>
    <t>Variador frecuencia 3330PU0122M1VF</t>
  </si>
  <si>
    <t>Variar la velocidad de motor eléctrico 3330PU0122M1</t>
  </si>
  <si>
    <t>Variador de frecuencia 3330PU0123M1VF</t>
  </si>
  <si>
    <t>3330VF0123</t>
  </si>
  <si>
    <t>Variador frecuencia 3330PU0123M1VF</t>
  </si>
  <si>
    <t>Variar la velocidad de motor eléctrico 3330PU0123M1</t>
  </si>
  <si>
    <t>3400MC0011</t>
  </si>
  <si>
    <t>3600MC0011</t>
  </si>
  <si>
    <t>3600MC0012</t>
  </si>
  <si>
    <t>Variador de frecuencia 3620PU0238M1VF</t>
  </si>
  <si>
    <t>3620VF0238</t>
  </si>
  <si>
    <t>Variador frecuencia 3620PU0238M1VF</t>
  </si>
  <si>
    <t>Variar la velocidad de motor eléctrico 3620PU0238M1</t>
  </si>
  <si>
    <t>Variador de frecuencia 3620PU0239M1VF</t>
  </si>
  <si>
    <t>3620VF0239</t>
  </si>
  <si>
    <t>Variador frecuencia 3620PU0239M1VF</t>
  </si>
  <si>
    <t>Variar la velocidad de motor eléctrico 3620PU0239M1</t>
  </si>
  <si>
    <t>Variador de frecuencia 3620PU0253M1VF</t>
  </si>
  <si>
    <t>3620VF0253</t>
  </si>
  <si>
    <t>Variador frecuencia 3620PU0253M1VF</t>
  </si>
  <si>
    <t>Variar la velocidad de motor eléctrico 3620PU0253M1</t>
  </si>
  <si>
    <t>Variador de frecuencia 3620PU0254M1VF</t>
  </si>
  <si>
    <t>3620VF0254</t>
  </si>
  <si>
    <t>Variador frecuencia 3620PU0254M1VF</t>
  </si>
  <si>
    <t>Variar la velocidad de motor eléctrico 3620PU0254M1</t>
  </si>
  <si>
    <t>3800MC0011</t>
  </si>
  <si>
    <t>3800MC0012</t>
  </si>
  <si>
    <t>3600CS0001</t>
  </si>
  <si>
    <t>3600DP0001</t>
  </si>
  <si>
    <t>Distribuir la potencia  a cargas de servicios auxiliares área 3600</t>
  </si>
  <si>
    <t>3600DP0010</t>
  </si>
  <si>
    <t>Distribuir la potencia a diferentes cargas (enchufes) SS/AA de área 3600</t>
  </si>
  <si>
    <t>3600DX0001</t>
  </si>
  <si>
    <t>3600JP0001</t>
  </si>
  <si>
    <t>Distribuir la potencia a instrumentos de área 3600</t>
  </si>
  <si>
    <t>3600LP0001</t>
  </si>
  <si>
    <t>Distribuir la potencia a diferentes cargas de alumbrado de área 3600</t>
  </si>
  <si>
    <t>3600LX0001</t>
  </si>
  <si>
    <t>3600MC0013</t>
  </si>
  <si>
    <t>Centro control de motores 400 V, 65 kA</t>
  </si>
  <si>
    <t>3600MC0014</t>
  </si>
  <si>
    <t xml:space="preserve">Centro control motores 400 V/65kA </t>
  </si>
  <si>
    <t>3600SC0001</t>
  </si>
  <si>
    <t>3600SG0011</t>
  </si>
  <si>
    <t>Distribución de cargas a equipos de área 3600</t>
  </si>
  <si>
    <t>3600TU0001</t>
  </si>
  <si>
    <t>3600UP0001</t>
  </si>
  <si>
    <t>Variador de frecuencia 3630CP0005M</t>
  </si>
  <si>
    <t>3630VF0005</t>
  </si>
  <si>
    <t>Variador frecuencia 3630CP0005M1VF</t>
  </si>
  <si>
    <t>Variar la velocidad de motor eléctrico 3630CP0005M1</t>
  </si>
  <si>
    <t>Variador de frecuencia 3630CP0006M</t>
  </si>
  <si>
    <t>3630VF0006</t>
  </si>
  <si>
    <t>Variador frecuencia 3630CP0006M1VF</t>
  </si>
  <si>
    <t>Variar la velocidad de motor eléctrico 3630CP0006M1</t>
  </si>
  <si>
    <t>Variador de frecuencia 3630CP0007M</t>
  </si>
  <si>
    <t>3630VF0007</t>
  </si>
  <si>
    <t>Variador frecuencia 3630CP0007M1VF</t>
  </si>
  <si>
    <t>Variar la velocidad de motor eléctrico 3630CP0007M1</t>
  </si>
  <si>
    <t>Variador de frecuencia BT 3630PU0240MVF</t>
  </si>
  <si>
    <t>3630VF0240</t>
  </si>
  <si>
    <t>Variador frecuencia 3630PU0240M1VF</t>
  </si>
  <si>
    <t>Variar la velocidad de motor eléctrico 3630PU0240M1</t>
  </si>
  <si>
    <t>Variador de frecuencia BT 3630PU0242MVF</t>
  </si>
  <si>
    <t>3630VF0242</t>
  </si>
  <si>
    <t>Variador frecuencia 3630PU0242M1VF</t>
  </si>
  <si>
    <t>Variar la velocidad de motor eléctrico 3630PU0242M1</t>
  </si>
  <si>
    <t>Variador de frecuencia BT 3630PU0244MVF</t>
  </si>
  <si>
    <t>3630VF0244</t>
  </si>
  <si>
    <t>Variador frecuencia 3630PU0244M1VF</t>
  </si>
  <si>
    <t>Variar la velocidad de motor eléctrico 3630PU0244M1</t>
  </si>
  <si>
    <t>Variador de frecuencia BT 3630PU0246M1VF</t>
  </si>
  <si>
    <t>3630VF0246</t>
  </si>
  <si>
    <t>Variador frecuencia 3630PU0246M1VF</t>
  </si>
  <si>
    <t>Variar la velocidad de motor eléctrico 3630PU0246M1</t>
  </si>
  <si>
    <t>Variador de frecuencia BT 3630PU0247M1VF</t>
  </si>
  <si>
    <t>3630VF0247</t>
  </si>
  <si>
    <t>Variador frecuencia 3630PU0247M1VF</t>
  </si>
  <si>
    <t>Variar la velocidad de motor eléctrico 3630PU0247M1</t>
  </si>
  <si>
    <t>Variador de frecuencia BT 3630PU0248M1VF</t>
  </si>
  <si>
    <t>3630VF0248</t>
  </si>
  <si>
    <t>Variador frecuencia 3630PU0248M1VF</t>
  </si>
  <si>
    <t>Variar la velocidad de motor eléctrico 3630PU0248M1</t>
  </si>
  <si>
    <t>Variador frecuencia 3630PU0251M1 (Incluir 480 / 481)</t>
  </si>
  <si>
    <t>3630VF0251</t>
  </si>
  <si>
    <t>Variador frecuencia 3630PU0251M1VF</t>
  </si>
  <si>
    <t>Variar la velocidad de motor eléctrico 3630PU0251M1</t>
  </si>
  <si>
    <t>Variador frecuencia 3630PU0252M1 (Incluir 480 / 481)</t>
  </si>
  <si>
    <t>3630VF0252</t>
  </si>
  <si>
    <t>Variador frecuencia 3630PU0252M1VF</t>
  </si>
  <si>
    <t>Variar la velocidad de motor eléctrico 3630PU0252M1</t>
  </si>
  <si>
    <t>Extractor aire colector de polvo</t>
  </si>
  <si>
    <t>3330FA0050</t>
  </si>
  <si>
    <t>Ventilador extractor aire colector polvo</t>
  </si>
  <si>
    <t>Extraer aire de colector de polvo 3330DC0008 hacia atmósfera</t>
  </si>
  <si>
    <t>4400 Energía</t>
  </si>
  <si>
    <t>4400BA0001</t>
  </si>
  <si>
    <t>4400BC0001</t>
  </si>
  <si>
    <t>4400BC0002</t>
  </si>
  <si>
    <t>4400CS0001</t>
  </si>
  <si>
    <t>4400DP0001</t>
  </si>
  <si>
    <t>Panel distribución potencia</t>
  </si>
  <si>
    <t>Distribuir la potencia  a cargas de servicios auxiliares área 4400</t>
  </si>
  <si>
    <t>4400DP0010</t>
  </si>
  <si>
    <t>Distribuir la potencia a diferentes cargas (enchufes) SS/AA de área 4400</t>
  </si>
  <si>
    <t>4400DX0001</t>
  </si>
  <si>
    <t>4400JP0001</t>
  </si>
  <si>
    <t>Panel distribución instrumentación</t>
  </si>
  <si>
    <t>Distribuir la potencia a instrumentos de área 4400</t>
  </si>
  <si>
    <t>4400JX0001</t>
  </si>
  <si>
    <t>4400LP0001</t>
  </si>
  <si>
    <t>Distribuir la potencia a diferentes cargas de alumbrado de área 4400</t>
  </si>
  <si>
    <t>4400LX0001</t>
  </si>
  <si>
    <t>4400MC0011</t>
  </si>
  <si>
    <t>4400SC0001</t>
  </si>
  <si>
    <t>Falla PLC por cortocircuito</t>
  </si>
  <si>
    <t>Switch gear 6.9 kV, 2000 A, 31,5 kA</t>
  </si>
  <si>
    <t>4400SG0001</t>
  </si>
  <si>
    <t>Distribución de cargas a equipos de área 4400</t>
  </si>
  <si>
    <t>4400TU0001</t>
  </si>
  <si>
    <t>4400UP0001</t>
  </si>
  <si>
    <t>Lín pulpa relav 3630-5216-ATNA-10"-TSL-N</t>
  </si>
  <si>
    <t>3630PL0001</t>
  </si>
  <si>
    <t>Línea relaves 3630-5216-ATNA-10"-TSL-N</t>
  </si>
  <si>
    <t>Transportar pulpa relaves desde estanques de filtración a bomba alimentación filtración 3630PU0244</t>
  </si>
  <si>
    <t>Lín pulpa relav 3630-5218-ATNA-10"-TSL-N</t>
  </si>
  <si>
    <t>3630PL0002</t>
  </si>
  <si>
    <t>Línea relaves 3630-5218-ATNA-10"-TSL-N</t>
  </si>
  <si>
    <t>Transportar pulpa relaves desde estanques de filtración a bomba alimentación filtración  3630PU0240</t>
  </si>
  <si>
    <t>Lín pulpa relaves 3630-5201-ATNA-10"-TSL-N</t>
  </si>
  <si>
    <t>3630PL0010</t>
  </si>
  <si>
    <t>Línea relaves 3630-5201-ATNA-10"-TSL-N</t>
  </si>
  <si>
    <t>Transportar pulpa relaves desde muestreador a cajón distribución filtración</t>
  </si>
  <si>
    <t>Lín pulpa relav 3630-5219-ATNA-12"-TSL-N</t>
  </si>
  <si>
    <t>3630PL0004</t>
  </si>
  <si>
    <t>Línea relaves 3630-5219-ATNA-12"-TSL-N</t>
  </si>
  <si>
    <t>Transportar pulpa relaves de bombas alimentación a filtro 3630FL0010</t>
  </si>
  <si>
    <t>Lín pulpa relav 3630-5239-ATNA-12"-TSL-N</t>
  </si>
  <si>
    <t>3630PL0005</t>
  </si>
  <si>
    <t>Línea relaves 3630-5239-ATNA-12"-TSL-N</t>
  </si>
  <si>
    <t xml:space="preserve">Transportar pulpa relaves en línea de derivación de bombas a filtros </t>
  </si>
  <si>
    <t>Lín pulpa relav 3630-5220-ATNA-12"-TSL-N</t>
  </si>
  <si>
    <t>3630PL0006</t>
  </si>
  <si>
    <t>Línea relaves 3630-5220-ATNA-12"-TSL-N</t>
  </si>
  <si>
    <t>Transportar pulpa relaves de bombas alimentación a filtro 3630FL0011</t>
  </si>
  <si>
    <t>Lín pulpa relav 3630-5242-ATNA-12"-TSL-N</t>
  </si>
  <si>
    <t>3630PL0007</t>
  </si>
  <si>
    <t>Línea relaves 3630-5242-ATNA-12"-TSL-N</t>
  </si>
  <si>
    <t>Lín pulpa relav 3630-5221-ATNA-12"-TSL-N</t>
  </si>
  <si>
    <t>3630PL0008</t>
  </si>
  <si>
    <t>Línea relaves 3630-5221-ATNA-12"-TSL-N</t>
  </si>
  <si>
    <t>Transportar pulpa relaves de bombas alimentación a filtro 3630FL0012</t>
  </si>
  <si>
    <t>Lín agua filtrad 3630-5300-AA1A-4"-WP-ET</t>
  </si>
  <si>
    <t>3630WL0001</t>
  </si>
  <si>
    <t>Línea agua filtr 3630-5300-AA1A-4"-WP-ET</t>
  </si>
  <si>
    <t xml:space="preserve">Transportar agua filtrada desde 3630PU0251/0252/0480/0481 hacia filtro 3630FL0011 </t>
  </si>
  <si>
    <t>Celosia Filtración</t>
  </si>
  <si>
    <t>3630XM0069</t>
  </si>
  <si>
    <t>Celosía filtración</t>
  </si>
  <si>
    <t>Falla de celosia</t>
  </si>
  <si>
    <t>No afectación a producción, Cambio de celosia</t>
  </si>
  <si>
    <t>3630XM0070</t>
  </si>
  <si>
    <t>3630XM0071</t>
  </si>
  <si>
    <t>Lín agua sello 3700-5476-AA1A-3"-WGS-ET</t>
  </si>
  <si>
    <t>3700AL0001</t>
  </si>
  <si>
    <t>Línea agua sell 3700-5476-AA1A-3"-WGS-ET</t>
  </si>
  <si>
    <t>Transportar agua sello a distribución de bombas</t>
  </si>
  <si>
    <t>Línea sol detox 3700-5461-AA1A-8"-WP-N</t>
  </si>
  <si>
    <t>3700DL0001</t>
  </si>
  <si>
    <t>Línea soluc detox 3700-5461-AA1A-8"-WP-N</t>
  </si>
  <si>
    <t>Transportar solución detox desde bombas de solución detox a maniflod de distribución</t>
  </si>
  <si>
    <t>Lín agua sello 3810-5619-AA1A-2"-WGS-ET</t>
  </si>
  <si>
    <t>3810WL0001</t>
  </si>
  <si>
    <t>Línea agua sell 3810-5619-AA1A-2"-WGS-ET</t>
  </si>
  <si>
    <t>Transportar agua sello para bombas</t>
  </si>
  <si>
    <t>Lín agua sello 3810-5620-AA1A-1"-WGS-ET</t>
  </si>
  <si>
    <t>3810WL0002</t>
  </si>
  <si>
    <t>Línea agua sell 3810-5620-AA1A-1"-WGS-ET</t>
  </si>
  <si>
    <t>Lín agua sello 3810-5618-AA1A-1"-WGS-ET</t>
  </si>
  <si>
    <t>3810WL0003</t>
  </si>
  <si>
    <t>Línea agua sell 3810-5618-AA1A-1"-WGS-ET</t>
  </si>
  <si>
    <t>Lín agua sello 3810-5617-AA1A-1"-WGS-ET</t>
  </si>
  <si>
    <t>3810WL0004</t>
  </si>
  <si>
    <t>Línea agua sell 3810-5617-AA1A-1"-WGS-ET</t>
  </si>
  <si>
    <t>Lín agua fresca 3810-5601-AA1A-2"-WFR-ET</t>
  </si>
  <si>
    <t>3810WL0005</t>
  </si>
  <si>
    <t>Línea agua 3810-5601-AA1A-2"-WFR-ET</t>
  </si>
  <si>
    <t>Transportar agua fresca</t>
  </si>
  <si>
    <t>Lín agua fresca 3810-0001-AA1A-2-WFR-N</t>
  </si>
  <si>
    <t>3810WL0006</t>
  </si>
  <si>
    <t>Línea agua 3810-0001-AA1A-2-WFR-N</t>
  </si>
  <si>
    <t>Transportar agua fresca a slaker, estanque lechada cal y scrubber</t>
  </si>
  <si>
    <t>Tecle eléctrico muestreador</t>
  </si>
  <si>
    <t>3630HT0046</t>
  </si>
  <si>
    <t>Izar y trasladar bomba en muestreador</t>
  </si>
  <si>
    <t xml:space="preserve">Tecle manual bomba </t>
  </si>
  <si>
    <t>3630HT0047</t>
  </si>
  <si>
    <t>Tecle manual bomba relaves</t>
  </si>
  <si>
    <t>Izar y trasladar bomba en bomba</t>
  </si>
  <si>
    <t>Tecle manual agua</t>
  </si>
  <si>
    <t>3630HT0048</t>
  </si>
  <si>
    <t>Tecle manual bombas agua</t>
  </si>
  <si>
    <t>Izar y trasladar bomba en agua</t>
  </si>
  <si>
    <t>Tecle manual bombas clarificadas</t>
  </si>
  <si>
    <t>3630HT0049</t>
  </si>
  <si>
    <t>Tecle manual bombas clarificado</t>
  </si>
  <si>
    <t>Izar y trasladar bomba en bombas clarificadas</t>
  </si>
  <si>
    <t>Tecle eléctrico manipulación cianuro</t>
  </si>
  <si>
    <t>3820HT0050</t>
  </si>
  <si>
    <t>Izar y trasladar bomba en Cianuro</t>
  </si>
  <si>
    <t>4500 Sistema de combustible</t>
  </si>
  <si>
    <t>Estanque diésel diario regeneración de carbón</t>
  </si>
  <si>
    <t>4500TK0048</t>
  </si>
  <si>
    <t>Estanque diésel diario regenera carbón</t>
  </si>
  <si>
    <t>Almacenar el diésel diario para alimentar regeneración de carbón</t>
  </si>
  <si>
    <t>Afectación ambiental, Afectación a producción, Derrame de diésel y contaminación con remediación a corto plazo, 
Reparación de estructura de estanque</t>
  </si>
  <si>
    <t>Estanque diésel diario de refinería</t>
  </si>
  <si>
    <t>4500TK0049</t>
  </si>
  <si>
    <t>Almacenar el diésel diario para alimentar refinería</t>
  </si>
  <si>
    <t>Estanque diésel diario de elución</t>
  </si>
  <si>
    <t>4500TK0050</t>
  </si>
  <si>
    <t>Almacenar el diésel diario para alimentar elución</t>
  </si>
  <si>
    <t>Transformador de potencia</t>
  </si>
  <si>
    <t>7200DX0002</t>
  </si>
  <si>
    <t>7200BA0001</t>
  </si>
  <si>
    <t>7200CS0001</t>
  </si>
  <si>
    <t>7200DP0001</t>
  </si>
  <si>
    <t>Distribuir la potencia  a cargas de servicios auxiliares área 7200</t>
  </si>
  <si>
    <t>7200DP0010</t>
  </si>
  <si>
    <t>Distribuir la potencia a diferentes cargas (enchufes) SS/AA de área 7200</t>
  </si>
  <si>
    <t>7200DX0001</t>
  </si>
  <si>
    <t>7200JP0001</t>
  </si>
  <si>
    <t>Distribuir la potencia a instrumentos de área 7200</t>
  </si>
  <si>
    <t>No afectación a operación de planta, 
Reparación de tablero de distribución</t>
  </si>
  <si>
    <t>7200JX0001</t>
  </si>
  <si>
    <t>7200LP0001</t>
  </si>
  <si>
    <t>Distribuir la potencia a diferentes cargas de alumbrado de área 7200</t>
  </si>
  <si>
    <t>7200LX0001</t>
  </si>
  <si>
    <t>7200MC0011</t>
  </si>
  <si>
    <t>Variador de frecuencia BT 7200PU0422M</t>
  </si>
  <si>
    <t>7200VF0422</t>
  </si>
  <si>
    <t>Variador frecuencia 7200PU0422M1VF</t>
  </si>
  <si>
    <t>Variar la velocidad de motor eléctrico 7200PU0422M1</t>
  </si>
  <si>
    <t>Variador de frecuencia BT 7200PU0423M</t>
  </si>
  <si>
    <t>7200VF0423</t>
  </si>
  <si>
    <t>Variador frecuencia 7200PU0423M1VF</t>
  </si>
  <si>
    <t>Variar la velocidad de motor eléctrico 7200PU0423M1</t>
  </si>
  <si>
    <t>Variador de frecuencia BT 7200PU0424M</t>
  </si>
  <si>
    <t>7200VF0424</t>
  </si>
  <si>
    <t>Variador frecuencia 7200PU0424M1VF</t>
  </si>
  <si>
    <t>Variar la velocidad de motor eléctrico 7200PU0424M1</t>
  </si>
  <si>
    <t>Variador de frecuencia BT 7200PU0427M</t>
  </si>
  <si>
    <t>7200VF0427</t>
  </si>
  <si>
    <t>Variador frecuencia 7200PU0427M1VF</t>
  </si>
  <si>
    <t>Variar la velocidad de motor eléctrico 7200PU0427M1</t>
  </si>
  <si>
    <t>7200SC0001</t>
  </si>
  <si>
    <t>No afectación a operación de áreas, 
Cambio de panel scada</t>
  </si>
  <si>
    <t>Switch gear 400 V, 1200 A, 65 kA</t>
  </si>
  <si>
    <t>7200SG0011</t>
  </si>
  <si>
    <t>Distribución de cargas a equipos de área 7200</t>
  </si>
  <si>
    <t>Afectación a producción, Reparación de celda alimentación</t>
  </si>
  <si>
    <t>7200TU0001</t>
  </si>
  <si>
    <t>No afectación a operación de plantas, 
Reparación de tablero de distribución</t>
  </si>
  <si>
    <t>7200UP0001</t>
  </si>
  <si>
    <t>No afectación a operación de plantas, 
Cambio de UPS</t>
  </si>
  <si>
    <t>Centro control de motores</t>
  </si>
  <si>
    <t>3500MC0011</t>
  </si>
  <si>
    <t>7200MC0012</t>
  </si>
  <si>
    <t>Subestación unitaria</t>
  </si>
  <si>
    <t>1210US0001</t>
  </si>
  <si>
    <t>Reducir el voltaje para alimentar 1210MC0011</t>
  </si>
  <si>
    <t>Falla transformador por cortocircuito</t>
  </si>
  <si>
    <t>2100US0001</t>
  </si>
  <si>
    <t>Reducir el voltaje para alimentar 2100MC0011</t>
  </si>
  <si>
    <t>Subestación unitaria Molienda</t>
  </si>
  <si>
    <t>3100US0001</t>
  </si>
  <si>
    <t>Reducir el voltaje para alimentar 3100SG0011</t>
  </si>
  <si>
    <t>No afectación a producción, No afectación a Molienda (Redundancia US que alimenta SG), 
Cambio de transformador de potencia</t>
  </si>
  <si>
    <t>3100US0002</t>
  </si>
  <si>
    <t>3300US0001</t>
  </si>
  <si>
    <t>Reducir el voltaje para alimentar 3300SG0011</t>
  </si>
  <si>
    <t>3300US0002</t>
  </si>
  <si>
    <t>3600US0001</t>
  </si>
  <si>
    <t>Reducir el voltaje para alimentar 3600SG0011</t>
  </si>
  <si>
    <t>3600US0002</t>
  </si>
  <si>
    <t>7200US0001</t>
  </si>
  <si>
    <t>Elevar el voltaje para alimentar 7200US0002</t>
  </si>
  <si>
    <t>7200US0002</t>
  </si>
  <si>
    <t>Reducir el voltaje para alimentar 7200MC0012</t>
  </si>
  <si>
    <t>Acumulador aire seco</t>
  </si>
  <si>
    <t>1210AR0001</t>
  </si>
  <si>
    <t>Acumulador de aire seco</t>
  </si>
  <si>
    <t>Acumular aire comprimido para alimentar servicios a camiones</t>
  </si>
  <si>
    <t>No afectación a producción, Cambio de acumulador</t>
  </si>
  <si>
    <t>1210AR0002</t>
  </si>
  <si>
    <t>Acumular aire comprimido para alimentar taller de ruedas</t>
  </si>
  <si>
    <t>Puente grúa</t>
  </si>
  <si>
    <t>1210CN0001</t>
  </si>
  <si>
    <t>Puente grúa taller</t>
  </si>
  <si>
    <t>Izar y trasladar cargas en taller de mantenimiento</t>
  </si>
  <si>
    <t>Compresor aire</t>
  </si>
  <si>
    <t>1210CP0001</t>
  </si>
  <si>
    <t>Comprimir aire para alimentar servicios a camiones</t>
  </si>
  <si>
    <t>1210CP0002</t>
  </si>
  <si>
    <t>Comprimir aire para alimentar taller EMP</t>
  </si>
  <si>
    <t>1210DR0001</t>
  </si>
  <si>
    <t>Secador de aire</t>
  </si>
  <si>
    <t>Eliminar vapor de agua del aire comprimido</t>
  </si>
  <si>
    <t>No afectación a producción, Costos de cambio de secador</t>
  </si>
  <si>
    <t>1210DR0002</t>
  </si>
  <si>
    <t>Hidrante / grifos</t>
  </si>
  <si>
    <t>1210FH0001</t>
  </si>
  <si>
    <t>Proporcionar un caudal considerable en caso de incendio en taller EMP</t>
  </si>
  <si>
    <t>Falla en válvula de salida de agua</t>
  </si>
  <si>
    <t>No afectación a producción, Muerte de personas, daños de instalación al no controlar incendio, Cambiar válvula</t>
  </si>
  <si>
    <t>1210FH0002</t>
  </si>
  <si>
    <t>1210FH0003</t>
  </si>
  <si>
    <t>1210FH0004</t>
  </si>
  <si>
    <t>1210FH0005</t>
  </si>
  <si>
    <t>1210FH0006</t>
  </si>
  <si>
    <t>1210SY0001</t>
  </si>
  <si>
    <t>1210SY0002</t>
  </si>
  <si>
    <t>Gabinete mangueras sistema contra incendio</t>
  </si>
  <si>
    <t>1210XP0008</t>
  </si>
  <si>
    <t>Gabinete mangueras contra incendio</t>
  </si>
  <si>
    <t>Gabinete dotado de mangueras que se conectan a una red abastecedora de agua para controlar incendios.</t>
  </si>
  <si>
    <t>Rotura de manguera hidráulica</t>
  </si>
  <si>
    <t>No afectación a producción, Fatalidad o incapacidades permanentes múltiples, Cambio de manguera hidráulica</t>
  </si>
  <si>
    <t>1210XP0009</t>
  </si>
  <si>
    <t>1210XP0010</t>
  </si>
  <si>
    <t>Estación manguera oficina y bodega</t>
  </si>
  <si>
    <t>1210FR0002</t>
  </si>
  <si>
    <t>Almacenar mangueras para SCI</t>
  </si>
  <si>
    <t>Rotura de manguera</t>
  </si>
  <si>
    <t xml:space="preserve"> Muerte de personas, pérdida de instalaciones y equipos, No afectación a producción,  Cambio de manguera</t>
  </si>
  <si>
    <t>1210FR0003</t>
  </si>
  <si>
    <t>Estación manguera taller camiones</t>
  </si>
  <si>
    <t>1210FR0004</t>
  </si>
  <si>
    <t>1210FR0005</t>
  </si>
  <si>
    <t>1210FR0006</t>
  </si>
  <si>
    <t>Estación manguera estanques aceite</t>
  </si>
  <si>
    <t>1210FR0007</t>
  </si>
  <si>
    <t>1210FR0008</t>
  </si>
  <si>
    <t>Paquete micro filtrado de aceite</t>
  </si>
  <si>
    <t>1210PK0001</t>
  </si>
  <si>
    <t>Filtrado de aceite de lubricación</t>
  </si>
  <si>
    <t>Falla de filtros</t>
  </si>
  <si>
    <t>No afectación a producción, Cambio de filtros</t>
  </si>
  <si>
    <t>1210PK0002</t>
  </si>
  <si>
    <t>Bomba portátil grasa</t>
  </si>
  <si>
    <t>1210PU0001</t>
  </si>
  <si>
    <t>Inyección de grasa a camiones</t>
  </si>
  <si>
    <t>No afectación a producción, Cambio de bomba portátil de grasa</t>
  </si>
  <si>
    <t>1210PU0002</t>
  </si>
  <si>
    <t>1210PU0003</t>
  </si>
  <si>
    <t>Bomba neumática grasa</t>
  </si>
  <si>
    <t>1210PU0004</t>
  </si>
  <si>
    <t>No afectación a producción, Cambio de bomba neumática de grasa</t>
  </si>
  <si>
    <t>1210PU0005</t>
  </si>
  <si>
    <t>Bomba sumidero lavado camiones</t>
  </si>
  <si>
    <t>1210PU0007</t>
  </si>
  <si>
    <t>Transferir agua de lavado de camiones</t>
  </si>
  <si>
    <t>Bomba de agua lavado</t>
  </si>
  <si>
    <t>1210PU0009</t>
  </si>
  <si>
    <t>Bomba agua lavado</t>
  </si>
  <si>
    <t>1 Op + 1 Stby: Transferir agua de lavado proveniente de 1210TK0059 hacia sumidero decantador</t>
  </si>
  <si>
    <t>1210PU0010</t>
  </si>
  <si>
    <t>Bomba portátil aceite usado</t>
  </si>
  <si>
    <t>1210PU0013</t>
  </si>
  <si>
    <t>Transferir aceite usado desde estanque portátil 1210XP0001 hacia estanque aceite usado 1210TK0002</t>
  </si>
  <si>
    <t>Bomba agua</t>
  </si>
  <si>
    <t>1210PU0017</t>
  </si>
  <si>
    <t>Bomba sumidero agua lavado</t>
  </si>
  <si>
    <t>Transferir agua potable desde 1210TK0080 hacia ducha emergencia y consumo taller EMP</t>
  </si>
  <si>
    <t>No afectación a producción, Tratamiento médico no restrictivo, Costo de reparación de bomba (Costos por cambio)</t>
  </si>
  <si>
    <t>Bomba trasvasije aceite hidráulico 10W</t>
  </si>
  <si>
    <t>1210PU0031</t>
  </si>
  <si>
    <t>Bomba trasvasije aceite HD10W</t>
  </si>
  <si>
    <t>Trasvasije aceite hidráulico 10W</t>
  </si>
  <si>
    <t>1210PU0032</t>
  </si>
  <si>
    <t>Bomba trasvasije aceite HD30</t>
  </si>
  <si>
    <t>Bomba trasvasije aceite motor 15W40</t>
  </si>
  <si>
    <t>1210PU0034</t>
  </si>
  <si>
    <t>Bomba trasvasije aceite 15W40</t>
  </si>
  <si>
    <t>Trasvasije aceite motor 15W40</t>
  </si>
  <si>
    <t>Bomba alimentación planta agua lavado</t>
  </si>
  <si>
    <t>1210PU0041</t>
  </si>
  <si>
    <t>Alimentación planta agua lavado</t>
  </si>
  <si>
    <t>Bomba descarga planta agua lavado</t>
  </si>
  <si>
    <t>1210PU0042</t>
  </si>
  <si>
    <t>Descarga planta agua lavado</t>
  </si>
  <si>
    <t>Portón</t>
  </si>
  <si>
    <t>1210RD0001</t>
  </si>
  <si>
    <t>Portón taller camiones</t>
  </si>
  <si>
    <t>Permitir entrada y salida camiones</t>
  </si>
  <si>
    <t>1210RD0002</t>
  </si>
  <si>
    <t>1210RD0003</t>
  </si>
  <si>
    <t>1210RD0004</t>
  </si>
  <si>
    <t>1210RD0005</t>
  </si>
  <si>
    <t>Portón vehículos livianos</t>
  </si>
  <si>
    <t>1210RD0006</t>
  </si>
  <si>
    <t>Permitir entrada y salida vehículos livianos</t>
  </si>
  <si>
    <t>Compuerta agua lavado</t>
  </si>
  <si>
    <t>1210ST0008</t>
  </si>
  <si>
    <t>Falla en compuerta</t>
  </si>
  <si>
    <t>No afectación a producción, Reparación de compuerta</t>
  </si>
  <si>
    <t>Estanque aceite motor 15W40</t>
  </si>
  <si>
    <t>1210TK0001</t>
  </si>
  <si>
    <t>Almacenar el aceite de motor 12W40 para distribución en taller</t>
  </si>
  <si>
    <t>Estanque aceite usado</t>
  </si>
  <si>
    <t>1210TK0002</t>
  </si>
  <si>
    <t>Almacenar el aceite usado que es retirado proveniente de estanque portátil y sumidero</t>
  </si>
  <si>
    <t>Estanque aceite diferencial / mandos finales HD50</t>
  </si>
  <si>
    <t>1210TK0003</t>
  </si>
  <si>
    <t>Estanque aceite hidráulico HD50</t>
  </si>
  <si>
    <t>Almacenar el aceite diferencial / mandos finales HD50 a distribuir</t>
  </si>
  <si>
    <t>Estanque aceite diferencial / mandos finales HD60</t>
  </si>
  <si>
    <t>1210TK0006</t>
  </si>
  <si>
    <t>Almacenar el aceite diferencial / mandos finales HD60 a distribuir</t>
  </si>
  <si>
    <t>Estanque diario aceite diferencial / mandos finales HD60</t>
  </si>
  <si>
    <t>1210TK0007</t>
  </si>
  <si>
    <t>Estanque diario aceite hidráulico HD60</t>
  </si>
  <si>
    <t>Almacenar el aceite diferencial / mandos finales HD60 para consumo diario</t>
  </si>
  <si>
    <t>Estanque diario aceite hidráulico HD10W</t>
  </si>
  <si>
    <t>1210TK0056</t>
  </si>
  <si>
    <t>Almacenar el aceite hidráulico HD10W para consumo diario</t>
  </si>
  <si>
    <t>Estanque aceite hidráulico HD 10W</t>
  </si>
  <si>
    <t>1210TK0057</t>
  </si>
  <si>
    <t>Almacenar aceite hidráulico HD 10W a distribuir</t>
  </si>
  <si>
    <t>Estanque aceite transmisión HD30</t>
  </si>
  <si>
    <t>1210TK0058</t>
  </si>
  <si>
    <t>Almacenar aceite hidráulico HD 30 a distribuir</t>
  </si>
  <si>
    <t>Estanque agua lavado</t>
  </si>
  <si>
    <t>1210TK0059</t>
  </si>
  <si>
    <t>Almacenar agua proveniente de estanque agua fresca para lavado EMP</t>
  </si>
  <si>
    <t>Estanque diario aceite transmisión HD30</t>
  </si>
  <si>
    <t>1210TK0060</t>
  </si>
  <si>
    <t>Almacenar el aceite hidráulico HD30 para consumo diario</t>
  </si>
  <si>
    <t>1210TK0080</t>
  </si>
  <si>
    <t>Almacenar agua proveniente de estanque agua potable para distribuir a ducha seguridad y consumo taller EMP</t>
  </si>
  <si>
    <t>No afectación a producción, Reversibles moderados con pérdida de tiempo, Reparación de estructura de estanque</t>
  </si>
  <si>
    <t>Estanque refrigerante</t>
  </si>
  <si>
    <t>1210TK0090</t>
  </si>
  <si>
    <t>Almacenar el refrigerante para consumo en taller EMP</t>
  </si>
  <si>
    <t>Planta limpieza agua de lavado</t>
  </si>
  <si>
    <t>1210WT0002</t>
  </si>
  <si>
    <t>Planta limpieza agua lavado</t>
  </si>
  <si>
    <t>Tratamiento para limpieza de agua de lavado</t>
  </si>
  <si>
    <t>Falla bomba hidráulica</t>
  </si>
  <si>
    <t>No afectación a producción, Cambio de bomba hidráulica</t>
  </si>
  <si>
    <t>Separador de aceite</t>
  </si>
  <si>
    <t>1210XM0012</t>
  </si>
  <si>
    <t>Sistema separador aceite</t>
  </si>
  <si>
    <t>Estanque que permite separar el aceite del agua</t>
  </si>
  <si>
    <t>No afectación a producción, Reparación de estructura de separador</t>
  </si>
  <si>
    <t>Estación modular de lubricación</t>
  </si>
  <si>
    <t>1210XP0003</t>
  </si>
  <si>
    <t>Estación modular lubricación</t>
  </si>
  <si>
    <t>Suministrar lubricantes a equipos móviles</t>
  </si>
  <si>
    <t>No afectación a producción, Cambio de manguera hidráulica</t>
  </si>
  <si>
    <t>1210XP0004</t>
  </si>
  <si>
    <t>Hidro pack agua potable</t>
  </si>
  <si>
    <t>1210XP0017</t>
  </si>
  <si>
    <t>Presurizar sistema distribución agua potable</t>
  </si>
  <si>
    <t>No afectación a producción, Tratamiento médico no restrictivo, Cambio de motor eléctrico</t>
  </si>
  <si>
    <t>Monitor de lavado</t>
  </si>
  <si>
    <t>1210XP0018</t>
  </si>
  <si>
    <t>Monitor lavado</t>
  </si>
  <si>
    <t>Suministrar caudal de agua para el lavado de equipos móviles</t>
  </si>
  <si>
    <t>Falla de monitor de lavado</t>
  </si>
  <si>
    <t>No afectación a producción, Cambio de monitor de lavado</t>
  </si>
  <si>
    <t>1210XP0019</t>
  </si>
  <si>
    <t>1210XP0020</t>
  </si>
  <si>
    <t>1210XP0021</t>
  </si>
  <si>
    <t>1210XP0022</t>
  </si>
  <si>
    <t>1210XP0023</t>
  </si>
  <si>
    <t>Extractor taller EMP</t>
  </si>
  <si>
    <t>1210EF0001</t>
  </si>
  <si>
    <t>Extraer aire de taller EMP</t>
  </si>
  <si>
    <t>Falla de extractor</t>
  </si>
  <si>
    <t>No afectación a producción, Cambio de extractor</t>
  </si>
  <si>
    <t>1210EF0002</t>
  </si>
  <si>
    <t>1210EF0003</t>
  </si>
  <si>
    <t>1210EF0004</t>
  </si>
  <si>
    <t>1210EF0005</t>
  </si>
  <si>
    <t>Extractor aire en baños</t>
  </si>
  <si>
    <t>1210EF0011</t>
  </si>
  <si>
    <t>Extraer aire de baños</t>
  </si>
  <si>
    <t>1210EF0012</t>
  </si>
  <si>
    <t>1210EF0013</t>
  </si>
  <si>
    <t>1210EF0014</t>
  </si>
  <si>
    <t>1210EF0015</t>
  </si>
  <si>
    <t>1210EF0016</t>
  </si>
  <si>
    <t>1210EF0017</t>
  </si>
  <si>
    <t>1210EF0018</t>
  </si>
  <si>
    <t>1210EF0019</t>
  </si>
  <si>
    <t>1210EF0020</t>
  </si>
  <si>
    <t>Calefactor eléctrico de edificio</t>
  </si>
  <si>
    <t>1210HE0001</t>
  </si>
  <si>
    <t>Calefactor eléctrico edificio</t>
  </si>
  <si>
    <t>Suministrar calefacción al edificio</t>
  </si>
  <si>
    <t>Falla de calefactor</t>
  </si>
  <si>
    <t>No afectación a producción, Cambio de calefactor</t>
  </si>
  <si>
    <t>1210HE0002</t>
  </si>
  <si>
    <t>1210HE0003</t>
  </si>
  <si>
    <t>1210HE0004</t>
  </si>
  <si>
    <t>1210HE0005</t>
  </si>
  <si>
    <t>Calefactor eléctrico de baño</t>
  </si>
  <si>
    <t>1210HE0021</t>
  </si>
  <si>
    <t>Calefactor eléctrico baño</t>
  </si>
  <si>
    <t>Suministrar calefacción al baño</t>
  </si>
  <si>
    <t>1210HE0022</t>
  </si>
  <si>
    <t>Soporte sistema separador aceite</t>
  </si>
  <si>
    <t>1210ST0007</t>
  </si>
  <si>
    <t>Contenedor que permite la separación de aceite y agua</t>
  </si>
  <si>
    <t xml:space="preserve">Falla en contención </t>
  </si>
  <si>
    <t>No afectación a producción, Reparar sistema separador</t>
  </si>
  <si>
    <t>Celosia ventilación</t>
  </si>
  <si>
    <t>1210VN0001</t>
  </si>
  <si>
    <t>Rejilla ventilación</t>
  </si>
  <si>
    <t>Entrada de aire a área</t>
  </si>
  <si>
    <t>1210VN0002</t>
  </si>
  <si>
    <t>1210VN0003</t>
  </si>
  <si>
    <t>1210VN0004</t>
  </si>
  <si>
    <t>1210VN0005</t>
  </si>
  <si>
    <t>1210VN0006</t>
  </si>
  <si>
    <t>Soporte bomba sumidero</t>
  </si>
  <si>
    <t>1210ST0003</t>
  </si>
  <si>
    <t>Soportar bomba sumidero</t>
  </si>
  <si>
    <t>Falla en soporte</t>
  </si>
  <si>
    <t>No afectación a producción, Cambiar soporte</t>
  </si>
  <si>
    <t>1210ST0004</t>
  </si>
  <si>
    <t>1210ST0005</t>
  </si>
  <si>
    <t>1210ST0006</t>
  </si>
  <si>
    <t>Atril de neumáticos</t>
  </si>
  <si>
    <t>1210ST0011</t>
  </si>
  <si>
    <t>Atril neumáticos</t>
  </si>
  <si>
    <t>Organizar los neumáticos de camiones</t>
  </si>
  <si>
    <t>Falla en estructura de atril</t>
  </si>
  <si>
    <t>No afectación a producción, Costos por reparación</t>
  </si>
  <si>
    <t>1210ST0012</t>
  </si>
  <si>
    <t>1210ST0013</t>
  </si>
  <si>
    <t>1210ST0014</t>
  </si>
  <si>
    <t>1210ST0015</t>
  </si>
  <si>
    <t>4600 Comunicaciones y sistemas de control</t>
  </si>
  <si>
    <t>4630 Sistema de control</t>
  </si>
  <si>
    <t>Servidor primario</t>
  </si>
  <si>
    <t>4630PS0001</t>
  </si>
  <si>
    <t>Programas de computadora en ejecución que atienden las peticiones de otros programas</t>
  </si>
  <si>
    <t>Falla de comunicación en red</t>
  </si>
  <si>
    <t>No afectación a operación de planta, 
Reconfiguración de servidor</t>
  </si>
  <si>
    <t>Servidor secundario</t>
  </si>
  <si>
    <t>4630PS0002</t>
  </si>
  <si>
    <t>Servidor para estaciones virtuales</t>
  </si>
  <si>
    <t>4630PS0003</t>
  </si>
  <si>
    <t>4630PS0004</t>
  </si>
  <si>
    <t>4630PS0005</t>
  </si>
  <si>
    <t>Servidor secundario de historial</t>
  </si>
  <si>
    <t>4630PS0006</t>
  </si>
  <si>
    <t>4640 Sistema SCADA eléctrico</t>
  </si>
  <si>
    <t>4640PS0001</t>
  </si>
  <si>
    <t>4640PS0002</t>
  </si>
  <si>
    <t xml:space="preserve">Gabinete remoto RIO </t>
  </si>
  <si>
    <t>2110IO0001</t>
  </si>
  <si>
    <t xml:space="preserve">Gabinete RIO  </t>
  </si>
  <si>
    <t>Recepción y emisión de señales de instrumentación de terreno</t>
  </si>
  <si>
    <t>Falla en recepción / emisión de señales</t>
  </si>
  <si>
    <t>No afectación a operación de planta, 
Reparación de gabinete</t>
  </si>
  <si>
    <t>2110IO0002</t>
  </si>
  <si>
    <t>3110IO0001</t>
  </si>
  <si>
    <t>Afectación a operación de planta, 
Reparación de gabinete</t>
  </si>
  <si>
    <t>3110IO0002</t>
  </si>
  <si>
    <t>3210IO0001</t>
  </si>
  <si>
    <t>3210IO0002</t>
  </si>
  <si>
    <t>3210IO0003</t>
  </si>
  <si>
    <t>3220IO0001</t>
  </si>
  <si>
    <t>3220IO0002</t>
  </si>
  <si>
    <t>3310IO0001</t>
  </si>
  <si>
    <t>3310IO0002</t>
  </si>
  <si>
    <t>3310IO0003</t>
  </si>
  <si>
    <t>3320IO0001</t>
  </si>
  <si>
    <t>3320IO0002</t>
  </si>
  <si>
    <t>3330IO0001</t>
  </si>
  <si>
    <t>3330IO0002</t>
  </si>
  <si>
    <t>3330IO0003</t>
  </si>
  <si>
    <t>3330IO0004</t>
  </si>
  <si>
    <t>3410IO0001</t>
  </si>
  <si>
    <t>3410IO0002</t>
  </si>
  <si>
    <t>3420IO0001</t>
  </si>
  <si>
    <t>3420IO0002</t>
  </si>
  <si>
    <t>3450IO0001</t>
  </si>
  <si>
    <t>3450IO0002</t>
  </si>
  <si>
    <t>3500IO0001</t>
  </si>
  <si>
    <t>3500IO0002</t>
  </si>
  <si>
    <t>3610IO0001</t>
  </si>
  <si>
    <t>3620IO0001</t>
  </si>
  <si>
    <t>3620IO0002</t>
  </si>
  <si>
    <t>3620IO0003</t>
  </si>
  <si>
    <t>3630IO0001</t>
  </si>
  <si>
    <t>3630IO0002</t>
  </si>
  <si>
    <t>3630IO0003</t>
  </si>
  <si>
    <t>3630IO0004</t>
  </si>
  <si>
    <t>3630IO0005</t>
  </si>
  <si>
    <t>3630IO0006</t>
  </si>
  <si>
    <t>3700IO0001</t>
  </si>
  <si>
    <t>3810IO0001</t>
  </si>
  <si>
    <t>3810IO0002</t>
  </si>
  <si>
    <t>3830IO0001</t>
  </si>
  <si>
    <t>3840IO0001</t>
  </si>
  <si>
    <t>7200IO0001</t>
  </si>
  <si>
    <t>2100CS0002</t>
  </si>
  <si>
    <t>3100CS0003</t>
  </si>
  <si>
    <t>Bomba diésel diario Regeneración de carbón</t>
  </si>
  <si>
    <t>4500PU0505</t>
  </si>
  <si>
    <t>Bomba diesel diario regeneración carbón</t>
  </si>
  <si>
    <t>Transferir diésel diario a Regeneración de carbón</t>
  </si>
  <si>
    <t>No afectación a producción, Afectación ambiental, Cambiar bomba</t>
  </si>
  <si>
    <t>Bomba diésel diario Refinería</t>
  </si>
  <si>
    <t>4500PU0506</t>
  </si>
  <si>
    <t>Bomba diesel diario Refinería</t>
  </si>
  <si>
    <t>Transferir diésel diario a Refinería</t>
  </si>
  <si>
    <t>Afectación ambiental, Afectación a producción, Cambiar bomba</t>
  </si>
  <si>
    <t>Bomba diésel diario Elución</t>
  </si>
  <si>
    <t>4500PU0507</t>
  </si>
  <si>
    <t>Bomba diesel diario Elución</t>
  </si>
  <si>
    <t>Transferir diésel diario a Elución</t>
  </si>
  <si>
    <t>Lín agua fresca 7220-7218-RA6A-10"-WFR-N</t>
  </si>
  <si>
    <t>7220WL0001</t>
  </si>
  <si>
    <t>Línea agua 7220-7218-RA6A-10"-WFR-N</t>
  </si>
  <si>
    <t>Distribuir agua fresca desde línea descarga de bombas transferencia a estanque 4100-TK-0042/45</t>
  </si>
  <si>
    <t>5200 Barrio cívico</t>
  </si>
  <si>
    <t>5210 Sala de control</t>
  </si>
  <si>
    <t>Gabinete servidor primario</t>
  </si>
  <si>
    <t>5210CC0005</t>
  </si>
  <si>
    <t>Gabinete servidores primarios</t>
  </si>
  <si>
    <t>Gabinete servidor secundario</t>
  </si>
  <si>
    <t>5210CC0006</t>
  </si>
  <si>
    <t>Gabinete servidores secundarios</t>
  </si>
  <si>
    <t>Core Switch 1</t>
  </si>
  <si>
    <t>4630CW0001</t>
  </si>
  <si>
    <t>Switch principal que ejerce control en los demás switches del sistema</t>
  </si>
  <si>
    <t>Cortocircuito en core switch</t>
  </si>
  <si>
    <t>No afectación a producción, Cambio de core switch</t>
  </si>
  <si>
    <t>Core Switch 2</t>
  </si>
  <si>
    <t>4630CW0002</t>
  </si>
  <si>
    <t>4640CW0001</t>
  </si>
  <si>
    <t>4640CW0002</t>
  </si>
  <si>
    <t>5210UP0001</t>
  </si>
  <si>
    <t>Afectación a operación de planta, Cambio de UPS</t>
  </si>
  <si>
    <t>3100UP0001</t>
  </si>
  <si>
    <t>3100TU0001</t>
  </si>
  <si>
    <t>Afectación a operación de planta, Reparación de tablero de distribución</t>
  </si>
  <si>
    <t>3100TU0002</t>
  </si>
  <si>
    <t>3300TU0002</t>
  </si>
  <si>
    <t>Tablero contraincendios (sala de control)</t>
  </si>
  <si>
    <t>5210FP0001</t>
  </si>
  <si>
    <t>Tablero SCI principal sala de control</t>
  </si>
  <si>
    <t>Centralizador de señales de FP en terreno</t>
  </si>
  <si>
    <t>Cortocircuito en tablero</t>
  </si>
  <si>
    <t>Fatalidad o incapacidades permanentes múltiples, No afectación a operación de planta, 
Reparar tablero</t>
  </si>
  <si>
    <t>2100FP0001</t>
  </si>
  <si>
    <t>Tablero SCI sala eléctrica</t>
  </si>
  <si>
    <t>Procesar las señales recibidas desde los dispositivos para activar el sistema contraincendios en caso de ser requerido</t>
  </si>
  <si>
    <t>3100FP0001</t>
  </si>
  <si>
    <t>3300FP0001</t>
  </si>
  <si>
    <t>3600FP0001</t>
  </si>
  <si>
    <t>4400FP0001</t>
  </si>
  <si>
    <t>7200FP0001</t>
  </si>
  <si>
    <t>Tablero contraincendios</t>
  </si>
  <si>
    <t>2110FP1001</t>
  </si>
  <si>
    <t>Tablero SCI</t>
  </si>
  <si>
    <t>2120FP1001</t>
  </si>
  <si>
    <t>2210FP1001</t>
  </si>
  <si>
    <t>3100FP1001</t>
  </si>
  <si>
    <t>3140 Manejo de pebbles</t>
  </si>
  <si>
    <t>3140FP1001</t>
  </si>
  <si>
    <t>3300FP1001</t>
  </si>
  <si>
    <t>3420FP1001</t>
  </si>
  <si>
    <t>3450FP1001</t>
  </si>
  <si>
    <t>3630FP1001</t>
  </si>
  <si>
    <t>3630FP1002</t>
  </si>
  <si>
    <t>3820FP1001</t>
  </si>
  <si>
    <t>3840FP1001</t>
  </si>
  <si>
    <t>3850 Oxígeno</t>
  </si>
  <si>
    <t>3850FP1001</t>
  </si>
  <si>
    <t>4130 Agua potable</t>
  </si>
  <si>
    <t>4130FP1001</t>
  </si>
  <si>
    <t>4130FP1002</t>
  </si>
  <si>
    <t>4300FP1001</t>
  </si>
  <si>
    <t>5900 Taller vehículos livianos</t>
  </si>
  <si>
    <t>5900FP1001</t>
  </si>
  <si>
    <t>7200FP1001</t>
  </si>
  <si>
    <t>7200FP1002</t>
  </si>
  <si>
    <t>3150IO0001</t>
  </si>
  <si>
    <t>3150IO0002</t>
  </si>
  <si>
    <t>3150IO0003</t>
  </si>
  <si>
    <t>3150IO0004</t>
  </si>
  <si>
    <t>3820IO0001</t>
  </si>
  <si>
    <t>3850IO0001</t>
  </si>
  <si>
    <t>4500IO0001</t>
  </si>
  <si>
    <t>Gabinete PLC</t>
  </si>
  <si>
    <t>3110CP0001</t>
  </si>
  <si>
    <t>Gabinete PLC LRS molino SAG</t>
  </si>
  <si>
    <t>Automatizar el proceso de área 3110</t>
  </si>
  <si>
    <t>Falla de PLC por cortocircuito</t>
  </si>
  <si>
    <t>Afectación a producción, Parada de área 3110
Cambio de PLC</t>
  </si>
  <si>
    <t>3120CP0001</t>
  </si>
  <si>
    <t>Gabinete PLC LRS molino bolas</t>
  </si>
  <si>
    <t>3330CP0001</t>
  </si>
  <si>
    <t>Gabinete PLC filtro precipitado 1</t>
  </si>
  <si>
    <t>3330CP0002</t>
  </si>
  <si>
    <t>Gabinete PLC filtro precipitado 2</t>
  </si>
  <si>
    <t>3330CP0003</t>
  </si>
  <si>
    <t>Gabinete PLC filtro precipitado 3</t>
  </si>
  <si>
    <t>3450CP0001</t>
  </si>
  <si>
    <t>Gabinete PLC horno regeneración carbón</t>
  </si>
  <si>
    <t>No afectación a producción, 
Cambio de PLC</t>
  </si>
  <si>
    <t>3450CP0002</t>
  </si>
  <si>
    <t>Gabinete PLC calentador Elución</t>
  </si>
  <si>
    <t>No afectación a producción, Parada de área 3110, 
Cambio de PLC</t>
  </si>
  <si>
    <t>3500CP0001</t>
  </si>
  <si>
    <t>Gabinete PLC retorta mercurio 1</t>
  </si>
  <si>
    <t>3500CP0002</t>
  </si>
  <si>
    <t>Gabinete PLC retorta mercurio 2</t>
  </si>
  <si>
    <t>3500CP0003</t>
  </si>
  <si>
    <t>Gabinete PLC horno fundición 1</t>
  </si>
  <si>
    <t>3500CP0004</t>
  </si>
  <si>
    <t>Gabinete PLC horno fundición 2</t>
  </si>
  <si>
    <t>3500CP0005</t>
  </si>
  <si>
    <t>Gabinete PLC enfriador 1</t>
  </si>
  <si>
    <t>3500CP0006</t>
  </si>
  <si>
    <t>Gabinete PLC enfriador 2</t>
  </si>
  <si>
    <t>3500CP0007</t>
  </si>
  <si>
    <t>Gabinete PLC enfriador 3</t>
  </si>
  <si>
    <t>3850CP0001</t>
  </si>
  <si>
    <t>4100CP0001</t>
  </si>
  <si>
    <t>Gabinete PLC planta agua</t>
  </si>
  <si>
    <t>Gabinete CCTV</t>
  </si>
  <si>
    <t>1210JB3001</t>
  </si>
  <si>
    <t>Recepción y emisión de señales de CCTV a sala de control</t>
  </si>
  <si>
    <t>Cortocircuito en gabinete</t>
  </si>
  <si>
    <t>No afectación a producción, Reparación de gabinete</t>
  </si>
  <si>
    <t>2110JB3002</t>
  </si>
  <si>
    <t>2210JB3015</t>
  </si>
  <si>
    <t>2210JB3004</t>
  </si>
  <si>
    <t>3120JB3005</t>
  </si>
  <si>
    <t>3220JB3006</t>
  </si>
  <si>
    <t>3310JB3007</t>
  </si>
  <si>
    <t>3330JB3008</t>
  </si>
  <si>
    <t>3620JB3009</t>
  </si>
  <si>
    <t>3630JB3010</t>
  </si>
  <si>
    <t>3820JB3011</t>
  </si>
  <si>
    <t>3830JB3012</t>
  </si>
  <si>
    <t>4510 Almacén principal combustible</t>
  </si>
  <si>
    <t>4510JB3013</t>
  </si>
  <si>
    <t>7200JB3014</t>
  </si>
  <si>
    <t>Gabinete comunicaciones sala eléctrica</t>
  </si>
  <si>
    <t>2100CC0001</t>
  </si>
  <si>
    <t>Tablero de comunicación</t>
  </si>
  <si>
    <t>Transmitir comunicación a sala de control (Switch comunicación)</t>
  </si>
  <si>
    <t xml:space="preserve">No afectación a operación de planta, 
Cambiar gabinete </t>
  </si>
  <si>
    <t>3100CC0001</t>
  </si>
  <si>
    <t>3300CC0001</t>
  </si>
  <si>
    <t>3600CC0001</t>
  </si>
  <si>
    <t>4400CC0001</t>
  </si>
  <si>
    <t>7200CC0001</t>
  </si>
  <si>
    <t>Consola escritorio operador Rompedor de rocas</t>
  </si>
  <si>
    <t>5210OC0002</t>
  </si>
  <si>
    <t>Consola operador Rompedor de rocas</t>
  </si>
  <si>
    <t>Centralizar las funciones de control de procesos</t>
  </si>
  <si>
    <t>Cortocircuito en consola</t>
  </si>
  <si>
    <t>No afectación a producción, Cambiar consola escritorio</t>
  </si>
  <si>
    <t xml:space="preserve">
Consola escritorio operador planta de Chancado y Molienda</t>
  </si>
  <si>
    <t>5210OC0003</t>
  </si>
  <si>
    <t>Consola operador Trituración y Molienda</t>
  </si>
  <si>
    <t>Consola escritorio operador CIP - Lixiviación / Merrill Crowe</t>
  </si>
  <si>
    <t>5210OC0004</t>
  </si>
  <si>
    <t>Consola operador Lixiviación / Merrill</t>
  </si>
  <si>
    <t>Consola escritorio operador Agua / Relaves</t>
  </si>
  <si>
    <t>5210OC0006</t>
  </si>
  <si>
    <t>Consola operador agua / relaves</t>
  </si>
  <si>
    <t>Consola escritorio operador Scada eléctrico</t>
  </si>
  <si>
    <t>5210OC0007</t>
  </si>
  <si>
    <t>Consola operador SCADA eléctrica</t>
  </si>
  <si>
    <t>Consola escritorio operador de despacho</t>
  </si>
  <si>
    <t>5210OC0008</t>
  </si>
  <si>
    <t>Consola operador de despacho</t>
  </si>
  <si>
    <t>Consola escritorio operador equipo de minería</t>
  </si>
  <si>
    <t>5210OC0009</t>
  </si>
  <si>
    <t>Consola operador de equipos de minería</t>
  </si>
  <si>
    <t>Consola escritorio de ingeniería</t>
  </si>
  <si>
    <t>5210EC0001</t>
  </si>
  <si>
    <t>Consola de ingeniería</t>
  </si>
  <si>
    <t>No afectación a producción, Cambiar consola</t>
  </si>
  <si>
    <t>Consola escritorio de instrumentación</t>
  </si>
  <si>
    <t>5210EC0002</t>
  </si>
  <si>
    <t>Consola de instrumentación</t>
  </si>
  <si>
    <t>Mesa de impresora, mesa de documentación (ovalada), mesa de colaboración ABB</t>
  </si>
  <si>
    <t>S/tag</t>
  </si>
  <si>
    <t>Mesa soporte a documentación</t>
  </si>
  <si>
    <t>Falla de impresora</t>
  </si>
  <si>
    <t>No afectación a producción, Cambiar impresora</t>
  </si>
  <si>
    <t>5210CW0001</t>
  </si>
  <si>
    <t>5210CW0002</t>
  </si>
  <si>
    <t>Firewall 1</t>
  </si>
  <si>
    <t>5210FW0001</t>
  </si>
  <si>
    <t>Proteger y generar reglas de acceso a redes comunicaciones</t>
  </si>
  <si>
    <t>Cortocircuito en firewall</t>
  </si>
  <si>
    <t>No afectación a operación de planta, 
Cambio de firewall</t>
  </si>
  <si>
    <t>Firewall 2</t>
  </si>
  <si>
    <t>5210FW0002</t>
  </si>
  <si>
    <t>Firewall 3</t>
  </si>
  <si>
    <t>5210FW0003</t>
  </si>
  <si>
    <t>Firewall 4</t>
  </si>
  <si>
    <t>5210FW0004</t>
  </si>
  <si>
    <t>KVM Switch 1 5210CC0003SW001</t>
  </si>
  <si>
    <t>5210SW0031</t>
  </si>
  <si>
    <t>Extensores de señales (video, teclado y mouse)</t>
  </si>
  <si>
    <t>Cortocircuito en KVM</t>
  </si>
  <si>
    <t>No afectación a producción, Cambio de KVM Switch</t>
  </si>
  <si>
    <t>KVM Switch 2 5210CC0004SW001</t>
  </si>
  <si>
    <t>5210SW0041</t>
  </si>
  <si>
    <t>Lín lechada cal 3810-5605-LUNA-3"-RML-ET</t>
  </si>
  <si>
    <t>3810LL0001</t>
  </si>
  <si>
    <t>Distribuir lechada de cal a planta</t>
  </si>
  <si>
    <t>Lín lechada cal 3810-5605-LUNA-3"-RML-E T</t>
  </si>
  <si>
    <t>3810LL0002</t>
  </si>
  <si>
    <t>3810LL0003</t>
  </si>
  <si>
    <t>Bandeja de rechazo del alimentador</t>
  </si>
  <si>
    <t>2110BN0004</t>
  </si>
  <si>
    <t>Tolva receptor finos alimentador</t>
  </si>
  <si>
    <t xml:space="preserve">Recepcionar los rechazos provenientes de alimentador </t>
  </si>
  <si>
    <t>Rotura en bandeja</t>
  </si>
  <si>
    <t>No afectación a producción, Costos de reparación de bandeja</t>
  </si>
  <si>
    <t>Puerta enrollable para almacenamiento</t>
  </si>
  <si>
    <t>2210RD0026</t>
  </si>
  <si>
    <t>Puerta enrollable Stockpile</t>
  </si>
  <si>
    <t>Permitir el acceso de maquinaria a  Stock pile</t>
  </si>
  <si>
    <t>2210RD0027</t>
  </si>
  <si>
    <t>Cajón rebose de bolas</t>
  </si>
  <si>
    <t>3110BX0033</t>
  </si>
  <si>
    <t>Cajón rechazo bolas</t>
  </si>
  <si>
    <t>Almacenar las bolas rebosadas de Molino SAG</t>
  </si>
  <si>
    <t>Distribuidor bolas Molino SAG</t>
  </si>
  <si>
    <t>3110ME0007</t>
  </si>
  <si>
    <t>Distribuidor bolas molino SAG</t>
  </si>
  <si>
    <t>Transferir las bolas desde tolva a capacho</t>
  </si>
  <si>
    <t xml:space="preserve">Falla distribuidor bolas
</t>
  </si>
  <si>
    <t>No afectación a producción, Reparación distribuidor de bolas</t>
  </si>
  <si>
    <t>Puerta plegable vertical</t>
  </si>
  <si>
    <t>3150RD0023</t>
  </si>
  <si>
    <t>Permitir el acceso al área</t>
  </si>
  <si>
    <t>Celosia de Molienda</t>
  </si>
  <si>
    <t>3150XM0014</t>
  </si>
  <si>
    <t>Celosía molienda</t>
  </si>
  <si>
    <t>Admisión o extracción de aire en edificio</t>
  </si>
  <si>
    <t>Cajón de muestreo</t>
  </si>
  <si>
    <t>3210BX0014</t>
  </si>
  <si>
    <t>Cajón muestreo</t>
  </si>
  <si>
    <t>Almacenar el mineral para muestreo</t>
  </si>
  <si>
    <t>Cajón de rechazo de muestreo</t>
  </si>
  <si>
    <t>3210BX0034</t>
  </si>
  <si>
    <t>Cajón rechazo</t>
  </si>
  <si>
    <t>Almacenar el material proveniente de 3210SA0003 muestreador terciario para rechazo</t>
  </si>
  <si>
    <t xml:space="preserve">
Bomba de rechazo del muestreador de alimentación de lixiviación</t>
  </si>
  <si>
    <t>3210PU0088</t>
  </si>
  <si>
    <t>Bomba rechazo muestreador lixiviación</t>
  </si>
  <si>
    <t>Transferir la muestra retenida en muestreador hacia el proceso</t>
  </si>
  <si>
    <t>No afecta operación de Molienda, 
Cambio de bomba</t>
  </si>
  <si>
    <t>Tolva precapa</t>
  </si>
  <si>
    <t>3330HO0011</t>
  </si>
  <si>
    <t>Almacenar precapa para alimentar preparador precapa</t>
  </si>
  <si>
    <t>No afectación a producción, Reparación de cajón</t>
  </si>
  <si>
    <t>Intercambiador de calor enfriamiento gases</t>
  </si>
  <si>
    <t>3450HX0007</t>
  </si>
  <si>
    <t>Intercambiador calor escape horno</t>
  </si>
  <si>
    <t>Tratamiento de gases provenientes de horno regeneración 3450KI0001</t>
  </si>
  <si>
    <t>Falla de intercambiador</t>
  </si>
  <si>
    <t>Chimenea horno regeneración de carbón</t>
  </si>
  <si>
    <t>3450ST0004</t>
  </si>
  <si>
    <t>Chimenea horno</t>
  </si>
  <si>
    <t>Conducir los gases a atmósfera provenientes de  provenientes de horno regeneración 3450KI0001</t>
  </si>
  <si>
    <t>Afectación ambiental, Afectación a producción, Reparación de chimenea</t>
  </si>
  <si>
    <t xml:space="preserve">Cajón Knock-Out </t>
  </si>
  <si>
    <t>3500BX0036</t>
  </si>
  <si>
    <t>Cajón separación</t>
  </si>
  <si>
    <t>Recolectar el mercurio elemental de enfriadores</t>
  </si>
  <si>
    <t>3500BX0037</t>
  </si>
  <si>
    <t>Campana extractora de horno</t>
  </si>
  <si>
    <t>3500HD0002</t>
  </si>
  <si>
    <t>Campana extractora horno fundición</t>
  </si>
  <si>
    <t>Extraer gases de horno de fundición 3500FU0003</t>
  </si>
  <si>
    <t>3500HD0003</t>
  </si>
  <si>
    <t>Extraer gases de horno de fundición 3500FU0004</t>
  </si>
  <si>
    <t>3630BX0017</t>
  </si>
  <si>
    <t>Almacenar la muestra a analizar</t>
  </si>
  <si>
    <t>3630BX0018</t>
  </si>
  <si>
    <t>Almacenar la muestra  a rechazar</t>
  </si>
  <si>
    <t>Ventilador sistema calefacción edificio</t>
  </si>
  <si>
    <t>3630FA0053</t>
  </si>
  <si>
    <t>Ventilador sistema de calefacción</t>
  </si>
  <si>
    <t>Suministrar aire caliente desde compresores hacia edificio</t>
  </si>
  <si>
    <t>3630RD0035</t>
  </si>
  <si>
    <t>3630RD0036</t>
  </si>
  <si>
    <t>Extractor aire en edificio Reactivos</t>
  </si>
  <si>
    <t>3800FA0037</t>
  </si>
  <si>
    <t>Ventilador extractor edificio reactivos</t>
  </si>
  <si>
    <t xml:space="preserve">Extraer aire de Reactivos </t>
  </si>
  <si>
    <t>3800FA0038</t>
  </si>
  <si>
    <t>3800FA0048</t>
  </si>
  <si>
    <t>Extractor almacén cianuro</t>
  </si>
  <si>
    <t>3820FA0021</t>
  </si>
  <si>
    <t>Ventilador almacén de cianuro</t>
  </si>
  <si>
    <t>Extraer aire de almacén de Cianuro</t>
  </si>
  <si>
    <t>Extractor aire de Cianuro</t>
  </si>
  <si>
    <t>3820FA0039</t>
  </si>
  <si>
    <t>Ventilador extractor aire cianuro</t>
  </si>
  <si>
    <t xml:space="preserve">Extraer aire de área Cianuro  </t>
  </si>
  <si>
    <t>3820FA0040</t>
  </si>
  <si>
    <t>Colector de polvo sulfato de cobre</t>
  </si>
  <si>
    <t xml:space="preserve">3840DC0005 </t>
  </si>
  <si>
    <t>Colector polvo sulfato de cobre</t>
  </si>
  <si>
    <t>Colector de polvo de sulfato de cobre</t>
  </si>
  <si>
    <t>Colector de polvo SMBS</t>
  </si>
  <si>
    <t>3840DC0006</t>
  </si>
  <si>
    <t>Colector polvo SBMS</t>
  </si>
  <si>
    <t>Ventilador Scrubber</t>
  </si>
  <si>
    <t>3840FA0009</t>
  </si>
  <si>
    <t>Colector polvo DC0004</t>
  </si>
  <si>
    <t>Bomba de sumidero de sulfato de cobre</t>
  </si>
  <si>
    <t>3840PU0502</t>
  </si>
  <si>
    <t>Bomba sumidero sulfato de cobre</t>
  </si>
  <si>
    <t>Transferir derrames de sulfato de cobre a proceso</t>
  </si>
  <si>
    <t>4300CP0013</t>
  </si>
  <si>
    <t>Compresor de aire</t>
  </si>
  <si>
    <t>4900 Taller mantenimiento planta procesos</t>
  </si>
  <si>
    <t>4900CP0030</t>
  </si>
  <si>
    <t>Comprimir aire para taller de mantención planta</t>
  </si>
  <si>
    <t>No afectación a producción, Cambio compresor</t>
  </si>
  <si>
    <t>Extractor aire de taller manto planta</t>
  </si>
  <si>
    <t>4900FA0041</t>
  </si>
  <si>
    <t>Ventilador extractor taller mantenimient</t>
  </si>
  <si>
    <t xml:space="preserve">Extraer aire de taller  </t>
  </si>
  <si>
    <t>Extractor aire de Bodega</t>
  </si>
  <si>
    <t>5300FA0042</t>
  </si>
  <si>
    <t>Ventilador extractor aire bodega</t>
  </si>
  <si>
    <t xml:space="preserve">Extraer aire de Bodega  </t>
  </si>
  <si>
    <t>5300FA0043</t>
  </si>
  <si>
    <t>Extractor aire de estación combustible  livianos</t>
  </si>
  <si>
    <t>5800FA0049</t>
  </si>
  <si>
    <t>Ventilador extractor estación combustibl</t>
  </si>
  <si>
    <t xml:space="preserve">Extraer aire de estación combustible   </t>
  </si>
  <si>
    <t>5210TU0001</t>
  </si>
  <si>
    <t>Alimentación a tablero de distribución de instrumentación área 5210</t>
  </si>
  <si>
    <t>Bomba distribución aceite hidráulica HD50</t>
  </si>
  <si>
    <t>1210PU0012</t>
  </si>
  <si>
    <t>Bomba distribución aceite HD50</t>
  </si>
  <si>
    <t>Distribución de aceite hidráulico HD50</t>
  </si>
  <si>
    <t>Bomba distribución aceite hidráulica HD10W</t>
  </si>
  <si>
    <t>1210PU0015</t>
  </si>
  <si>
    <t>Bomba distribución aceite HD10W</t>
  </si>
  <si>
    <t>Transferir aceite HD10W desde 1210TK0057 hacia estaciones de lubricación</t>
  </si>
  <si>
    <t>Bomba distribución aceite transmisión HD30</t>
  </si>
  <si>
    <t>1210PU0016</t>
  </si>
  <si>
    <t>Bomba distribución aceite HD30</t>
  </si>
  <si>
    <t>Transferir aceite HD30 desde 1210TK0057 hacia estaciones de lubricación</t>
  </si>
  <si>
    <t>Bomba distribución aceite hidráulica HD60</t>
  </si>
  <si>
    <t>1210PU0020</t>
  </si>
  <si>
    <t>Bomba distribución aceite HD60</t>
  </si>
  <si>
    <t>Transferir aceite HD60 desde estanques  hacia estación de lubricación</t>
  </si>
  <si>
    <t>Bomba trasvasije aceite hidráulico HD60</t>
  </si>
  <si>
    <t>1210PU0033</t>
  </si>
  <si>
    <t>Bomba trasvasije aceite HD60</t>
  </si>
  <si>
    <t>Transferir aceite HD60 desde camiones hacia 1210TK0006</t>
  </si>
  <si>
    <t>Bomba trasvasije aceite hidráulico HD50</t>
  </si>
  <si>
    <t>1210PU0035</t>
  </si>
  <si>
    <t>Transferir aceite HD50 desde camiones hacia 1210TK0003</t>
  </si>
  <si>
    <t>Bomba Trasvasije refrigerante</t>
  </si>
  <si>
    <t>1210PU0089</t>
  </si>
  <si>
    <t>Bomba trasvasije refrigerante</t>
  </si>
  <si>
    <t>Transferir refrigerante desde camiones hacia 1210TK0090</t>
  </si>
  <si>
    <t>Bomba distribución refrigerante</t>
  </si>
  <si>
    <t>1210PU0090</t>
  </si>
  <si>
    <t>Transferir refrigerante desde 1210TK0090 hacia estación modular de lubricación</t>
  </si>
  <si>
    <t>Acopio mineral grueso</t>
  </si>
  <si>
    <t>2210COS001</t>
  </si>
  <si>
    <t>Almacenar grandes volúmenes de mineral grueso proveniente de mina para alimentar Chancado</t>
  </si>
  <si>
    <t>Línea pulpa 3110-0210-ATNA-16"-SL-N</t>
  </si>
  <si>
    <t>3110PL0001</t>
  </si>
  <si>
    <t>Transportar pulpa desde bombas 3110PU0061/ 3110PU0062 a batería a hidrociclones 3120CY0001</t>
  </si>
  <si>
    <t>Distribuidor bolas Molino Bolas</t>
  </si>
  <si>
    <t>3120ME0008</t>
  </si>
  <si>
    <t>Distribuidor bolas molino Bolas</t>
  </si>
  <si>
    <t>Ducha lava ojos y emergencia</t>
  </si>
  <si>
    <t>3220SY0022</t>
  </si>
  <si>
    <t>3220SY0023</t>
  </si>
  <si>
    <t>Bomba harnero inter etapa (reserva)</t>
  </si>
  <si>
    <t>3320SN0021</t>
  </si>
  <si>
    <t xml:space="preserve">Sustituir la bomba harnero 3320SN0013 al 20 en caso de falla </t>
  </si>
  <si>
    <t>3330PU0504</t>
  </si>
  <si>
    <t>Transferir derrames de  sumidero a espesador  CCD</t>
  </si>
  <si>
    <t>Muestreador alambre No. 1</t>
  </si>
  <si>
    <t>3330SA0001</t>
  </si>
  <si>
    <t>Tomar una muestra para análisis</t>
  </si>
  <si>
    <t>Falla en muestreador</t>
  </si>
  <si>
    <t>No afectación a producción, Reparar muestreador</t>
  </si>
  <si>
    <t>Muestreador alambre No. 2</t>
  </si>
  <si>
    <t>3330SA0002</t>
  </si>
  <si>
    <t>3450VE0006</t>
  </si>
  <si>
    <t>Columna carbón escape horno</t>
  </si>
  <si>
    <t>Tratamiento gases de horno regeneración de carbón  3450KI0001</t>
  </si>
  <si>
    <t>Ventilador escape horno retorta</t>
  </si>
  <si>
    <t>3500FA0016</t>
  </si>
  <si>
    <t>Extraer gases de horno retorta</t>
  </si>
  <si>
    <t>Extractor de aire en Refinería</t>
  </si>
  <si>
    <t>3500FA0031</t>
  </si>
  <si>
    <t xml:space="preserve">Extraer aire de Refinería  </t>
  </si>
  <si>
    <t>3500FA0032</t>
  </si>
  <si>
    <t>3500FA0033</t>
  </si>
  <si>
    <t>3500FA0034</t>
  </si>
  <si>
    <t>3500ME0071</t>
  </si>
  <si>
    <t>3500ME0072</t>
  </si>
  <si>
    <t>Bomba de Recirculación Agua Enfriamiento</t>
  </si>
  <si>
    <t>3500PU0220</t>
  </si>
  <si>
    <t>Transferir agua de enfriamiento a chiller</t>
  </si>
  <si>
    <t>3500PU0221</t>
  </si>
  <si>
    <t>Levantador de lingotes</t>
  </si>
  <si>
    <t>3500XM0129</t>
  </si>
  <si>
    <t>Falla de levantador de lingotes</t>
  </si>
  <si>
    <t>No afectación a producción, Cambiar levantador de lingotes</t>
  </si>
  <si>
    <t>3600JX0001</t>
  </si>
  <si>
    <t>3630DR0002</t>
  </si>
  <si>
    <t>3630HE0135</t>
  </si>
  <si>
    <t>3630HE0136</t>
  </si>
  <si>
    <t>3630HE0137</t>
  </si>
  <si>
    <t>3630HE0138</t>
  </si>
  <si>
    <t>3630HE0139</t>
  </si>
  <si>
    <t>3630HE0140</t>
  </si>
  <si>
    <t>3630HE0141</t>
  </si>
  <si>
    <t>Bomba sumidero relaves</t>
  </si>
  <si>
    <t>3630PU0295</t>
  </si>
  <si>
    <t>Transferir derrames de relaves a estanque colección de derrames</t>
  </si>
  <si>
    <t>3810DC0004</t>
  </si>
  <si>
    <t>Colector de polvo en tolva zinc 3330SO0001</t>
  </si>
  <si>
    <t>Lechada cal 3810-5605-LUNA-2-1/2"-RML-ET</t>
  </si>
  <si>
    <t>3810ML0001</t>
  </si>
  <si>
    <t>Scrubber apagador cal</t>
  </si>
  <si>
    <t>3810SK0008</t>
  </si>
  <si>
    <t>Scrubber cal</t>
  </si>
  <si>
    <t>Lavado de gases provenientes de apagador de cal</t>
  </si>
  <si>
    <t>Fatalidad o incapacidad permanente a una persona, Afectación a producción, Reparar estructura de lavador de gases</t>
  </si>
  <si>
    <t>Scrubber estanque lechada cal</t>
  </si>
  <si>
    <t>3810SK0009</t>
  </si>
  <si>
    <t>Lavado de gases provenientes de estanque lechada cal</t>
  </si>
  <si>
    <t>3810SY0014</t>
  </si>
  <si>
    <t>3810SY0033</t>
  </si>
  <si>
    <t>3810SY0039</t>
  </si>
  <si>
    <t>3830PU0335</t>
  </si>
  <si>
    <t>3830PU0336</t>
  </si>
  <si>
    <t>3830PU0503</t>
  </si>
  <si>
    <t>1210CT0001</t>
  </si>
  <si>
    <t>CCTV taller EMP</t>
  </si>
  <si>
    <t>Extractor suministro aire oficina</t>
  </si>
  <si>
    <t>1210FA0001</t>
  </si>
  <si>
    <t>Suministrar aire a oficina</t>
  </si>
  <si>
    <t>1210FA0002</t>
  </si>
  <si>
    <t>1210FA0003</t>
  </si>
  <si>
    <t>1210FA0004</t>
  </si>
  <si>
    <t>1210FA0005</t>
  </si>
  <si>
    <t>Lín aceite 1210-0112-AA1A-2"-LO-ET</t>
  </si>
  <si>
    <t>1210OL0001</t>
  </si>
  <si>
    <t>Línea aceite 1210-0112-AA1A-2"-LO-ET</t>
  </si>
  <si>
    <t>Transportar aceite</t>
  </si>
  <si>
    <t>1210XP0016</t>
  </si>
  <si>
    <t>Repotabilización  de agua</t>
  </si>
  <si>
    <t>No afectación a producción, Tratamiento médico no restrictivo,  Cambio de bomba hidráulica</t>
  </si>
  <si>
    <t>2110CT0001</t>
  </si>
  <si>
    <t>CCTV estación chancador</t>
  </si>
  <si>
    <t>Tecle eléctrico servicio alimentación</t>
  </si>
  <si>
    <t>2210HT0044</t>
  </si>
  <si>
    <t>Tecle servicio alimentación</t>
  </si>
  <si>
    <t>Izar y trasladar bomba en servicio alimentación</t>
  </si>
  <si>
    <t>2210HT0045</t>
  </si>
  <si>
    <t>3830CT0001</t>
  </si>
  <si>
    <t>CCTV floculante</t>
  </si>
  <si>
    <t>Lín agua fresca 3830-6407-AA1A-4"-WFR-ET</t>
  </si>
  <si>
    <t>3830WL0001</t>
  </si>
  <si>
    <t>Línea agua 3830-6407-AA1A-4"-WFR-ET</t>
  </si>
  <si>
    <t>Celosia Molienda</t>
  </si>
  <si>
    <t>3150XM0028</t>
  </si>
  <si>
    <t>3150XM0015</t>
  </si>
  <si>
    <t>3150XM0016</t>
  </si>
  <si>
    <t>3150XM0017</t>
  </si>
  <si>
    <t>3150XM0018</t>
  </si>
  <si>
    <t>3150XM0019</t>
  </si>
  <si>
    <t>3150XM0020</t>
  </si>
  <si>
    <t>3150XM0023</t>
  </si>
  <si>
    <t>3150XM0024</t>
  </si>
  <si>
    <t>3150XM0025</t>
  </si>
  <si>
    <t>3150XM0026</t>
  </si>
  <si>
    <t>3150XM0027</t>
  </si>
  <si>
    <t>Celosia Taller Mantenimiento</t>
  </si>
  <si>
    <t>4900XM0092</t>
  </si>
  <si>
    <t>Celosía taller mantenimiento</t>
  </si>
  <si>
    <t>Tecle Espesador Lixiviación</t>
  </si>
  <si>
    <t>3210HT0036</t>
  </si>
  <si>
    <t>Izar y trasladar bomba en espesador Lixiviación</t>
  </si>
  <si>
    <t>Lín pulpa U/F 3210-1203-ATNA-8"-SL-N</t>
  </si>
  <si>
    <t>3210PL0001</t>
  </si>
  <si>
    <t>Línea pulpa 3210-1203-ATNA-8"-SL-N</t>
  </si>
  <si>
    <t>Transportar pulpa U/F desde 3210PU0081/ 3210PU0082 bombas descarga espesador hacia muestreador</t>
  </si>
  <si>
    <t>3220CT0001</t>
  </si>
  <si>
    <t>CCTV Lixiviación</t>
  </si>
  <si>
    <t>Tecle eléctrico muestreo</t>
  </si>
  <si>
    <t>3220HT0051</t>
  </si>
  <si>
    <t>Izar y trasladar bombas en muestreo</t>
  </si>
  <si>
    <t>3310CT0001</t>
  </si>
  <si>
    <t>CCTV CCD</t>
  </si>
  <si>
    <t>Lín pulpa U/F 3310-2018-ATNA-8"-SL-N</t>
  </si>
  <si>
    <t>3310PL0001</t>
  </si>
  <si>
    <t>Línea pulpa 3310-2018-ATNA-8"-SL-N</t>
  </si>
  <si>
    <t>Transportar pulpa U/F desde bombas descarga MC hacia 3320BX0007</t>
  </si>
  <si>
    <t>Lín pulpa recirc 3310-2000-AA1C-8"-SL-AF</t>
  </si>
  <si>
    <t>3310PL0002</t>
  </si>
  <si>
    <t>Línea pulpa 3310-2000-AA1C-8"-SL-AF</t>
  </si>
  <si>
    <t>Transportar pulpa desde bombas descarga MC CCD hacia 3320BX0007</t>
  </si>
  <si>
    <t>Lín pulpa 3310-2023-ATNA-8"-SL-N</t>
  </si>
  <si>
    <t>3310PL0003</t>
  </si>
  <si>
    <t>Línea pulpa 3310-2023-ATNA-8"-SL-N</t>
  </si>
  <si>
    <t>Transportar pulpa desde bombas descarga MC CCD 3310BX0005</t>
  </si>
  <si>
    <t>Lín aire 3320-2440-AA1N-1"-OX-PP</t>
  </si>
  <si>
    <t>3320AL0001</t>
  </si>
  <si>
    <t>Línea aire 3320-2440-AA1N-1"-OX-PP</t>
  </si>
  <si>
    <t>Transportar aire desde acumulador 3350AR0004 hacia agitadores 3320TA0007/8</t>
  </si>
  <si>
    <t>Lín aire 3320-2444-AA1N-1"-OX-PP</t>
  </si>
  <si>
    <t>3320AL0002</t>
  </si>
  <si>
    <t>Línea aire 3320-2444-AA1N-1"-OX-PP</t>
  </si>
  <si>
    <t>Transportar aire desde acumulador 3350AR0004 hacia agitadores 3320TA0009/10</t>
  </si>
  <si>
    <t>Lín aire 3320-1629-AA1N-1"-OX-PP</t>
  </si>
  <si>
    <t>3320AL0003</t>
  </si>
  <si>
    <t>Línea aire 3320-1629-AA1N-1"-OX-PP</t>
  </si>
  <si>
    <t>Transportar aire desde acumulador 3350AR0004 hacia agitadores 3320TA0011/12</t>
  </si>
  <si>
    <t>3320CT0001</t>
  </si>
  <si>
    <t>CCTV CIP</t>
  </si>
  <si>
    <t>Tecle agitador CIP</t>
  </si>
  <si>
    <t>3320HT0052</t>
  </si>
  <si>
    <t>Izar y trasladar bomba en agitador CIP</t>
  </si>
  <si>
    <t>Tecle harnero</t>
  </si>
  <si>
    <t>3320HT0053</t>
  </si>
  <si>
    <t>Izar y trasladar bomba en harnero</t>
  </si>
  <si>
    <t>Lín ayuda filtra 3330-2916-AA1A-3"-RDE-N</t>
  </si>
  <si>
    <t>3330AL0001</t>
  </si>
  <si>
    <t>Línea ayuda filt 3330-2916-AA1A-3"-RDE-N</t>
  </si>
  <si>
    <t>Transportar ayuda filtrante a filtros precipitados 3330FL0004/5/6</t>
  </si>
  <si>
    <t>Línea ayuda filtrante</t>
  </si>
  <si>
    <t>3330AL0002</t>
  </si>
  <si>
    <t>Suministrar ayuda filtrante a filtro clarificador 3330FL0002</t>
  </si>
  <si>
    <t>3330CT0001</t>
  </si>
  <si>
    <t>CCTV Merril Crowe</t>
  </si>
  <si>
    <t>Lín sol impregna 250-PS-3330-BCS0-069-ET</t>
  </si>
  <si>
    <t>3330IL0001</t>
  </si>
  <si>
    <t>Línea sol impreg 250-PS-3330-BCS0-069-ET</t>
  </si>
  <si>
    <t>Transportar solución impregnada desde 3330PU0127/8 hacia filtro precipitado 3330FL0004</t>
  </si>
  <si>
    <t>Lín sol impregna 250-PS-3330-BCS0-070-ET</t>
  </si>
  <si>
    <t>3330IL0002</t>
  </si>
  <si>
    <t>Línea sol impreg 250-PS-3330-BCS0-070-ET</t>
  </si>
  <si>
    <t>Transportar solución impregnada desde 3330PU0127/8 hacia filtro precipitado 3330FL0005</t>
  </si>
  <si>
    <t>Lín sol impregna 250-PS-3330-BCS0-071-ET</t>
  </si>
  <si>
    <t>3330IL0003</t>
  </si>
  <si>
    <t>Línea sol impreg 250-PS-3330-BCS0-071-ET</t>
  </si>
  <si>
    <t>Transportar solución impregnada desde 3330PU0127/8 hacia filtro precipitado 3330FL0006</t>
  </si>
  <si>
    <t>Celosia Merrill Crowe</t>
  </si>
  <si>
    <t>3330XM0029</t>
  </si>
  <si>
    <t>3330XM0030</t>
  </si>
  <si>
    <t>3330XM0042</t>
  </si>
  <si>
    <t>3330XM0043</t>
  </si>
  <si>
    <t>3330XM0107</t>
  </si>
  <si>
    <t>3330XM0108</t>
  </si>
  <si>
    <t>3330XM0109</t>
  </si>
  <si>
    <t>3330XM0110</t>
  </si>
  <si>
    <t>3330XM0111</t>
  </si>
  <si>
    <t>3330XM0112</t>
  </si>
  <si>
    <t>Celosia Almacén</t>
  </si>
  <si>
    <t>5300XM0094</t>
  </si>
  <si>
    <t>Celosía almacén</t>
  </si>
  <si>
    <t>5300XM0095</t>
  </si>
  <si>
    <t>4900XM0093</t>
  </si>
  <si>
    <t>Lín eluato 3420-3645-AFNA-4"-ELS-PP</t>
  </si>
  <si>
    <t>3420EL0001</t>
  </si>
  <si>
    <t>Línea eluato 3420-3645-AFNA-4"-ELS-PP</t>
  </si>
  <si>
    <t>Línea solución rica by pass intercambiador 3420-HX-0005</t>
  </si>
  <si>
    <t>Lín eluato 3420-3602-AFNA-4"-ELS-PP</t>
  </si>
  <si>
    <t>3420EL0002</t>
  </si>
  <si>
    <t>Línea eluato 3420-3602-AFNA-4"-ELS-PP</t>
  </si>
  <si>
    <t>Transportar solución rica proveniente de intercambiador 3420-HX-0005 a columna elución 3420-VE-0003</t>
  </si>
  <si>
    <t>Celosia Elución</t>
  </si>
  <si>
    <t>3420XM0044</t>
  </si>
  <si>
    <t>Celosía elución</t>
  </si>
  <si>
    <t>3420XM0045</t>
  </si>
  <si>
    <t>3420XM0046</t>
  </si>
  <si>
    <t>3420XM0047</t>
  </si>
  <si>
    <t>3420XM0048</t>
  </si>
  <si>
    <t>3420XM0049</t>
  </si>
  <si>
    <t>Celosia Regeneración de carbón</t>
  </si>
  <si>
    <t>3450XM0050</t>
  </si>
  <si>
    <t>Celosía regeneración de carbón</t>
  </si>
  <si>
    <t>3450XM0052</t>
  </si>
  <si>
    <t>3450XM0053</t>
  </si>
  <si>
    <t>3450XM0054</t>
  </si>
  <si>
    <t>3450XM0055</t>
  </si>
  <si>
    <t>3450XM0115</t>
  </si>
  <si>
    <t>3500CT0001</t>
  </si>
  <si>
    <t>CCTV Refinería</t>
  </si>
  <si>
    <t>Celosia Refinería</t>
  </si>
  <si>
    <t>3500XM0056</t>
  </si>
  <si>
    <t>Celosía refinería</t>
  </si>
  <si>
    <t>3500XM0057</t>
  </si>
  <si>
    <t>3500XM0058</t>
  </si>
  <si>
    <t>3500XM0059</t>
  </si>
  <si>
    <t>3610CT0001</t>
  </si>
  <si>
    <t>Lín soluc detox 3620-4831-AA1A-4"-WP-ET</t>
  </si>
  <si>
    <t>3620DL0001</t>
  </si>
  <si>
    <t>Línea sol detox 3620-4831-AA1A-4"-WP-ET</t>
  </si>
  <si>
    <t>Transportar solución detox desde bombas descarga espesador 3620TH0006 a muestreador</t>
  </si>
  <si>
    <t xml:space="preserve">Línea sol impregnada </t>
  </si>
  <si>
    <t>3620IL0001</t>
  </si>
  <si>
    <t xml:space="preserve">Línea solución impregnada </t>
  </si>
  <si>
    <t>Transportar solución impregnada</t>
  </si>
  <si>
    <t>Lín pulpa relav 3620-4829-ATNA-10"-TSL-N</t>
  </si>
  <si>
    <t>3620PL0001</t>
  </si>
  <si>
    <t>Línea relaves 3620-4829-ATNA-10"-TSL-N</t>
  </si>
  <si>
    <t>Transportar pulpa relaves desde espesador 3620TH0006 a muestreador</t>
  </si>
  <si>
    <t>3630CT0001</t>
  </si>
  <si>
    <t>CCTV filtrado relaves</t>
  </si>
  <si>
    <t>3820CT0001</t>
  </si>
  <si>
    <t>CCTV cianuro</t>
  </si>
  <si>
    <t>Celosia Cianuro</t>
  </si>
  <si>
    <t>3820XM0072</t>
  </si>
  <si>
    <t>Celosía cianuro</t>
  </si>
  <si>
    <t>3820XM0073</t>
  </si>
  <si>
    <t>3820XM0074</t>
  </si>
  <si>
    <t>3820XM0075</t>
  </si>
  <si>
    <t>3820XM0076</t>
  </si>
  <si>
    <t>3820XM0077</t>
  </si>
  <si>
    <t>4900XM0090</t>
  </si>
  <si>
    <t>4900XM0091</t>
  </si>
  <si>
    <t>4800 Manejo de residuos</t>
  </si>
  <si>
    <t>4820 Manejo residuos de mercurio</t>
  </si>
  <si>
    <t>Celosía Bodega Mercurio</t>
  </si>
  <si>
    <t>4820XM0086</t>
  </si>
  <si>
    <t>Celosía bodega mercurio</t>
  </si>
  <si>
    <t>Encerramiento de bodega mercurio</t>
  </si>
  <si>
    <t>4820XM0087</t>
  </si>
  <si>
    <t>4820XM0088</t>
  </si>
  <si>
    <t>4820XM0089</t>
  </si>
  <si>
    <t>Variador frecuencia 3850CP0013M1VF</t>
  </si>
  <si>
    <t>3850VF0013</t>
  </si>
  <si>
    <t>Variar la velocidad de motor eléctrico 3850CP0013M1</t>
  </si>
  <si>
    <t>4510CT0001</t>
  </si>
  <si>
    <t>CCTV almacén principal combustible</t>
  </si>
  <si>
    <t>Lín agua fresca 4700-9306-AUNC-14"-WFI-N</t>
  </si>
  <si>
    <t>4700AL0001</t>
  </si>
  <si>
    <t>Línea agua 4700-9306-AUNC-14"-WFI-N</t>
  </si>
  <si>
    <t>Transportar agua fresca a distribución planta proceso</t>
  </si>
  <si>
    <t>Lín agua fresca 4700-9300-AUNC-10"-WFI-N</t>
  </si>
  <si>
    <t>4700AL0002</t>
  </si>
  <si>
    <t>Línea agua 4700-9300-AUNC-10"-WFI-N</t>
  </si>
  <si>
    <t>7200CT0001</t>
  </si>
  <si>
    <t>CCTV pozos agua y cañerías</t>
  </si>
  <si>
    <t>Gabinete servidores principales fibra óptica</t>
  </si>
  <si>
    <t>5210CC0001</t>
  </si>
  <si>
    <t>Gabinete servidores ppales fibra óptica</t>
  </si>
  <si>
    <t>Gabinete servidores secundarios fibra óptica</t>
  </si>
  <si>
    <t>5210CC0002</t>
  </si>
  <si>
    <t>Gabinete servidores secund fibra óptica</t>
  </si>
  <si>
    <t>Gabinete servidor Core Switch 1 y Commun</t>
  </si>
  <si>
    <t>5210CC0003</t>
  </si>
  <si>
    <t>Gabinete servidor core switch 1 y commun</t>
  </si>
  <si>
    <t>Gabinete servidor Core Switch 2 y Commun</t>
  </si>
  <si>
    <t>5210CC0004</t>
  </si>
  <si>
    <t>Gabinete servidores de repuesto</t>
  </si>
  <si>
    <t>5210CC0007</t>
  </si>
  <si>
    <t>5210CC0008</t>
  </si>
  <si>
    <t>3830PU0318</t>
  </si>
  <si>
    <t>Bomba floculante (reserva)</t>
  </si>
  <si>
    <t>Me gusta revisar las planillas un rato adri después seguir con los</t>
  </si>
  <si>
    <t>Gold Fields - Operación Salares del Norte.</t>
  </si>
  <si>
    <t>Matriz de Valoración de Riesgos</t>
  </si>
  <si>
    <t>Análisis de Criticidad de Equipos, Dispositivos e Instalaciones (ACEDI)</t>
  </si>
  <si>
    <t>Categorías de consecuencias</t>
  </si>
  <si>
    <t>Impacto de la consecuencia</t>
  </si>
  <si>
    <t>1 - Insignificante</t>
  </si>
  <si>
    <t>2 - Menor</t>
  </si>
  <si>
    <t>3 - Moderado</t>
  </si>
  <si>
    <t>4 - Mayor</t>
  </si>
  <si>
    <t>5 - Extremo</t>
  </si>
  <si>
    <t>Consecuencias económicas</t>
  </si>
  <si>
    <t>Impacto económico en el negocio</t>
  </si>
  <si>
    <t>Impacto en margen operacional &lt; USD 50k o pérdida de eficiencia &lt; 2%</t>
  </si>
  <si>
    <t>Impacto en margen operacional entre USD 50K y USD 200K o pérdida de eficiencia entre 2% y 5%</t>
  </si>
  <si>
    <t>Impacto en margen operacional entre USD 200K y USD 500K o pérdida de eficiencia entre 5% y 10%</t>
  </si>
  <si>
    <t>Impacto en margen operacional entre USD 500K y USD 1M o pérdida de eficiencia entre 10% y 20%</t>
  </si>
  <si>
    <t>Impacto en margen operacional &gt; USD 1M o pérdida de eficiencia &gt; a 20%</t>
  </si>
  <si>
    <t>Impacto en margen operacional &lt; USD 50k</t>
  </si>
  <si>
    <t>Impacto en margen operacional entre USD 50K y USD 200K</t>
  </si>
  <si>
    <t>Impacto en margen operacional entre USD 200K y USD 500K</t>
  </si>
  <si>
    <t>Impacto en margen operacional entre USD 500K y USD 1M</t>
  </si>
  <si>
    <t>Impacto en margen operacional &gt; USD 1M</t>
  </si>
  <si>
    <t>Consecuencias no económicas</t>
  </si>
  <si>
    <t>Efectos o síntomas de bajo nivel atendidos con primeros auxilios sin tratamiento médico adicional, sin efectos posteriores ni generación de pérdida de tiempo.</t>
  </si>
  <si>
    <t>Lesiones o efectos reversibles que requieren tratamiento médico, pero que no conducen a la restricción de las tareas.</t>
  </si>
  <si>
    <t>Lesiones, efectos o daños reversibles moderados a una o más personas, que generen pérdida de tiempo.</t>
  </si>
  <si>
    <t>Fatalidad única y/o daños o efectos irreversibles incapacitantes a una o más personas.</t>
  </si>
  <si>
    <t>Múltiples fatalidades o enfermedades graves e incapacitantes para múltiples personas.</t>
  </si>
  <si>
    <r>
      <rPr>
        <rFont val="Arial"/>
        <color theme="1"/>
        <sz val="9.0"/>
      </rPr>
      <t xml:space="preserve">Impacto ambiental confinado a la localización del evento dentro de la operación y rápidamente reversible, generalmente en un único desplazamiento de atención con el procedimiento de emergencias de la compañía 
</t>
    </r>
    <r>
      <rPr>
        <rFont val="Arial"/>
        <b/>
        <color theme="1"/>
        <sz val="9.0"/>
      </rPr>
      <t>Incidente nivel 1</t>
    </r>
  </si>
  <si>
    <r>
      <rPr>
        <rFont val="Arial"/>
        <color theme="1"/>
        <sz val="9.0"/>
      </rPr>
      <t xml:space="preserve">Impacto confinado en la zona de influencia dentro de la operación y reversible a corto plazo, atendido por el procedimiento de emergencias de la compañía
</t>
    </r>
    <r>
      <rPr>
        <rFont val="Arial"/>
        <b/>
        <color theme="1"/>
        <sz val="9.0"/>
      </rPr>
      <t>Incidente nivel 2</t>
    </r>
  </si>
  <si>
    <r>
      <rPr>
        <rFont val="Arial"/>
        <color theme="1"/>
        <sz val="9.0"/>
      </rPr>
      <t xml:space="preserve">Impacto de recuperación a mediano plazo, confinada en la fuente cercana dentro de las instalaciones de la operación.
</t>
    </r>
    <r>
      <rPr>
        <rFont val="Arial"/>
        <b/>
        <color theme="1"/>
        <sz val="9.0"/>
      </rPr>
      <t>Incidente nivel 3</t>
    </r>
  </si>
  <si>
    <r>
      <rPr>
        <rFont val="Arial"/>
        <color theme="1"/>
        <sz val="9.0"/>
      </rPr>
      <t xml:space="preserve">Impacto no confinado en la zona de influencia que requiere una recuperación a largo plazo, dejando algunos daños residuales
</t>
    </r>
    <r>
      <rPr>
        <rFont val="Arial"/>
        <b/>
        <color theme="1"/>
        <sz val="9.0"/>
      </rPr>
      <t>Incidente nivel 4</t>
    </r>
  </si>
  <si>
    <r>
      <rPr>
        <rFont val="Arial"/>
        <color theme="1"/>
        <sz val="9.0"/>
      </rPr>
      <t xml:space="preserve">Impacto generalizado - no confinado y que requiere una recuperación a largo plazo, dejando importantes daños residuales
</t>
    </r>
    <r>
      <rPr>
        <rFont val="Arial"/>
        <b/>
        <color theme="1"/>
        <sz val="9.0"/>
      </rPr>
      <t>Incidente nivel 5</t>
    </r>
  </si>
  <si>
    <t>Impacto leve en comunidad local con expresiones informales de inconformidad.
Exposición pública de manera verbal y local. 
Incumplimiento de requisitos internos con potencial de impacto muy bajo no percibido externamente.</t>
  </si>
  <si>
    <t>Impacto social relevante en la comunidad local o menor a nivel regional manifestado formalmente.
Exposición pública significativa en medios locales. 
Incumplimiento de requisitos externos con potencial de impacto bajo percibido externamente.</t>
  </si>
  <si>
    <t>Impacto social permanente en la comunidad local o temporal a nivel regional manifestado formalmente con riesgo de detención de operaciones.
Exposición pública en medios nacionales. 
Incumplimiento de legislación con potencial de impacto moderado, como sanciones, suspensión de permisos, licencias o contratos.</t>
  </si>
  <si>
    <t>Impacto social permanente y significativo en comunidad regional manifestado formalmente y oposición activa a las operaciones.
Exposición pública en medios internacionales. 
Incumplimiento de legislación con alto potencial de enjuiciamiento o imposición de penalizaciones importantes.</t>
  </si>
  <si>
    <t>Impacto social permanente y significativo en la región manifestado formalmente y oposición permanente y masiva a las operaciones.
Exposición pública y prolongada en medios internacionales. 
Incumplimiento de legislación que genera suspensión de operaciones y pérdida permanente permisos o licencias</t>
  </si>
  <si>
    <t>Referencia de la probabilidad</t>
  </si>
  <si>
    <t>Matriz de valoración de riesgo</t>
  </si>
  <si>
    <t>5 - Casi seguro</t>
  </si>
  <si>
    <t>El evento no deseado o falla se ha presentado o puede ocurrir de manera recurrente, con frecuencia igual o menor a 3 meses.</t>
  </si>
  <si>
    <t>11 - Moderado</t>
  </si>
  <si>
    <t>16 - Moderado</t>
  </si>
  <si>
    <t>20 - Alto</t>
  </si>
  <si>
    <t>24 - Alto</t>
  </si>
  <si>
    <t>25 - Alto</t>
  </si>
  <si>
    <t>4 - Probable</t>
  </si>
  <si>
    <t>El evento no deseado o falla se ha presentado de manera frecuente, con historial de ocurrencia de entre 3 meses y 1 año</t>
  </si>
  <si>
    <t>7 - Bajo</t>
  </si>
  <si>
    <t>12 - Moderado</t>
  </si>
  <si>
    <t>15 - Moderado</t>
  </si>
  <si>
    <t>22 - Alto</t>
  </si>
  <si>
    <t>23 - Alto</t>
  </si>
  <si>
    <t>3 - Posible</t>
  </si>
  <si>
    <t>El evento no deseado o falla se ha presentado ocasionalmente, con historial de ocurrencia de al menos una vez entre 1 y 5 años de operación.</t>
  </si>
  <si>
    <t>4 - Bajo</t>
  </si>
  <si>
    <t>8 - Moderado</t>
  </si>
  <si>
    <t>13 - Moderado</t>
  </si>
  <si>
    <t>17 - Moderado</t>
  </si>
  <si>
    <t>21 - Alto</t>
  </si>
  <si>
    <t>2 - Improbable</t>
  </si>
  <si>
    <t>El evento no deseado o falla se ha presentado de manera puntual, con historial de ocurrencia de al menos una vez entre 5 y 10 años de operación.</t>
  </si>
  <si>
    <t>2 - Bajo</t>
  </si>
  <si>
    <t>5 - Bajo</t>
  </si>
  <si>
    <t>9 - Moderado</t>
  </si>
  <si>
    <t>14 - Moderado</t>
  </si>
  <si>
    <t>19 - Alto</t>
  </si>
  <si>
    <t>1 - Raro</t>
  </si>
  <si>
    <t>El evento no deseado o falla no se ha presentado o es probable que ocurra con una frecuencia mayor a 10 años.</t>
  </si>
  <si>
    <t>1 - Bajo</t>
  </si>
  <si>
    <t>3 - Bajo</t>
  </si>
  <si>
    <t>6 - Bajo</t>
  </si>
  <si>
    <t>10 - Moderado</t>
  </si>
  <si>
    <t>18 - Moderado</t>
  </si>
  <si>
    <t>Nivel de riesgo</t>
  </si>
  <si>
    <t>Umbral de tolerancia al riesgo</t>
  </si>
  <si>
    <t>Los riesgos superan considerablemente los límites aceptables y requieren atención urgente e inmediata.</t>
  </si>
  <si>
    <t>Los riesgos se encuentran cerca al umbral de tolerancia de riesgo y requiere una gestión proactiva</t>
  </si>
  <si>
    <t>Los riesgos se encuentran abajo del umbral de tolerancia, funcionando adecuadamente una gestión de monitoreo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</si>
</sst>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_(* #,##0_);_(* \(#,##0\);_(* &quot;-&quot;_);_(@_)"/>
    <numFmt numFmtId="166" formatCode="_ * #,##0_ ;_ * \-#,##0_ ;_ * &quot;-&quot;??_ ;_ @_ "/>
    <numFmt numFmtId="167" formatCode="[$USD]\ #,##0"/>
  </numFmts>
  <fonts count="22">
    <font>
      <sz val="11.0"/>
      <color theme="1"/>
      <name val="Calibri"/>
      <scheme val="minor"/>
    </font>
    <font>
      <b/>
      <sz val="20.0"/>
      <color theme="1"/>
      <name val="Calibri"/>
    </font>
    <font/>
    <font>
      <sz val="11.0"/>
      <color theme="0"/>
      <name val="Calibri"/>
    </font>
    <font>
      <b/>
      <sz val="11.0"/>
      <color theme="0"/>
      <name val="Calibri"/>
    </font>
    <font>
      <b/>
      <sz val="11.0"/>
      <color theme="1"/>
      <name val="Calibri"/>
    </font>
    <font>
      <sz val="11.0"/>
      <color theme="1"/>
      <name val="Calibri"/>
    </font>
    <font>
      <b/>
      <sz val="14.0"/>
      <color theme="1"/>
      <name val="Calibri"/>
    </font>
    <font>
      <b/>
      <sz val="26.0"/>
      <color theme="0"/>
      <name val="Arial"/>
    </font>
    <font>
      <sz val="10.0"/>
      <color theme="0"/>
      <name val="Arial"/>
    </font>
    <font>
      <b/>
      <sz val="10.0"/>
      <color theme="1"/>
      <name val="Arial"/>
    </font>
    <font>
      <sz val="10.0"/>
      <color theme="1"/>
      <name val="Arial"/>
    </font>
    <font>
      <sz val="12.0"/>
      <color theme="1"/>
      <name val="Arial"/>
    </font>
    <font>
      <color theme="1"/>
      <name val="Calibri"/>
      <scheme val="minor"/>
    </font>
    <font>
      <b/>
      <sz val="14.0"/>
      <color theme="1"/>
      <name val="Arial"/>
    </font>
    <font>
      <b/>
      <sz val="11.0"/>
      <color theme="1"/>
      <name val="Arial"/>
    </font>
    <font>
      <sz val="11.0"/>
      <color theme="1"/>
      <name val="Arial"/>
    </font>
    <font>
      <b/>
      <sz val="12.0"/>
      <color theme="0"/>
      <name val="Arial"/>
    </font>
    <font>
      <sz val="9.0"/>
      <color theme="1"/>
      <name val="Arial"/>
    </font>
    <font>
      <b/>
      <sz val="12.0"/>
      <color theme="1"/>
      <name val="Arial"/>
    </font>
    <font>
      <b/>
      <i/>
      <sz val="12.0"/>
      <color theme="0"/>
      <name val="Arial"/>
    </font>
    <font>
      <sz val="12.0"/>
      <color theme="0"/>
      <name val="Arial"/>
    </font>
  </fonts>
  <fills count="15">
    <fill>
      <patternFill patternType="none"/>
    </fill>
    <fill>
      <patternFill patternType="lightGray"/>
    </fill>
    <fill>
      <patternFill patternType="solid">
        <fgColor rgb="FF0037A4"/>
        <bgColor rgb="FF0037A4"/>
      </patternFill>
    </fill>
    <fill>
      <patternFill patternType="solid">
        <fgColor rgb="FFFFC000"/>
        <bgColor rgb="FFFFC000"/>
      </patternFill>
    </fill>
    <fill>
      <patternFill patternType="solid">
        <fgColor rgb="FF00B0F0"/>
        <bgColor rgb="FF00B0F0"/>
      </patternFill>
    </fill>
    <fill>
      <patternFill patternType="solid">
        <fgColor rgb="FFFFFF00"/>
        <bgColor rgb="FFFFFF00"/>
      </patternFill>
    </fill>
    <fill>
      <patternFill patternType="solid">
        <fgColor rgb="FFF2F2F2"/>
        <bgColor rgb="FFF2F2F2"/>
      </patternFill>
    </fill>
    <fill>
      <patternFill patternType="solid">
        <fgColor rgb="FFD8D8D8"/>
        <bgColor rgb="FFD8D8D8"/>
      </patternFill>
    </fill>
    <fill>
      <patternFill patternType="solid">
        <fgColor rgb="FF002B82"/>
        <bgColor rgb="FF002B82"/>
      </patternFill>
    </fill>
    <fill>
      <patternFill patternType="solid">
        <fgColor rgb="FFE2EFD9"/>
        <bgColor rgb="FFE2EFD9"/>
      </patternFill>
    </fill>
    <fill>
      <patternFill patternType="solid">
        <fgColor theme="0"/>
        <bgColor theme="0"/>
      </patternFill>
    </fill>
    <fill>
      <patternFill patternType="solid">
        <fgColor rgb="FF92D050"/>
        <bgColor rgb="FF92D050"/>
      </patternFill>
    </fill>
    <fill>
      <patternFill patternType="solid">
        <fgColor rgb="FF071C2F"/>
        <bgColor rgb="FF071C2F"/>
      </patternFill>
    </fill>
    <fill>
      <patternFill patternType="solid">
        <fgColor rgb="FFFF0000"/>
        <bgColor rgb="FFFF0000"/>
      </patternFill>
    </fill>
    <fill>
      <patternFill patternType="solid">
        <fgColor rgb="FF00FF00"/>
        <bgColor rgb="FF00FF00"/>
      </patternFill>
    </fill>
  </fills>
  <borders count="8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medium">
        <color rgb="FF000000"/>
      </left>
      <right style="thin">
        <color rgb="FF000000"/>
      </right>
      <top style="medium">
        <color rgb="FF000000"/>
      </top>
      <bottom style="thin">
        <color rgb="FF000000"/>
      </bottom>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right/>
      <top style="thin">
        <color rgb="FF000000"/>
      </top>
      <bottom style="thin">
        <color rgb="FF000000"/>
      </bottom>
    </border>
    <border>
      <left style="medium">
        <color rgb="FF000000"/>
      </left>
    </border>
    <border>
      <left style="medium">
        <color rgb="FF000000"/>
      </left>
      <right style="medium">
        <color rgb="FF000000"/>
      </right>
      <top style="thin">
        <color rgb="FF000000"/>
      </top>
      <bottom style="medium">
        <color rgb="FF000000"/>
      </bottom>
    </border>
    <border>
      <right style="medium">
        <color rgb="FF000000"/>
      </right>
    </border>
    <border>
      <bottom style="medium">
        <color rgb="FF000000"/>
      </bottom>
    </border>
    <border>
      <right style="medium">
        <color rgb="FF000000"/>
      </right>
      <bottom style="medium">
        <color rgb="FF000000"/>
      </bottom>
    </border>
    <border>
      <left/>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rder>
    <border>
      <left/>
      <right style="medium">
        <color rgb="FF000000"/>
      </right>
      <top style="medium">
        <color rgb="FF000000"/>
      </top>
      <bottom style="medium">
        <color rgb="FF000000"/>
      </bottom>
    </border>
    <border>
      <left style="medium">
        <color rgb="FF000000"/>
      </left>
      <top style="medium">
        <color rgb="FF000000"/>
      </top>
      <bottom style="medium">
        <color theme="0"/>
      </bottom>
    </border>
    <border>
      <top style="medium">
        <color rgb="FF000000"/>
      </top>
      <bottom style="medium">
        <color theme="0"/>
      </bottom>
    </border>
    <border>
      <right style="medium">
        <color rgb="FF000000"/>
      </right>
      <top style="medium">
        <color rgb="FF000000"/>
      </top>
      <bottom style="medium">
        <color theme="0"/>
      </bottom>
    </border>
    <border>
      <left style="medium">
        <color rgb="FF000000"/>
      </left>
      <right style="medium">
        <color theme="0"/>
      </right>
      <top style="medium">
        <color theme="0"/>
      </top>
      <bottom/>
    </border>
    <border>
      <left style="medium">
        <color theme="0"/>
      </left>
      <right style="medium">
        <color theme="0"/>
      </right>
      <top style="medium">
        <color theme="0"/>
      </top>
      <bottom/>
    </border>
    <border>
      <left style="medium">
        <color theme="0"/>
      </left>
      <top style="medium">
        <color theme="0"/>
      </top>
      <bottom style="medium">
        <color theme="0"/>
      </bottom>
    </border>
    <border>
      <top style="medium">
        <color theme="0"/>
      </top>
      <bottom style="medium">
        <color theme="0"/>
      </bottom>
    </border>
    <border>
      <right style="medium">
        <color rgb="FF000000"/>
      </right>
      <top style="medium">
        <color theme="0"/>
      </top>
      <bottom style="medium">
        <color theme="0"/>
      </bottom>
    </border>
    <border>
      <left style="medium">
        <color rgb="FF000000"/>
      </left>
      <right style="medium">
        <color theme="0"/>
      </right>
      <top/>
      <bottom/>
    </border>
    <border>
      <left style="medium">
        <color theme="0"/>
      </left>
      <right style="medium">
        <color theme="0"/>
      </right>
      <top/>
      <bottom/>
    </border>
    <border>
      <right style="medium">
        <color theme="0"/>
      </right>
      <top style="medium">
        <color theme="0"/>
      </top>
      <bottom style="medium">
        <color theme="0"/>
      </bottom>
    </border>
    <border>
      <left style="medium">
        <color theme="0"/>
      </left>
      <right style="medium">
        <color rgb="FF000000"/>
      </right>
      <top style="medium">
        <color theme="0"/>
      </top>
      <bottom/>
    </border>
    <border>
      <left style="medium">
        <color theme="0"/>
      </left>
      <right style="medium">
        <color theme="0"/>
      </right>
      <top style="medium">
        <color theme="0"/>
      </top>
      <bottom style="medium">
        <color theme="0"/>
      </bottom>
    </border>
    <border>
      <left style="medium">
        <color theme="0"/>
      </left>
      <right style="medium">
        <color rgb="FF000000"/>
      </right>
      <top/>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style="thin">
        <color rgb="FF000000"/>
      </right>
      <top/>
      <bottom style="thin">
        <color rgb="FF000000"/>
      </bottom>
    </border>
    <border>
      <left style="thin">
        <color rgb="FF000000"/>
      </left>
      <right style="medium">
        <color rgb="FF000000"/>
      </right>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medium">
        <color rgb="FF000000"/>
      </right>
      <bottom style="thin">
        <color rgb="FF000000"/>
      </bottom>
    </border>
    <border>
      <left style="thin">
        <color rgb="FF000000"/>
      </left>
      <right style="thin">
        <color rgb="FF000000"/>
      </right>
      <bottom style="medium">
        <color rgb="FF000000"/>
      </bottom>
    </border>
    <border>
      <left style="thin">
        <color rgb="FF000000"/>
      </left>
      <right style="thin">
        <color rgb="FF000000"/>
      </right>
      <top/>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right style="medium">
        <color rgb="FF000000"/>
      </right>
      <top/>
      <bottom style="medium">
        <color rgb="FF000000"/>
      </bottom>
    </border>
    <border>
      <left/>
      <right style="thin">
        <color rgb="FF000000"/>
      </right>
      <top/>
      <bottom style="medium">
        <color rgb="FF000000"/>
      </bottom>
    </border>
    <border>
      <left style="thin">
        <color rgb="FF000000"/>
      </left>
      <right style="medium">
        <color rgb="FF000000"/>
      </right>
      <bottom style="medium">
        <color rgb="FF000000"/>
      </bottom>
    </border>
    <border>
      <left style="medium">
        <color rgb="FF000000"/>
      </left>
      <top style="medium">
        <color rgb="FF000000"/>
      </top>
    </border>
    <border>
      <left style="medium">
        <color rgb="FF000000"/>
      </left>
      <top style="thin">
        <color rgb="FF000000"/>
      </top>
    </border>
    <border>
      <top style="thin">
        <color rgb="FF000000"/>
      </top>
    </border>
    <border>
      <right style="medium">
        <color rgb="FF000000"/>
      </right>
      <top style="thin">
        <color rgb="FF000000"/>
      </top>
      <bottom style="thin">
        <color rgb="FF000000"/>
      </bottom>
    </border>
    <border>
      <left style="medium">
        <color rgb="FF000000"/>
      </left>
      <bottom style="thin">
        <color rgb="FF000000"/>
      </bottom>
    </border>
    <border>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medium">
        <color rgb="FF000000"/>
      </top>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bottom style="thin">
        <color rgb="FF000000"/>
      </bottom>
    </border>
    <border>
      <left style="medium">
        <color rgb="FF000000"/>
      </left>
      <right style="thin">
        <color rgb="FF000000"/>
      </right>
    </border>
    <border>
      <left style="medium">
        <color rgb="FF000000"/>
      </left>
      <right style="thin">
        <color rgb="FF000000"/>
      </right>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right style="medium">
        <color rgb="FF000000"/>
      </right>
      <bottom style="thin">
        <color rgb="FF000000"/>
      </bottom>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206">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Border="1" applyFont="1"/>
    <xf borderId="3" fillId="0" fontId="2" numFmtId="0" xfId="0" applyBorder="1" applyFont="1"/>
    <xf borderId="4" fillId="2" fontId="3" numFmtId="0" xfId="0" applyAlignment="1" applyBorder="1" applyFill="1" applyFont="1">
      <alignment horizontal="center"/>
    </xf>
    <xf borderId="4" fillId="2" fontId="4" numFmtId="0" xfId="0" applyAlignment="1" applyBorder="1" applyFont="1">
      <alignment horizontal="center"/>
    </xf>
    <xf borderId="5" fillId="0" fontId="5" numFmtId="0" xfId="0" applyBorder="1" applyFont="1"/>
    <xf borderId="5" fillId="0" fontId="5" numFmtId="3" xfId="0" applyAlignment="1" applyBorder="1" applyFont="1" applyNumberFormat="1">
      <alignment horizontal="center"/>
    </xf>
    <xf borderId="1" fillId="0" fontId="5" numFmtId="3" xfId="0" applyAlignment="1" applyBorder="1" applyFont="1" applyNumberFormat="1">
      <alignment horizontal="center"/>
    </xf>
    <xf borderId="5" fillId="3" fontId="5" numFmtId="0" xfId="0" applyBorder="1" applyFill="1" applyFont="1"/>
    <xf borderId="5" fillId="3" fontId="5" numFmtId="0" xfId="0" applyAlignment="1" applyBorder="1" applyFont="1">
      <alignment horizontal="center"/>
    </xf>
    <xf borderId="5" fillId="0" fontId="5" numFmtId="0" xfId="0" applyAlignment="1" applyBorder="1" applyFont="1">
      <alignment horizontal="center"/>
    </xf>
    <xf borderId="5" fillId="4" fontId="5" numFmtId="0" xfId="0" applyBorder="1" applyFill="1" applyFont="1"/>
    <xf borderId="5" fillId="4" fontId="5" numFmtId="0" xfId="0" applyAlignment="1" applyBorder="1" applyFont="1">
      <alignment horizontal="center"/>
    </xf>
    <xf borderId="5" fillId="3" fontId="5" numFmtId="3" xfId="0" applyAlignment="1" applyBorder="1" applyFont="1" applyNumberFormat="1">
      <alignment horizontal="center"/>
    </xf>
    <xf borderId="0" fillId="0" fontId="6" numFmtId="0" xfId="0" applyAlignment="1" applyFont="1">
      <alignment shrinkToFit="0" vertical="center" wrapText="1"/>
    </xf>
    <xf borderId="0" fillId="0" fontId="5" numFmtId="0" xfId="0" applyFont="1"/>
    <xf borderId="0" fillId="0" fontId="5" numFmtId="3" xfId="0" applyFont="1" applyNumberFormat="1"/>
    <xf borderId="0" fillId="0" fontId="6" numFmtId="0" xfId="0" applyAlignment="1" applyFont="1">
      <alignment horizontal="center"/>
    </xf>
    <xf borderId="6" fillId="0" fontId="7" numFmtId="0" xfId="0" applyAlignment="1" applyBorder="1" applyFont="1">
      <alignment horizontal="center" textRotation="90" vertical="center"/>
    </xf>
    <xf borderId="7" fillId="5" fontId="5" numFmtId="0" xfId="0" applyAlignment="1" applyBorder="1" applyFill="1" applyFont="1">
      <alignment horizontal="left"/>
    </xf>
    <xf borderId="8" fillId="0" fontId="6" numFmtId="0" xfId="0" applyBorder="1" applyFont="1"/>
    <xf borderId="9" fillId="0" fontId="6" numFmtId="0" xfId="0" applyBorder="1" applyFont="1"/>
    <xf borderId="10" fillId="0" fontId="2" numFmtId="0" xfId="0" applyBorder="1" applyFont="1"/>
    <xf borderId="11" fillId="0" fontId="5" numFmtId="0" xfId="0" applyBorder="1" applyFont="1"/>
    <xf borderId="12" fillId="0" fontId="5" numFmtId="3" xfId="0" applyAlignment="1" applyBorder="1" applyFont="1" applyNumberFormat="1">
      <alignment horizontal="center"/>
    </xf>
    <xf borderId="13" fillId="0" fontId="2" numFmtId="0" xfId="0" applyBorder="1" applyFont="1"/>
    <xf borderId="14" fillId="5" fontId="5" numFmtId="0" xfId="0" applyAlignment="1" applyBorder="1" applyFont="1">
      <alignment horizontal="left"/>
    </xf>
    <xf borderId="15" fillId="6" fontId="5" numFmtId="1" xfId="0" applyAlignment="1" applyBorder="1" applyFill="1" applyFont="1" applyNumberFormat="1">
      <alignment horizontal="center"/>
    </xf>
    <xf borderId="16" fillId="6" fontId="6" numFmtId="0" xfId="0" applyBorder="1" applyFont="1"/>
    <xf borderId="0" fillId="0" fontId="6" numFmtId="1" xfId="0" applyAlignment="1" applyFont="1" applyNumberFormat="1">
      <alignment horizontal="center"/>
    </xf>
    <xf borderId="11" fillId="0" fontId="5" numFmtId="0" xfId="0" applyAlignment="1" applyBorder="1" applyFont="1">
      <alignment horizontal="left"/>
    </xf>
    <xf borderId="5" fillId="2" fontId="3" numFmtId="0" xfId="0" applyAlignment="1" applyBorder="1" applyFont="1">
      <alignment horizontal="center"/>
    </xf>
    <xf borderId="17" fillId="2" fontId="4" numFmtId="0" xfId="0" applyAlignment="1" applyBorder="1" applyFont="1">
      <alignment horizontal="center"/>
    </xf>
    <xf borderId="18" fillId="5" fontId="5" numFmtId="0" xfId="0" applyBorder="1" applyFont="1"/>
    <xf borderId="19" fillId="3" fontId="5" numFmtId="0" xfId="0" applyBorder="1" applyFont="1"/>
    <xf borderId="5" fillId="0" fontId="5" numFmtId="164" xfId="0" applyAlignment="1" applyBorder="1" applyFont="1" applyNumberFormat="1">
      <alignment horizontal="center"/>
    </xf>
    <xf borderId="1" fillId="0" fontId="5" numFmtId="164" xfId="0" applyAlignment="1" applyBorder="1" applyFont="1" applyNumberFormat="1">
      <alignment horizontal="center"/>
    </xf>
    <xf borderId="19" fillId="0" fontId="5" numFmtId="3" xfId="0" applyAlignment="1" applyBorder="1" applyFont="1" applyNumberFormat="1">
      <alignment horizontal="center"/>
    </xf>
    <xf borderId="2" fillId="0" fontId="5" numFmtId="164" xfId="0" applyAlignment="1" applyBorder="1" applyFont="1" applyNumberFormat="1">
      <alignment horizontal="center"/>
    </xf>
    <xf borderId="20" fillId="0" fontId="5" numFmtId="164" xfId="0" applyAlignment="1" applyBorder="1" applyFont="1" applyNumberFormat="1">
      <alignment horizontal="center"/>
    </xf>
    <xf borderId="20" fillId="0" fontId="5" numFmtId="3" xfId="0" applyAlignment="1" applyBorder="1" applyFont="1" applyNumberFormat="1">
      <alignment horizontal="center"/>
    </xf>
    <xf borderId="11" fillId="7" fontId="5" numFmtId="0" xfId="0" applyAlignment="1" applyBorder="1" applyFill="1" applyFont="1">
      <alignment horizontal="left"/>
    </xf>
    <xf borderId="5" fillId="7" fontId="5" numFmtId="164" xfId="0" applyAlignment="1" applyBorder="1" applyFont="1" applyNumberFormat="1">
      <alignment horizontal="center"/>
    </xf>
    <xf borderId="21" fillId="5" fontId="5" numFmtId="164" xfId="0" applyAlignment="1" applyBorder="1" applyFont="1" applyNumberFormat="1">
      <alignment horizontal="center"/>
    </xf>
    <xf borderId="20" fillId="0" fontId="6" numFmtId="0" xfId="0" applyBorder="1" applyFont="1"/>
    <xf borderId="22" fillId="0" fontId="6" numFmtId="0" xfId="0" applyBorder="1" applyFont="1"/>
    <xf borderId="10" fillId="0" fontId="6" numFmtId="0" xfId="0" applyBorder="1" applyFont="1"/>
    <xf borderId="5" fillId="0" fontId="5" numFmtId="1" xfId="0" applyAlignment="1" applyBorder="1" applyFont="1" applyNumberFormat="1">
      <alignment horizontal="center"/>
    </xf>
    <xf borderId="1" fillId="0" fontId="5" numFmtId="1" xfId="0" applyAlignment="1" applyBorder="1" applyFont="1" applyNumberFormat="1">
      <alignment horizontal="center"/>
    </xf>
    <xf borderId="23" fillId="0" fontId="5" numFmtId="3" xfId="0" applyAlignment="1" applyBorder="1" applyFont="1" applyNumberFormat="1">
      <alignment horizontal="center"/>
    </xf>
    <xf borderId="23" fillId="3" fontId="5" numFmtId="164" xfId="0" applyAlignment="1" applyBorder="1" applyFont="1" applyNumberFormat="1">
      <alignment horizontal="center"/>
    </xf>
    <xf borderId="22" fillId="0" fontId="5" numFmtId="0" xfId="0" applyAlignment="1" applyBorder="1" applyFont="1">
      <alignment horizontal="left"/>
    </xf>
    <xf borderId="0" fillId="0" fontId="5" numFmtId="0" xfId="0" applyAlignment="1" applyFont="1">
      <alignment horizontal="center"/>
    </xf>
    <xf borderId="24" fillId="0" fontId="6" numFmtId="0" xfId="0" applyBorder="1" applyFont="1"/>
    <xf borderId="15" fillId="0" fontId="5" numFmtId="165" xfId="0" applyBorder="1" applyFont="1" applyNumberFormat="1"/>
    <xf borderId="25" fillId="0" fontId="5" numFmtId="165" xfId="0" applyBorder="1" applyFont="1" applyNumberFormat="1"/>
    <xf borderId="25" fillId="0" fontId="6" numFmtId="0" xfId="0" applyBorder="1" applyFont="1"/>
    <xf borderId="26" fillId="0" fontId="6" numFmtId="0" xfId="0" applyBorder="1" applyFont="1"/>
    <xf borderId="6" fillId="0" fontId="7" numFmtId="0" xfId="0" applyAlignment="1" applyBorder="1" applyFont="1">
      <alignment horizontal="center"/>
    </xf>
    <xf borderId="3" fillId="0" fontId="5" numFmtId="0" xfId="0" applyBorder="1" applyFont="1"/>
    <xf borderId="5" fillId="0" fontId="5" numFmtId="166" xfId="0" applyAlignment="1" applyBorder="1" applyFont="1" applyNumberFormat="1">
      <alignment horizontal="center"/>
    </xf>
    <xf borderId="27" fillId="4" fontId="5" numFmtId="0" xfId="0" applyBorder="1" applyFont="1"/>
    <xf borderId="5" fillId="4" fontId="5" numFmtId="1" xfId="0" applyAlignment="1" applyBorder="1" applyFont="1" applyNumberFormat="1">
      <alignment horizontal="center"/>
    </xf>
    <xf borderId="0" fillId="0" fontId="5" numFmtId="1" xfId="0" applyAlignment="1" applyFont="1" applyNumberFormat="1">
      <alignment horizontal="center"/>
    </xf>
    <xf borderId="0" fillId="0" fontId="5" numFmtId="9" xfId="0" applyAlignment="1" applyFont="1" applyNumberFormat="1">
      <alignment horizontal="center"/>
    </xf>
    <xf borderId="4" fillId="8" fontId="5" numFmtId="0" xfId="0" applyBorder="1" applyFill="1" applyFont="1"/>
    <xf borderId="4" fillId="8" fontId="5" numFmtId="1" xfId="0" applyAlignment="1" applyBorder="1" applyFont="1" applyNumberFormat="1">
      <alignment horizontal="center"/>
    </xf>
    <xf borderId="4" fillId="8" fontId="6" numFmtId="0" xfId="0" applyBorder="1" applyFont="1"/>
    <xf borderId="1" fillId="9" fontId="1" numFmtId="0" xfId="0" applyAlignment="1" applyBorder="1" applyFill="1" applyFont="1">
      <alignment horizontal="center"/>
    </xf>
    <xf borderId="4" fillId="10" fontId="6" numFmtId="0" xfId="0" applyBorder="1" applyFill="1" applyFont="1"/>
    <xf borderId="6" fillId="0" fontId="5" numFmtId="0" xfId="0" applyAlignment="1" applyBorder="1" applyFont="1">
      <alignment horizontal="center" textRotation="90" vertical="center"/>
    </xf>
    <xf borderId="27" fillId="5" fontId="5" numFmtId="0" xfId="0" applyBorder="1" applyFont="1"/>
    <xf borderId="5" fillId="0" fontId="6" numFmtId="0" xfId="0" applyAlignment="1" applyBorder="1" applyFont="1">
      <alignment horizontal="center"/>
    </xf>
    <xf borderId="5" fillId="0" fontId="6" numFmtId="1" xfId="0" applyAlignment="1" applyBorder="1" applyFont="1" applyNumberFormat="1">
      <alignment horizontal="center"/>
    </xf>
    <xf borderId="5" fillId="0" fontId="6" numFmtId="3" xfId="0" applyAlignment="1" applyBorder="1" applyFont="1" applyNumberFormat="1">
      <alignment horizontal="center"/>
    </xf>
    <xf borderId="27" fillId="3" fontId="5" numFmtId="0" xfId="0" applyBorder="1" applyFont="1"/>
    <xf borderId="5" fillId="4" fontId="5" numFmtId="3" xfId="0" applyAlignment="1" applyBorder="1" applyFont="1" applyNumberFormat="1">
      <alignment horizontal="center"/>
    </xf>
    <xf borderId="27" fillId="11" fontId="5" numFmtId="0" xfId="0" applyBorder="1" applyFill="1" applyFont="1"/>
    <xf borderId="5" fillId="11" fontId="5" numFmtId="3" xfId="0" applyAlignment="1" applyBorder="1" applyFont="1" applyNumberFormat="1">
      <alignment horizontal="center"/>
    </xf>
    <xf borderId="0" fillId="0" fontId="6" numFmtId="3" xfId="0" applyAlignment="1" applyFont="1" applyNumberFormat="1">
      <alignment horizontal="center"/>
    </xf>
    <xf borderId="5" fillId="5" fontId="5" numFmtId="0" xfId="0" applyBorder="1" applyFont="1"/>
    <xf borderId="5" fillId="0" fontId="6" numFmtId="164" xfId="0" applyAlignment="1" applyBorder="1" applyFont="1" applyNumberFormat="1">
      <alignment horizontal="center"/>
    </xf>
    <xf borderId="5" fillId="5" fontId="5" numFmtId="164" xfId="0" applyAlignment="1" applyBorder="1" applyFont="1" applyNumberFormat="1">
      <alignment horizontal="center"/>
    </xf>
    <xf borderId="5" fillId="0" fontId="6" numFmtId="0" xfId="0" applyBorder="1" applyFont="1"/>
    <xf borderId="28" fillId="0" fontId="5" numFmtId="0" xfId="0" applyAlignment="1" applyBorder="1" applyFont="1">
      <alignment horizontal="left"/>
    </xf>
    <xf borderId="29" fillId="0" fontId="6" numFmtId="164" xfId="0" applyAlignment="1" applyBorder="1" applyFont="1" applyNumberFormat="1">
      <alignment horizontal="center"/>
    </xf>
    <xf borderId="5" fillId="3" fontId="5" numFmtId="1" xfId="0" applyAlignment="1" applyBorder="1" applyFont="1" applyNumberFormat="1">
      <alignment horizontal="center"/>
    </xf>
    <xf borderId="0" fillId="0" fontId="5" numFmtId="0" xfId="0" applyAlignment="1" applyFont="1">
      <alignment horizontal="left"/>
    </xf>
    <xf borderId="4" fillId="10" fontId="5" numFmtId="3" xfId="0" applyAlignment="1" applyBorder="1" applyFont="1" applyNumberFormat="1">
      <alignment horizontal="center"/>
    </xf>
    <xf borderId="0" fillId="0" fontId="6" numFmtId="164" xfId="0" applyAlignment="1" applyFont="1" applyNumberFormat="1">
      <alignment horizontal="center"/>
    </xf>
    <xf borderId="30" fillId="3" fontId="5" numFmtId="0" xfId="0" applyAlignment="1" applyBorder="1" applyFont="1">
      <alignment horizontal="left"/>
    </xf>
    <xf borderId="0" fillId="0" fontId="5" numFmtId="3" xfId="0" applyAlignment="1" applyFont="1" applyNumberFormat="1">
      <alignment horizontal="center"/>
    </xf>
    <xf borderId="0" fillId="0" fontId="6" numFmtId="3" xfId="0" applyFont="1" applyNumberFormat="1"/>
    <xf borderId="5" fillId="10" fontId="5" numFmtId="3" xfId="0" applyBorder="1" applyFont="1" applyNumberFormat="1"/>
    <xf borderId="5" fillId="10" fontId="5" numFmtId="0" xfId="0" applyBorder="1" applyFont="1"/>
    <xf borderId="31" fillId="12" fontId="8" numFmtId="0" xfId="0" applyAlignment="1" applyBorder="1" applyFill="1" applyFont="1">
      <alignment horizontal="center" vertical="center"/>
    </xf>
    <xf borderId="32" fillId="0" fontId="2" numFmtId="0" xfId="0" applyBorder="1" applyFont="1"/>
    <xf borderId="33" fillId="0" fontId="2" numFmtId="0" xfId="0" applyBorder="1" applyFont="1"/>
    <xf borderId="34" fillId="12" fontId="9" numFmtId="0" xfId="0" applyAlignment="1" applyBorder="1" applyFont="1">
      <alignment horizontal="center" shrinkToFit="0" vertical="center" wrapText="1"/>
    </xf>
    <xf borderId="35" fillId="12" fontId="9" numFmtId="0" xfId="0" applyAlignment="1" applyBorder="1" applyFont="1">
      <alignment horizontal="center" shrinkToFit="0" vertical="center" wrapText="1"/>
    </xf>
    <xf borderId="36" fillId="12" fontId="9" numFmtId="0" xfId="0" applyAlignment="1" applyBorder="1" applyFont="1">
      <alignment horizontal="center" vertical="center"/>
    </xf>
    <xf borderId="37" fillId="0" fontId="2" numFmtId="0" xfId="0" applyBorder="1" applyFont="1"/>
    <xf borderId="38" fillId="0" fontId="2" numFmtId="0" xfId="0" applyBorder="1" applyFont="1"/>
    <xf borderId="4" fillId="10" fontId="10" numFmtId="0" xfId="0" applyAlignment="1" applyBorder="1" applyFont="1">
      <alignment horizontal="center"/>
    </xf>
    <xf borderId="4" fillId="10" fontId="10" numFmtId="0" xfId="0" applyBorder="1" applyFont="1"/>
    <xf borderId="4" fillId="10" fontId="6" numFmtId="0" xfId="0" applyAlignment="1" applyBorder="1" applyFont="1">
      <alignment vertical="center"/>
    </xf>
    <xf borderId="39" fillId="12" fontId="9" numFmtId="0" xfId="0" applyAlignment="1" applyBorder="1" applyFont="1">
      <alignment horizontal="center" shrinkToFit="0" vertical="center" wrapText="1"/>
    </xf>
    <xf borderId="40" fillId="12" fontId="9" numFmtId="0" xfId="0" applyAlignment="1" applyBorder="1" applyFont="1">
      <alignment horizontal="center" shrinkToFit="0" vertical="center" wrapText="1"/>
    </xf>
    <xf borderId="36" fillId="12" fontId="9" numFmtId="0" xfId="0" applyAlignment="1" applyBorder="1" applyFont="1">
      <alignment horizontal="center" shrinkToFit="0" vertical="center" wrapText="1"/>
    </xf>
    <xf borderId="41" fillId="0" fontId="2" numFmtId="0" xfId="0" applyBorder="1" applyFont="1"/>
    <xf borderId="42" fillId="12" fontId="9" numFmtId="0" xfId="0" applyAlignment="1" applyBorder="1" applyFont="1">
      <alignment horizontal="center" shrinkToFit="0" vertical="center" wrapText="1"/>
    </xf>
    <xf borderId="4" fillId="10" fontId="6" numFmtId="0" xfId="0" applyAlignment="1" applyBorder="1" applyFont="1">
      <alignment horizontal="center"/>
    </xf>
    <xf borderId="4" fillId="10" fontId="11" numFmtId="0" xfId="0" applyBorder="1" applyFont="1"/>
    <xf borderId="43" fillId="12" fontId="9" numFmtId="0" xfId="0" applyAlignment="1" applyBorder="1" applyFont="1">
      <alignment horizontal="center" shrinkToFit="0" vertical="center" wrapText="1"/>
    </xf>
    <xf borderId="44" fillId="12" fontId="9" numFmtId="0" xfId="0" applyAlignment="1" applyBorder="1" applyFont="1">
      <alignment horizontal="center" shrinkToFit="0" vertical="center" wrapText="1"/>
    </xf>
    <xf borderId="45" fillId="10" fontId="12" numFmtId="0" xfId="0" applyAlignment="1" applyBorder="1" applyFont="1">
      <alignment horizontal="center" shrinkToFit="0" vertical="center" wrapText="1"/>
    </xf>
    <xf borderId="46" fillId="10" fontId="12" numFmtId="0" xfId="0" applyAlignment="1" applyBorder="1" applyFont="1">
      <alignment horizontal="center" shrinkToFit="0" vertical="center" wrapText="1"/>
    </xf>
    <xf borderId="47" fillId="10" fontId="12" numFmtId="0" xfId="0" applyAlignment="1" applyBorder="1" applyFont="1">
      <alignment horizontal="center" shrinkToFit="0" vertical="center" wrapText="1"/>
    </xf>
    <xf borderId="5" fillId="10" fontId="12" numFmtId="2" xfId="0" applyAlignment="1" applyBorder="1" applyFont="1" applyNumberFormat="1">
      <alignment horizontal="center" shrinkToFit="0" vertical="center" wrapText="1"/>
    </xf>
    <xf borderId="46" fillId="10" fontId="12" numFmtId="9" xfId="0" applyAlignment="1" applyBorder="1" applyFont="1" applyNumberFormat="1">
      <alignment horizontal="center" shrinkToFit="0" vertical="center" wrapText="1"/>
    </xf>
    <xf borderId="46" fillId="10" fontId="12" numFmtId="2" xfId="0" applyAlignment="1" applyBorder="1" applyFont="1" applyNumberFormat="1">
      <alignment horizontal="center" shrinkToFit="0" vertical="center" wrapText="1"/>
    </xf>
    <xf borderId="46" fillId="10" fontId="12" numFmtId="167" xfId="0" applyAlignment="1" applyBorder="1" applyFont="1" applyNumberFormat="1">
      <alignment horizontal="center" shrinkToFit="0" vertical="center" wrapText="1"/>
    </xf>
    <xf borderId="47" fillId="10" fontId="12" numFmtId="167" xfId="0" applyAlignment="1" applyBorder="1" applyFont="1" applyNumberFormat="1">
      <alignment horizontal="center" shrinkToFit="0" vertical="center" wrapText="1"/>
    </xf>
    <xf borderId="46" fillId="10" fontId="12" numFmtId="1" xfId="0" applyAlignment="1" applyBorder="1" applyFont="1" applyNumberFormat="1">
      <alignment horizontal="center" shrinkToFit="0" vertical="center" wrapText="1"/>
    </xf>
    <xf borderId="48" fillId="10" fontId="12" numFmtId="1" xfId="0" applyAlignment="1" applyBorder="1" applyFont="1" applyNumberFormat="1">
      <alignment horizontal="center" shrinkToFit="0" vertical="center" wrapText="1"/>
    </xf>
    <xf borderId="49" fillId="10" fontId="12" numFmtId="1" xfId="0" applyAlignment="1" applyBorder="1" applyFont="1" applyNumberFormat="1">
      <alignment horizontal="center" shrinkToFit="0" vertical="center" wrapText="1"/>
    </xf>
    <xf borderId="50" fillId="0" fontId="12" numFmtId="1" xfId="0" applyAlignment="1" applyBorder="1" applyFont="1" applyNumberFormat="1">
      <alignment horizontal="center" shrinkToFit="0" vertical="center" wrapText="1"/>
    </xf>
    <xf borderId="51" fillId="0" fontId="12" numFmtId="1" xfId="0" applyAlignment="1" applyBorder="1" applyFont="1" applyNumberFormat="1">
      <alignment horizontal="center" shrinkToFit="0" vertical="center" wrapText="1"/>
    </xf>
    <xf borderId="52" fillId="0" fontId="12" numFmtId="9" xfId="0" applyAlignment="1" applyBorder="1" applyFont="1" applyNumberFormat="1">
      <alignment horizontal="center" shrinkToFit="0" vertical="center" wrapText="1"/>
    </xf>
    <xf borderId="0" fillId="0" fontId="6" numFmtId="1" xfId="0" applyFont="1" applyNumberFormat="1"/>
    <xf borderId="0" fillId="0" fontId="6" numFmtId="2" xfId="0" applyFont="1" applyNumberFormat="1"/>
    <xf borderId="53" fillId="0" fontId="12" numFmtId="0" xfId="0" applyAlignment="1" applyBorder="1" applyFont="1">
      <alignment horizontal="center" shrinkToFit="0" vertical="center" wrapText="1"/>
    </xf>
    <xf borderId="15" fillId="0" fontId="12" numFmtId="0" xfId="0" applyAlignment="1" applyBorder="1" applyFont="1">
      <alignment horizontal="center" shrinkToFit="0" vertical="center" wrapText="1"/>
    </xf>
    <xf borderId="54" fillId="10" fontId="12" numFmtId="0" xfId="0" applyAlignment="1" applyBorder="1" applyFont="1">
      <alignment horizontal="center" shrinkToFit="0" vertical="center" wrapText="1"/>
    </xf>
    <xf borderId="55" fillId="0" fontId="12" numFmtId="0" xfId="0" applyAlignment="1" applyBorder="1" applyFont="1">
      <alignment horizontal="center" shrinkToFit="0" vertical="center" wrapText="1"/>
    </xf>
    <xf borderId="15" fillId="0" fontId="12" numFmtId="2" xfId="0" applyAlignment="1" applyBorder="1" applyFont="1" applyNumberFormat="1">
      <alignment horizontal="center" shrinkToFit="0" vertical="center" wrapText="1"/>
    </xf>
    <xf borderId="53" fillId="0" fontId="12" numFmtId="9" xfId="0" applyAlignment="1" applyBorder="1" applyFont="1" applyNumberFormat="1">
      <alignment horizontal="center" shrinkToFit="0" vertical="center" wrapText="1"/>
    </xf>
    <xf borderId="53" fillId="0" fontId="12" numFmtId="2" xfId="0" applyAlignment="1" applyBorder="1" applyFont="1" applyNumberFormat="1">
      <alignment horizontal="center" shrinkToFit="0" vertical="center" wrapText="1"/>
    </xf>
    <xf borderId="54" fillId="10" fontId="12" numFmtId="167" xfId="0" applyAlignment="1" applyBorder="1" applyFont="1" applyNumberFormat="1">
      <alignment horizontal="center" shrinkToFit="0" vertical="center" wrapText="1"/>
    </xf>
    <xf borderId="55" fillId="0" fontId="12" numFmtId="167" xfId="0" applyAlignment="1" applyBorder="1" applyFont="1" applyNumberFormat="1">
      <alignment horizontal="center" shrinkToFit="0" vertical="center" wrapText="1"/>
    </xf>
    <xf borderId="53" fillId="0" fontId="12" numFmtId="1" xfId="0" applyAlignment="1" applyBorder="1" applyFont="1" applyNumberFormat="1">
      <alignment horizontal="center" shrinkToFit="0" vertical="center" wrapText="1"/>
    </xf>
    <xf borderId="54" fillId="10" fontId="12" numFmtId="1" xfId="0" applyAlignment="1" applyBorder="1" applyFont="1" applyNumberFormat="1">
      <alignment horizontal="center" shrinkToFit="0" vertical="center" wrapText="1"/>
    </xf>
    <xf borderId="56" fillId="0" fontId="12" numFmtId="1" xfId="0" applyAlignment="1" applyBorder="1" applyFont="1" applyNumberFormat="1">
      <alignment horizontal="center" shrinkToFit="0" vertical="center" wrapText="1"/>
    </xf>
    <xf borderId="57" fillId="10" fontId="12" numFmtId="1" xfId="0" applyAlignment="1" applyBorder="1" applyFont="1" applyNumberFormat="1">
      <alignment horizontal="center" shrinkToFit="0" vertical="center" wrapText="1"/>
    </xf>
    <xf borderId="58" fillId="10" fontId="12" numFmtId="1" xfId="0" applyAlignment="1" applyBorder="1" applyFont="1" applyNumberFormat="1">
      <alignment horizontal="center" shrinkToFit="0" vertical="center" wrapText="1"/>
    </xf>
    <xf borderId="55" fillId="0" fontId="12" numFmtId="1" xfId="0" applyAlignment="1" applyBorder="1" applyFont="1" applyNumberFormat="1">
      <alignment horizontal="center" shrinkToFit="0" vertical="center" wrapText="1"/>
    </xf>
    <xf borderId="59" fillId="0" fontId="12" numFmtId="9" xfId="0" applyAlignment="1" applyBorder="1" applyFont="1" applyNumberFormat="1">
      <alignment horizontal="center" shrinkToFit="0" vertical="center" wrapText="1"/>
    </xf>
    <xf borderId="0" fillId="0" fontId="6" numFmtId="0" xfId="0" applyAlignment="1" applyFont="1">
      <alignment horizontal="left"/>
    </xf>
    <xf borderId="0" fillId="0" fontId="13" numFmtId="0" xfId="0" applyAlignment="1" applyFont="1">
      <alignment readingOrder="0"/>
    </xf>
    <xf borderId="60" fillId="0" fontId="14" numFmtId="0" xfId="0" applyAlignment="1" applyBorder="1" applyFont="1">
      <alignment horizontal="center" vertical="center"/>
    </xf>
    <xf borderId="8" fillId="0" fontId="2" numFmtId="0" xfId="0" applyBorder="1" applyFont="1"/>
    <xf borderId="9" fillId="0" fontId="2" numFmtId="0" xfId="0" applyBorder="1" applyFont="1"/>
    <xf borderId="22" fillId="0" fontId="14" numFmtId="0" xfId="0" applyAlignment="1" applyBorder="1" applyFont="1">
      <alignment horizontal="center" vertical="center"/>
    </xf>
    <xf borderId="24" fillId="0" fontId="2" numFmtId="0" xfId="0" applyBorder="1" applyFont="1"/>
    <xf borderId="61" fillId="0" fontId="15" numFmtId="0" xfId="0" applyAlignment="1" applyBorder="1" applyFont="1">
      <alignment horizontal="center" vertical="center"/>
    </xf>
    <xf borderId="62" fillId="0" fontId="2" numFmtId="0" xfId="0" applyBorder="1" applyFont="1"/>
    <xf borderId="29" fillId="0" fontId="2" numFmtId="0" xfId="0" applyBorder="1" applyFont="1"/>
    <xf borderId="1" fillId="0" fontId="15" numFmtId="0" xfId="0" applyAlignment="1" applyBorder="1" applyFont="1">
      <alignment horizontal="center" vertical="center"/>
    </xf>
    <xf borderId="63" fillId="0" fontId="2" numFmtId="0" xfId="0" applyBorder="1" applyFont="1"/>
    <xf borderId="64" fillId="0" fontId="2" numFmtId="0" xfId="0" applyBorder="1" applyFont="1"/>
    <xf borderId="65" fillId="0" fontId="2" numFmtId="0" xfId="0" applyBorder="1" applyFont="1"/>
    <xf borderId="28" fillId="0" fontId="2" numFmtId="0" xfId="0" applyBorder="1" applyFont="1"/>
    <xf borderId="66" fillId="0" fontId="15" numFmtId="0" xfId="0" applyAlignment="1" applyBorder="1" applyFont="1">
      <alignment horizontal="center" shrinkToFit="0" vertical="center" wrapText="1"/>
    </xf>
    <xf borderId="67" fillId="0" fontId="15" numFmtId="0" xfId="0" applyAlignment="1" applyBorder="1" applyFont="1">
      <alignment horizontal="center" shrinkToFit="0" vertical="center" wrapText="1"/>
    </xf>
    <xf borderId="68" fillId="0" fontId="16" numFmtId="0" xfId="0" applyAlignment="1" applyBorder="1" applyFont="1">
      <alignment horizontal="center" shrinkToFit="0" textRotation="90" vertical="center" wrapText="1"/>
    </xf>
    <xf borderId="69" fillId="3" fontId="17" numFmtId="0" xfId="0" applyAlignment="1" applyBorder="1" applyFont="1">
      <alignment horizontal="center" shrinkToFit="0" vertical="center" wrapText="1"/>
    </xf>
    <xf borderId="70" fillId="0" fontId="2" numFmtId="0" xfId="0" applyBorder="1" applyFont="1"/>
    <xf borderId="71" fillId="0" fontId="11" numFmtId="0" xfId="0" applyAlignment="1" applyBorder="1" applyFont="1">
      <alignment horizontal="left" shrinkToFit="0" vertical="center" wrapText="1"/>
    </xf>
    <xf borderId="72" fillId="0" fontId="11" numFmtId="0" xfId="0" applyAlignment="1" applyBorder="1" applyFont="1">
      <alignment horizontal="left" shrinkToFit="0" vertical="center" wrapText="1"/>
    </xf>
    <xf borderId="73" fillId="0" fontId="2" numFmtId="0" xfId="0" applyBorder="1" applyFont="1"/>
    <xf borderId="1" fillId="3" fontId="17" numFmtId="0" xfId="0" applyAlignment="1" applyBorder="1" applyFont="1">
      <alignment horizontal="center" shrinkToFit="0" vertical="center" wrapText="1"/>
    </xf>
    <xf borderId="5" fillId="0" fontId="11" numFmtId="0" xfId="0" applyAlignment="1" applyBorder="1" applyFont="1">
      <alignment horizontal="left" shrinkToFit="0" vertical="center" wrapText="1"/>
    </xf>
    <xf borderId="12" fillId="0" fontId="11" numFmtId="0" xfId="0" applyAlignment="1" applyBorder="1" applyFont="1">
      <alignment horizontal="left" shrinkToFit="0" vertical="center" wrapText="1"/>
    </xf>
    <xf borderId="69" fillId="12" fontId="17" numFmtId="0" xfId="0" applyAlignment="1" applyBorder="1" applyFont="1">
      <alignment horizontal="center" shrinkToFit="0" vertical="center" wrapText="1"/>
    </xf>
    <xf borderId="71" fillId="0" fontId="18" numFmtId="0" xfId="0" applyAlignment="1" applyBorder="1" applyFont="1">
      <alignment horizontal="left" shrinkToFit="0" vertical="center" wrapText="1"/>
    </xf>
    <xf borderId="72" fillId="0" fontId="18" numFmtId="0" xfId="0" applyAlignment="1" applyBorder="1" applyFont="1">
      <alignment horizontal="left" shrinkToFit="0" vertical="center" wrapText="1"/>
    </xf>
    <xf borderId="74" fillId="0" fontId="2" numFmtId="0" xfId="0" applyBorder="1" applyFont="1"/>
    <xf borderId="1" fillId="12" fontId="17" numFmtId="0" xfId="0" applyAlignment="1" applyBorder="1" applyFont="1">
      <alignment horizontal="center" shrinkToFit="0" vertical="center" wrapText="1"/>
    </xf>
    <xf borderId="5" fillId="0" fontId="18" numFmtId="0" xfId="0" applyAlignment="1" applyBorder="1" applyFont="1">
      <alignment horizontal="left" shrinkToFit="0" vertical="center" wrapText="1"/>
    </xf>
    <xf borderId="12" fillId="0" fontId="18" numFmtId="0" xfId="0" applyAlignment="1" applyBorder="1" applyFont="1">
      <alignment horizontal="left" shrinkToFit="0" vertical="center" wrapText="1"/>
    </xf>
    <xf borderId="75" fillId="0" fontId="2" numFmtId="0" xfId="0" applyBorder="1" applyFont="1"/>
    <xf borderId="76" fillId="12" fontId="17" numFmtId="0" xfId="0" applyAlignment="1" applyBorder="1" applyFont="1">
      <alignment horizontal="center" shrinkToFit="0" vertical="center" wrapText="1"/>
    </xf>
    <xf borderId="77" fillId="0" fontId="2" numFmtId="0" xfId="0" applyBorder="1" applyFont="1"/>
    <xf borderId="15" fillId="0" fontId="18" numFmtId="0" xfId="0" applyAlignment="1" applyBorder="1" applyFont="1">
      <alignment horizontal="left" shrinkToFit="0" vertical="center" wrapText="1"/>
    </xf>
    <xf borderId="16" fillId="0" fontId="18" numFmtId="0" xfId="0" applyAlignment="1" applyBorder="1" applyFont="1">
      <alignment horizontal="left" shrinkToFit="0" vertical="center" wrapText="1"/>
    </xf>
    <xf borderId="73" fillId="0" fontId="19" numFmtId="0" xfId="0" applyAlignment="1" applyBorder="1" applyFont="1">
      <alignment horizontal="center" vertical="center"/>
    </xf>
    <xf borderId="51" fillId="0" fontId="19" numFmtId="0" xfId="0" applyAlignment="1" applyBorder="1" applyFont="1">
      <alignment horizontal="center" vertical="center"/>
    </xf>
    <xf borderId="51" fillId="0" fontId="19" numFmtId="0" xfId="0" applyAlignment="1" applyBorder="1" applyFont="1">
      <alignment horizontal="center" shrinkToFit="0" vertical="center" wrapText="1"/>
    </xf>
    <xf borderId="78" fillId="0" fontId="2" numFmtId="0" xfId="0" applyBorder="1" applyFont="1"/>
    <xf borderId="11" fillId="0" fontId="15" numFmtId="0" xfId="0" applyAlignment="1" applyBorder="1" applyFont="1">
      <alignment horizontal="left" shrinkToFit="0" vertical="center" wrapText="1"/>
    </xf>
    <xf borderId="1" fillId="0" fontId="11" numFmtId="0" xfId="0" applyAlignment="1" applyBorder="1" applyFont="1">
      <alignment horizontal="left" shrinkToFit="0" vertical="center" wrapText="1"/>
    </xf>
    <xf borderId="5" fillId="5" fontId="19" numFmtId="0" xfId="0" applyAlignment="1" applyBorder="1" applyFont="1">
      <alignment horizontal="center" shrinkToFit="0" vertical="center" wrapText="1"/>
    </xf>
    <xf borderId="5" fillId="13" fontId="19" numFmtId="0" xfId="0" applyAlignment="1" applyBorder="1" applyFill="1" applyFont="1">
      <alignment horizontal="center" shrinkToFit="0" vertical="center" wrapText="1"/>
    </xf>
    <xf borderId="5" fillId="14" fontId="19" numFmtId="0" xfId="0" applyAlignment="1" applyBorder="1" applyFill="1" applyFont="1">
      <alignment horizontal="center" shrinkToFit="0" vertical="center" wrapText="1"/>
    </xf>
    <xf borderId="12" fillId="5" fontId="19" numFmtId="0" xfId="0" applyAlignment="1" applyBorder="1" applyFont="1">
      <alignment horizontal="center" shrinkToFit="0" vertical="center" wrapText="1"/>
    </xf>
    <xf borderId="79" fillId="0" fontId="15" numFmtId="0" xfId="0" applyAlignment="1" applyBorder="1" applyFont="1">
      <alignment horizontal="center" shrinkToFit="0" vertical="center" wrapText="1"/>
    </xf>
    <xf borderId="1" fillId="12" fontId="20" numFmtId="0" xfId="0" applyAlignment="1" applyBorder="1" applyFont="1">
      <alignment horizontal="center" shrinkToFit="0" vertical="center" wrapText="1"/>
    </xf>
    <xf borderId="79" fillId="13" fontId="17" numFmtId="0" xfId="0" applyAlignment="1" applyBorder="1" applyFont="1">
      <alignment horizontal="left" shrinkToFit="0" vertical="center" wrapText="1"/>
    </xf>
    <xf borderId="1" fillId="13" fontId="21" numFmtId="0" xfId="0" applyAlignment="1" applyBorder="1" applyFont="1">
      <alignment horizontal="left" vertical="center"/>
    </xf>
    <xf borderId="79" fillId="5" fontId="19" numFmtId="0" xfId="0" applyAlignment="1" applyBorder="1" applyFont="1">
      <alignment horizontal="left" shrinkToFit="0" vertical="center" wrapText="1"/>
    </xf>
    <xf borderId="1" fillId="5" fontId="12" numFmtId="0" xfId="0" applyAlignment="1" applyBorder="1" applyFont="1">
      <alignment horizontal="left" vertical="center"/>
    </xf>
    <xf borderId="80" fillId="14" fontId="19" numFmtId="0" xfId="0" applyAlignment="1" applyBorder="1" applyFont="1">
      <alignment horizontal="left" shrinkToFit="0" vertical="center" wrapText="1"/>
    </xf>
    <xf borderId="81" fillId="0" fontId="2" numFmtId="0" xfId="0" applyBorder="1" applyFont="1"/>
    <xf borderId="76" fillId="14" fontId="12" numFmtId="0" xfId="0" applyAlignment="1" applyBorder="1" applyFont="1">
      <alignment horizontal="left" vertical="center"/>
    </xf>
    <xf borderId="82" fillId="0" fontId="2" numFmtId="0" xfId="0" applyBorder="1" applyFont="1"/>
  </cellXfs>
  <cellStyles count="1">
    <cellStyle xfId="0" name="Normal" builtinId="0"/>
  </cellStyles>
  <dxfs count="3">
    <dxf>
      <font/>
      <fill>
        <patternFill patternType="solid">
          <fgColor rgb="FFFF0000"/>
          <bgColor rgb="FFFF0000"/>
        </patternFill>
      </fill>
      <border/>
    </dxf>
    <dxf>
      <font/>
      <fill>
        <patternFill patternType="solid">
          <fgColor rgb="FFFFFF00"/>
          <bgColor rgb="FFFFFF00"/>
        </patternFill>
      </fill>
      <border/>
    </dxf>
    <dxf>
      <font/>
      <fill>
        <patternFill patternType="solid">
          <fgColor rgb="FF00FF00"/>
          <bgColor rgb="FF00FF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40" Type="http://schemas.openxmlformats.org/officeDocument/2006/relationships/externalLink" Target="externalLinks/externalLink33.xml"/><Relationship Id="rId42" Type="http://schemas.openxmlformats.org/officeDocument/2006/relationships/externalLink" Target="externalLinks/externalLink35.xml"/><Relationship Id="rId41" Type="http://schemas.openxmlformats.org/officeDocument/2006/relationships/externalLink" Target="externalLinks/externalLink34.xml"/><Relationship Id="rId44" Type="http://schemas.openxmlformats.org/officeDocument/2006/relationships/externalLink" Target="externalLinks/externalLink37.xml"/><Relationship Id="rId43" Type="http://schemas.openxmlformats.org/officeDocument/2006/relationships/externalLink" Target="externalLinks/externalLink36.xml"/><Relationship Id="rId46" Type="http://schemas.openxmlformats.org/officeDocument/2006/relationships/externalLink" Target="externalLinks/externalLink39.xml"/><Relationship Id="rId45" Type="http://schemas.openxmlformats.org/officeDocument/2006/relationships/externalLink" Target="externalLinks/externalLink3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externalLink" Target="externalLinks/externalLink2.xml"/><Relationship Id="rId48" Type="http://schemas.openxmlformats.org/officeDocument/2006/relationships/externalLink" Target="externalLinks/externalLink41.xml"/><Relationship Id="rId47" Type="http://schemas.openxmlformats.org/officeDocument/2006/relationships/externalLink" Target="externalLinks/externalLink40.xml"/><Relationship Id="rId49" Type="http://schemas.openxmlformats.org/officeDocument/2006/relationships/externalLink" Target="externalLinks/externalLink4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externalLink" Target="externalLinks/externalLink1.xml"/><Relationship Id="rId31" Type="http://schemas.openxmlformats.org/officeDocument/2006/relationships/externalLink" Target="externalLinks/externalLink24.xml"/><Relationship Id="rId30" Type="http://schemas.openxmlformats.org/officeDocument/2006/relationships/externalLink" Target="externalLinks/externalLink23.xml"/><Relationship Id="rId33" Type="http://schemas.openxmlformats.org/officeDocument/2006/relationships/externalLink" Target="externalLinks/externalLink26.xml"/><Relationship Id="rId32" Type="http://schemas.openxmlformats.org/officeDocument/2006/relationships/externalLink" Target="externalLinks/externalLink25.xml"/><Relationship Id="rId35" Type="http://schemas.openxmlformats.org/officeDocument/2006/relationships/externalLink" Target="externalLinks/externalLink28.xml"/><Relationship Id="rId34" Type="http://schemas.openxmlformats.org/officeDocument/2006/relationships/externalLink" Target="externalLinks/externalLink27.xml"/><Relationship Id="rId37" Type="http://schemas.openxmlformats.org/officeDocument/2006/relationships/externalLink" Target="externalLinks/externalLink30.xml"/><Relationship Id="rId36" Type="http://schemas.openxmlformats.org/officeDocument/2006/relationships/externalLink" Target="externalLinks/externalLink29.xml"/><Relationship Id="rId39" Type="http://schemas.openxmlformats.org/officeDocument/2006/relationships/externalLink" Target="externalLinks/externalLink32.xml"/><Relationship Id="rId38" Type="http://schemas.openxmlformats.org/officeDocument/2006/relationships/externalLink" Target="externalLinks/externalLink31.xml"/><Relationship Id="rId20" Type="http://schemas.openxmlformats.org/officeDocument/2006/relationships/externalLink" Target="externalLinks/externalLink13.xml"/><Relationship Id="rId22" Type="http://schemas.openxmlformats.org/officeDocument/2006/relationships/externalLink" Target="externalLinks/externalLink15.xml"/><Relationship Id="rId21" Type="http://schemas.openxmlformats.org/officeDocument/2006/relationships/externalLink" Target="externalLinks/externalLink14.xml"/><Relationship Id="rId24" Type="http://schemas.openxmlformats.org/officeDocument/2006/relationships/externalLink" Target="externalLinks/externalLink17.xml"/><Relationship Id="rId23" Type="http://schemas.openxmlformats.org/officeDocument/2006/relationships/externalLink" Target="externalLinks/externalLink16.xml"/><Relationship Id="rId26" Type="http://schemas.openxmlformats.org/officeDocument/2006/relationships/externalLink" Target="externalLinks/externalLink19.xml"/><Relationship Id="rId25" Type="http://schemas.openxmlformats.org/officeDocument/2006/relationships/externalLink" Target="externalLinks/externalLink18.xml"/><Relationship Id="rId28" Type="http://schemas.openxmlformats.org/officeDocument/2006/relationships/externalLink" Target="externalLinks/externalLink21.xml"/><Relationship Id="rId27" Type="http://schemas.openxmlformats.org/officeDocument/2006/relationships/externalLink" Target="externalLinks/externalLink20.xml"/><Relationship Id="rId29" Type="http://schemas.openxmlformats.org/officeDocument/2006/relationships/externalLink" Target="externalLinks/externalLink22.xml"/><Relationship Id="rId51" Type="http://schemas.openxmlformats.org/officeDocument/2006/relationships/externalLink" Target="externalLinks/externalLink44.xml"/><Relationship Id="rId50" Type="http://schemas.openxmlformats.org/officeDocument/2006/relationships/externalLink" Target="externalLinks/externalLink43.xml"/><Relationship Id="rId53" Type="http://schemas.openxmlformats.org/officeDocument/2006/relationships/externalLink" Target="externalLinks/externalLink46.xml"/><Relationship Id="rId52" Type="http://schemas.openxmlformats.org/officeDocument/2006/relationships/externalLink" Target="externalLinks/externalLink45.xml"/><Relationship Id="rId11" Type="http://schemas.openxmlformats.org/officeDocument/2006/relationships/externalLink" Target="externalLinks/externalLink4.xml"/><Relationship Id="rId55" Type="http://schemas.openxmlformats.org/officeDocument/2006/relationships/externalLink" Target="externalLinks/externalLink48.xml"/><Relationship Id="rId10" Type="http://schemas.openxmlformats.org/officeDocument/2006/relationships/externalLink" Target="externalLinks/externalLink3.xml"/><Relationship Id="rId54" Type="http://schemas.openxmlformats.org/officeDocument/2006/relationships/externalLink" Target="externalLinks/externalLink47.xml"/><Relationship Id="rId13" Type="http://schemas.openxmlformats.org/officeDocument/2006/relationships/externalLink" Target="externalLinks/externalLink6.xml"/><Relationship Id="rId12" Type="http://schemas.openxmlformats.org/officeDocument/2006/relationships/externalLink" Target="externalLinks/externalLink5.xml"/><Relationship Id="rId56" Type="http://customschemas.google.com/relationships/workbookmetadata" Target="metadata"/><Relationship Id="rId15" Type="http://schemas.openxmlformats.org/officeDocument/2006/relationships/externalLink" Target="externalLinks/externalLink8.xml"/><Relationship Id="rId14" Type="http://schemas.openxmlformats.org/officeDocument/2006/relationships/externalLink" Target="externalLinks/externalLink7.xml"/><Relationship Id="rId17" Type="http://schemas.openxmlformats.org/officeDocument/2006/relationships/externalLink" Target="externalLinks/externalLink10.xml"/><Relationship Id="rId16" Type="http://schemas.openxmlformats.org/officeDocument/2006/relationships/externalLink" Target="externalLinks/externalLink9.xml"/><Relationship Id="rId19" Type="http://schemas.openxmlformats.org/officeDocument/2006/relationships/externalLink" Target="externalLinks/externalLink12.xml"/><Relationship Id="rId18" Type="http://schemas.openxmlformats.org/officeDocument/2006/relationships/externalLink" Target="externalLinks/externalLink1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xdr:colOff>
      <xdr:row>68</xdr:row>
      <xdr:rowOff>19050</xdr:rowOff>
    </xdr:from>
    <xdr:ext cx="6181725" cy="314325"/>
    <xdr:sp>
      <xdr:nvSpPr>
        <xdr:cNvPr id="3" name="Shape 3"/>
        <xdr:cNvSpPr/>
      </xdr:nvSpPr>
      <xdr:spPr>
        <a:xfrm rot="-5400000">
          <a:off x="5198363" y="698663"/>
          <a:ext cx="295275" cy="6162675"/>
        </a:xfrm>
        <a:prstGeom prst="leftBrace">
          <a:avLst>
            <a:gd fmla="val 8333" name="adj1"/>
            <a:gd fmla="val 50000" name="adj2"/>
          </a:avLst>
        </a:prstGeom>
        <a:noFill/>
        <a:ln cap="flat" cmpd="sng" w="28575">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9</xdr:col>
      <xdr:colOff>9525</xdr:colOff>
      <xdr:row>68</xdr:row>
      <xdr:rowOff>19050</xdr:rowOff>
    </xdr:from>
    <xdr:ext cx="4086225" cy="323850"/>
    <xdr:sp>
      <xdr:nvSpPr>
        <xdr:cNvPr id="4" name="Shape 4"/>
        <xdr:cNvSpPr/>
      </xdr:nvSpPr>
      <xdr:spPr>
        <a:xfrm rot="-5400000">
          <a:off x="5198363" y="1751175"/>
          <a:ext cx="295275" cy="4057650"/>
        </a:xfrm>
        <a:prstGeom prst="leftBrace">
          <a:avLst>
            <a:gd fmla="val 8333" name="adj1"/>
            <a:gd fmla="val 49773" name="adj2"/>
          </a:avLst>
        </a:prstGeom>
        <a:noFill/>
        <a:ln cap="flat" cmpd="sng" w="28575">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1219200" cy="7143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733425</xdr:colOff>
      <xdr:row>7</xdr:row>
      <xdr:rowOff>19050</xdr:rowOff>
    </xdr:from>
    <xdr:ext cx="1447800" cy="838200"/>
    <xdr:sp>
      <xdr:nvSpPr>
        <xdr:cNvPr id="5" name="Shape 5"/>
        <xdr:cNvSpPr/>
      </xdr:nvSpPr>
      <xdr:spPr>
        <a:xfrm>
          <a:off x="4631625" y="3365663"/>
          <a:ext cx="1428750" cy="828675"/>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¿El Activo contiene material</a:t>
          </a:r>
          <a:r>
            <a:rPr lang="en-US" sz="1100">
              <a:solidFill>
                <a:schemeClr val="dk1"/>
              </a:solidFill>
              <a:latin typeface="Calibri"/>
              <a:ea typeface="Calibri"/>
              <a:cs typeface="Calibri"/>
              <a:sym typeface="Calibri"/>
            </a:rPr>
            <a:t> inflamable, hidrocarburo u otro químico peligroso?</a:t>
          </a:r>
          <a:endParaRPr sz="1100"/>
        </a:p>
      </xdr:txBody>
    </xdr:sp>
    <xdr:clientData fLocksWithSheet="0"/>
  </xdr:oneCellAnchor>
  <xdr:oneCellAnchor>
    <xdr:from>
      <xdr:col>1</xdr:col>
      <xdr:colOff>85725</xdr:colOff>
      <xdr:row>1</xdr:row>
      <xdr:rowOff>76200</xdr:rowOff>
    </xdr:from>
    <xdr:ext cx="1190625" cy="647700"/>
    <xdr:sp>
      <xdr:nvSpPr>
        <xdr:cNvPr id="6" name="Shape 6"/>
        <xdr:cNvSpPr/>
      </xdr:nvSpPr>
      <xdr:spPr>
        <a:xfrm>
          <a:off x="4755450" y="3460913"/>
          <a:ext cx="1181100" cy="638175"/>
        </a:xfrm>
        <a:prstGeom prst="ellipse">
          <a:avLst/>
        </a:prstGeom>
        <a:solidFill>
          <a:schemeClr val="lt1"/>
        </a:solidFill>
        <a:ln cap="flat" cmpd="sng" w="1270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Calibri"/>
              <a:ea typeface="Calibri"/>
              <a:cs typeface="Calibri"/>
              <a:sym typeface="Calibri"/>
            </a:rPr>
            <a:t>Inicio</a:t>
          </a:r>
          <a:endParaRPr sz="1400"/>
        </a:p>
      </xdr:txBody>
    </xdr:sp>
    <xdr:clientData fLocksWithSheet="0"/>
  </xdr:oneCellAnchor>
  <xdr:oneCellAnchor>
    <xdr:from>
      <xdr:col>1</xdr:col>
      <xdr:colOff>666750</xdr:colOff>
      <xdr:row>4</xdr:row>
      <xdr:rowOff>180975</xdr:rowOff>
    </xdr:from>
    <xdr:ext cx="28575" cy="390525"/>
    <xdr:grpSp>
      <xdr:nvGrpSpPr>
        <xdr:cNvPr id="2" name="Shape 2"/>
        <xdr:cNvGrpSpPr/>
      </xdr:nvGrpSpPr>
      <xdr:grpSpPr>
        <a:xfrm>
          <a:off x="5341238" y="3584738"/>
          <a:ext cx="9600" cy="390600"/>
          <a:chOff x="5341238" y="3584738"/>
          <a:chExt cx="9600" cy="390600"/>
        </a:xfrm>
      </xdr:grpSpPr>
      <xdr:cxnSp>
        <xdr:nvCxnSpPr>
          <xdr:cNvPr id="7" name="Shape 7"/>
          <xdr:cNvCxnSpPr>
            <a:stCxn id="4" idx="4"/>
            <a:endCxn id="3" idx="0"/>
          </xdr:cNvCxnSpPr>
        </xdr:nvCxnSpPr>
        <xdr:spPr>
          <a:xfrm>
            <a:off x="5341238" y="3584738"/>
            <a:ext cx="9600" cy="39060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3</xdr:col>
      <xdr:colOff>676275</xdr:colOff>
      <xdr:row>7</xdr:row>
      <xdr:rowOff>19050</xdr:rowOff>
    </xdr:from>
    <xdr:ext cx="1447800" cy="838200"/>
    <xdr:sp>
      <xdr:nvSpPr>
        <xdr:cNvPr id="8" name="Shape 8"/>
        <xdr:cNvSpPr/>
      </xdr:nvSpPr>
      <xdr:spPr>
        <a:xfrm>
          <a:off x="4631625" y="3365663"/>
          <a:ext cx="1428750" cy="828675"/>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¿El</a:t>
          </a:r>
          <a:r>
            <a:rPr lang="en-US" sz="1100">
              <a:solidFill>
                <a:schemeClr val="dk1"/>
              </a:solidFill>
              <a:latin typeface="Calibri"/>
              <a:ea typeface="Calibri"/>
              <a:cs typeface="Calibri"/>
              <a:sym typeface="Calibri"/>
            </a:rPr>
            <a:t> fallo del equipo puede generar lesiones graves a las personas?</a:t>
          </a:r>
          <a:endParaRPr sz="1100"/>
        </a:p>
      </xdr:txBody>
    </xdr:sp>
    <xdr:clientData fLocksWithSheet="0"/>
  </xdr:oneCellAnchor>
  <xdr:oneCellAnchor>
    <xdr:from>
      <xdr:col>2</xdr:col>
      <xdr:colOff>647700</xdr:colOff>
      <xdr:row>9</xdr:row>
      <xdr:rowOff>57150</xdr:rowOff>
    </xdr:from>
    <xdr:ext cx="800100" cy="38100"/>
    <xdr:grpSp>
      <xdr:nvGrpSpPr>
        <xdr:cNvPr id="2" name="Shape 2"/>
        <xdr:cNvGrpSpPr/>
      </xdr:nvGrpSpPr>
      <xdr:grpSpPr>
        <a:xfrm>
          <a:off x="4945950" y="3780000"/>
          <a:ext cx="800100" cy="0"/>
          <a:chOff x="4945950" y="3780000"/>
          <a:chExt cx="800100" cy="0"/>
        </a:xfrm>
      </xdr:grpSpPr>
      <xdr:cxnSp>
        <xdr:nvCxnSpPr>
          <xdr:cNvPr id="9" name="Shape 9"/>
          <xdr:cNvCxnSpPr>
            <a:stCxn id="3" idx="3"/>
            <a:endCxn id="8" idx="1"/>
          </xdr:cNvCxnSpPr>
        </xdr:nvCxnSpPr>
        <xdr:spPr>
          <a:xfrm>
            <a:off x="4945950" y="3780000"/>
            <a:ext cx="800100" cy="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7</xdr:col>
      <xdr:colOff>180975</xdr:colOff>
      <xdr:row>0</xdr:row>
      <xdr:rowOff>19050</xdr:rowOff>
    </xdr:from>
    <xdr:ext cx="1190625" cy="1066800"/>
    <xdr:sp>
      <xdr:nvSpPr>
        <xdr:cNvPr id="10" name="Shape 10"/>
        <xdr:cNvSpPr/>
      </xdr:nvSpPr>
      <xdr:spPr>
        <a:xfrm>
          <a:off x="4755450" y="3251363"/>
          <a:ext cx="1181100" cy="1057275"/>
        </a:xfrm>
        <a:prstGeom prst="ellipse">
          <a:avLst/>
        </a:prstGeom>
        <a:solidFill>
          <a:schemeClr val="lt1"/>
        </a:solidFill>
        <a:ln cap="flat" cmpd="sng" w="1270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Calibri"/>
              <a:ea typeface="Calibri"/>
              <a:cs typeface="Calibri"/>
              <a:sym typeface="Calibri"/>
            </a:rPr>
            <a:t>Safety Critical Equipment "SCE"</a:t>
          </a:r>
          <a:endParaRPr sz="1400"/>
        </a:p>
      </xdr:txBody>
    </xdr:sp>
    <xdr:clientData fLocksWithSheet="0"/>
  </xdr:oneCellAnchor>
  <xdr:oneCellAnchor>
    <xdr:from>
      <xdr:col>5</xdr:col>
      <xdr:colOff>581025</xdr:colOff>
      <xdr:row>5</xdr:row>
      <xdr:rowOff>171450</xdr:rowOff>
    </xdr:from>
    <xdr:ext cx="1724025" cy="638175"/>
    <xdr:grpSp>
      <xdr:nvGrpSpPr>
        <xdr:cNvPr id="2" name="Shape 2"/>
        <xdr:cNvGrpSpPr/>
      </xdr:nvGrpSpPr>
      <xdr:grpSpPr>
        <a:xfrm>
          <a:off x="4488750" y="3465825"/>
          <a:ext cx="1714500" cy="628500"/>
          <a:chOff x="4488750" y="3465825"/>
          <a:chExt cx="1714500" cy="628500"/>
        </a:xfrm>
      </xdr:grpSpPr>
      <xdr:cxnSp>
        <xdr:nvCxnSpPr>
          <xdr:cNvPr id="11" name="Shape 11"/>
          <xdr:cNvCxnSpPr>
            <a:stCxn id="8" idx="3"/>
            <a:endCxn id="10" idx="4"/>
          </xdr:cNvCxnSpPr>
        </xdr:nvCxnSpPr>
        <xdr:spPr>
          <a:xfrm flipH="1" rot="10800000">
            <a:off x="4488750" y="3465825"/>
            <a:ext cx="1714500" cy="628500"/>
          </a:xfrm>
          <a:prstGeom prst="bentConnector2">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5</xdr:col>
      <xdr:colOff>523875</xdr:colOff>
      <xdr:row>11</xdr:row>
      <xdr:rowOff>123825</xdr:rowOff>
    </xdr:from>
    <xdr:ext cx="990600" cy="704850"/>
    <xdr:sp>
      <xdr:nvSpPr>
        <xdr:cNvPr id="12" name="Shape 12"/>
        <xdr:cNvSpPr/>
      </xdr:nvSpPr>
      <xdr:spPr>
        <a:xfrm>
          <a:off x="4855463" y="3437100"/>
          <a:ext cx="981075" cy="685800"/>
        </a:xfrm>
        <a:prstGeom prst="ellipse">
          <a:avLst/>
        </a:prstGeom>
        <a:solidFill>
          <a:schemeClr val="lt1"/>
        </a:solidFill>
        <a:ln cap="flat" cmpd="sng" w="1270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Calibri"/>
              <a:ea typeface="Calibri"/>
              <a:cs typeface="Calibri"/>
              <a:sym typeface="Calibri"/>
            </a:rPr>
            <a:t>NOT SCE</a:t>
          </a:r>
          <a:endParaRPr sz="1400"/>
        </a:p>
      </xdr:txBody>
    </xdr:sp>
    <xdr:clientData fLocksWithSheet="0"/>
  </xdr:oneCellAnchor>
  <xdr:oneCellAnchor>
    <xdr:from>
      <xdr:col>4</xdr:col>
      <xdr:colOff>628650</xdr:colOff>
      <xdr:row>11</xdr:row>
      <xdr:rowOff>123825</xdr:rowOff>
    </xdr:from>
    <xdr:ext cx="666750" cy="352425"/>
    <xdr:grpSp>
      <xdr:nvGrpSpPr>
        <xdr:cNvPr id="2" name="Shape 2"/>
        <xdr:cNvGrpSpPr/>
      </xdr:nvGrpSpPr>
      <xdr:grpSpPr>
        <a:xfrm>
          <a:off x="5017388" y="3608550"/>
          <a:ext cx="657300" cy="342900"/>
          <a:chOff x="5017388" y="3608550"/>
          <a:chExt cx="657300" cy="342900"/>
        </a:xfrm>
      </xdr:grpSpPr>
      <xdr:cxnSp>
        <xdr:nvCxnSpPr>
          <xdr:cNvPr id="13" name="Shape 13"/>
          <xdr:cNvCxnSpPr>
            <a:stCxn id="8" idx="2"/>
            <a:endCxn id="12" idx="2"/>
          </xdr:cNvCxnSpPr>
        </xdr:nvCxnSpPr>
        <xdr:spPr>
          <a:xfrm>
            <a:off x="5017388" y="3608550"/>
            <a:ext cx="657300" cy="342900"/>
          </a:xfrm>
          <a:prstGeom prst="bentConnector2">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0</xdr:col>
      <xdr:colOff>742950</xdr:colOff>
      <xdr:row>15</xdr:row>
      <xdr:rowOff>57150</xdr:rowOff>
    </xdr:from>
    <xdr:ext cx="1447800" cy="704850"/>
    <xdr:sp>
      <xdr:nvSpPr>
        <xdr:cNvPr id="14" name="Shape 14"/>
        <xdr:cNvSpPr/>
      </xdr:nvSpPr>
      <xdr:spPr>
        <a:xfrm>
          <a:off x="4631625" y="3432338"/>
          <a:ext cx="1428750" cy="695325"/>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¿El equipo es parte del sistema eléctrico</a:t>
          </a:r>
          <a:r>
            <a:rPr lang="en-US" sz="1100">
              <a:solidFill>
                <a:schemeClr val="dk1"/>
              </a:solidFill>
              <a:latin typeface="Calibri"/>
              <a:ea typeface="Calibri"/>
              <a:cs typeface="Calibri"/>
              <a:sym typeface="Calibri"/>
            </a:rPr>
            <a:t>?</a:t>
          </a:r>
          <a:endParaRPr sz="1100"/>
        </a:p>
      </xdr:txBody>
    </xdr:sp>
    <xdr:clientData fLocksWithSheet="0"/>
  </xdr:oneCellAnchor>
  <xdr:oneCellAnchor>
    <xdr:from>
      <xdr:col>3</xdr:col>
      <xdr:colOff>609600</xdr:colOff>
      <xdr:row>14</xdr:row>
      <xdr:rowOff>133350</xdr:rowOff>
    </xdr:from>
    <xdr:ext cx="1447800" cy="923925"/>
    <xdr:sp>
      <xdr:nvSpPr>
        <xdr:cNvPr id="15" name="Shape 15"/>
        <xdr:cNvSpPr/>
      </xdr:nvSpPr>
      <xdr:spPr>
        <a:xfrm>
          <a:off x="4631625" y="3322800"/>
          <a:ext cx="1428750" cy="91440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¿Está diseñado para suministrar energías durante emergencias</a:t>
          </a:r>
          <a:r>
            <a:rPr lang="en-US" sz="1100">
              <a:solidFill>
                <a:schemeClr val="dk1"/>
              </a:solidFill>
              <a:latin typeface="Calibri"/>
              <a:ea typeface="Calibri"/>
              <a:cs typeface="Calibri"/>
              <a:sym typeface="Calibri"/>
            </a:rPr>
            <a:t>?</a:t>
          </a:r>
          <a:endParaRPr sz="1100"/>
        </a:p>
      </xdr:txBody>
    </xdr:sp>
    <xdr:clientData fLocksWithSheet="0"/>
  </xdr:oneCellAnchor>
  <xdr:oneCellAnchor>
    <xdr:from>
      <xdr:col>5</xdr:col>
      <xdr:colOff>514350</xdr:colOff>
      <xdr:row>9</xdr:row>
      <xdr:rowOff>47625</xdr:rowOff>
    </xdr:from>
    <xdr:ext cx="1809750" cy="1447800"/>
    <xdr:grpSp>
      <xdr:nvGrpSpPr>
        <xdr:cNvPr id="2" name="Shape 2"/>
        <xdr:cNvGrpSpPr/>
      </xdr:nvGrpSpPr>
      <xdr:grpSpPr>
        <a:xfrm>
          <a:off x="4445888" y="3056100"/>
          <a:ext cx="1800300" cy="1447800"/>
          <a:chOff x="4445888" y="3056100"/>
          <a:chExt cx="1800300" cy="1447800"/>
        </a:xfrm>
      </xdr:grpSpPr>
      <xdr:cxnSp>
        <xdr:nvCxnSpPr>
          <xdr:cNvPr id="16" name="Shape 16"/>
          <xdr:cNvCxnSpPr>
            <a:stCxn id="15" idx="3"/>
          </xdr:cNvCxnSpPr>
        </xdr:nvCxnSpPr>
        <xdr:spPr>
          <a:xfrm flipH="1" rot="10800000">
            <a:off x="4445888" y="3056100"/>
            <a:ext cx="1800300" cy="1447800"/>
          </a:xfrm>
          <a:prstGeom prst="bentConnector3">
            <a:avLst>
              <a:gd fmla="val 99735" name="adj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5</xdr:col>
      <xdr:colOff>533400</xdr:colOff>
      <xdr:row>18</xdr:row>
      <xdr:rowOff>171450</xdr:rowOff>
    </xdr:from>
    <xdr:ext cx="990600" cy="704850"/>
    <xdr:sp>
      <xdr:nvSpPr>
        <xdr:cNvPr id="17" name="Shape 17"/>
        <xdr:cNvSpPr/>
      </xdr:nvSpPr>
      <xdr:spPr>
        <a:xfrm>
          <a:off x="4855463" y="3437100"/>
          <a:ext cx="981075" cy="685800"/>
        </a:xfrm>
        <a:prstGeom prst="ellipse">
          <a:avLst/>
        </a:prstGeom>
        <a:solidFill>
          <a:schemeClr val="lt1"/>
        </a:solidFill>
        <a:ln cap="flat" cmpd="sng" w="1270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Calibri"/>
              <a:ea typeface="Calibri"/>
              <a:cs typeface="Calibri"/>
              <a:sym typeface="Calibri"/>
            </a:rPr>
            <a:t>NOT SCE</a:t>
          </a:r>
          <a:endParaRPr sz="1400"/>
        </a:p>
      </xdr:txBody>
    </xdr:sp>
    <xdr:clientData fLocksWithSheet="0"/>
  </xdr:oneCellAnchor>
  <xdr:oneCellAnchor>
    <xdr:from>
      <xdr:col>4</xdr:col>
      <xdr:colOff>561975</xdr:colOff>
      <xdr:row>19</xdr:row>
      <xdr:rowOff>142875</xdr:rowOff>
    </xdr:from>
    <xdr:ext cx="742950" cy="190500"/>
    <xdr:grpSp>
      <xdr:nvGrpSpPr>
        <xdr:cNvPr id="2" name="Shape 2"/>
        <xdr:cNvGrpSpPr/>
      </xdr:nvGrpSpPr>
      <xdr:grpSpPr>
        <a:xfrm>
          <a:off x="4979288" y="3684750"/>
          <a:ext cx="733500" cy="190500"/>
          <a:chOff x="4979288" y="3684750"/>
          <a:chExt cx="733500" cy="190500"/>
        </a:xfrm>
      </xdr:grpSpPr>
      <xdr:cxnSp>
        <xdr:nvCxnSpPr>
          <xdr:cNvPr id="18" name="Shape 18"/>
          <xdr:cNvCxnSpPr>
            <a:stCxn id="15" idx="2"/>
            <a:endCxn id="17" idx="2"/>
          </xdr:cNvCxnSpPr>
        </xdr:nvCxnSpPr>
        <xdr:spPr>
          <a:xfrm>
            <a:off x="4979288" y="3684750"/>
            <a:ext cx="733500" cy="190500"/>
          </a:xfrm>
          <a:prstGeom prst="bentConnector2">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1</xdr:col>
      <xdr:colOff>676275</xdr:colOff>
      <xdr:row>11</xdr:row>
      <xdr:rowOff>123825</xdr:rowOff>
    </xdr:from>
    <xdr:ext cx="28575" cy="657225"/>
    <xdr:grpSp>
      <xdr:nvGrpSpPr>
        <xdr:cNvPr id="2" name="Shape 2"/>
        <xdr:cNvGrpSpPr/>
      </xdr:nvGrpSpPr>
      <xdr:grpSpPr>
        <a:xfrm>
          <a:off x="5341238" y="3451388"/>
          <a:ext cx="9600" cy="657300"/>
          <a:chOff x="5341238" y="3451388"/>
          <a:chExt cx="9600" cy="657300"/>
        </a:xfrm>
      </xdr:grpSpPr>
      <xdr:cxnSp>
        <xdr:nvCxnSpPr>
          <xdr:cNvPr id="19" name="Shape 19"/>
          <xdr:cNvCxnSpPr>
            <a:stCxn id="3" idx="2"/>
            <a:endCxn id="14" idx="0"/>
          </xdr:cNvCxnSpPr>
        </xdr:nvCxnSpPr>
        <xdr:spPr>
          <a:xfrm>
            <a:off x="5341238" y="3451388"/>
            <a:ext cx="9600" cy="65730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2</xdr:col>
      <xdr:colOff>657225</xdr:colOff>
      <xdr:row>17</xdr:row>
      <xdr:rowOff>28575</xdr:rowOff>
    </xdr:from>
    <xdr:ext cx="723900" cy="38100"/>
    <xdr:grpSp>
      <xdr:nvGrpSpPr>
        <xdr:cNvPr id="2" name="Shape 2"/>
        <xdr:cNvGrpSpPr/>
      </xdr:nvGrpSpPr>
      <xdr:grpSpPr>
        <a:xfrm>
          <a:off x="4984050" y="3780000"/>
          <a:ext cx="723900" cy="0"/>
          <a:chOff x="4984050" y="3780000"/>
          <a:chExt cx="723900" cy="0"/>
        </a:xfrm>
      </xdr:grpSpPr>
      <xdr:cxnSp>
        <xdr:nvCxnSpPr>
          <xdr:cNvPr id="20" name="Shape 20"/>
          <xdr:cNvCxnSpPr>
            <a:stCxn id="14" idx="3"/>
            <a:endCxn id="15" idx="1"/>
          </xdr:cNvCxnSpPr>
        </xdr:nvCxnSpPr>
        <xdr:spPr>
          <a:xfrm>
            <a:off x="4984050" y="3780000"/>
            <a:ext cx="723900" cy="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0</xdr:col>
      <xdr:colOff>742950</xdr:colOff>
      <xdr:row>22</xdr:row>
      <xdr:rowOff>85725</xdr:rowOff>
    </xdr:from>
    <xdr:ext cx="1447800" cy="1057275"/>
    <xdr:sp>
      <xdr:nvSpPr>
        <xdr:cNvPr id="21" name="Shape 21"/>
        <xdr:cNvSpPr/>
      </xdr:nvSpPr>
      <xdr:spPr>
        <a:xfrm>
          <a:off x="4631625" y="3256125"/>
          <a:ext cx="1428750" cy="10477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¿El equipo es parte del sistema de control, shutdown, alarma</a:t>
          </a:r>
          <a:r>
            <a:rPr lang="en-US" sz="1100">
              <a:solidFill>
                <a:schemeClr val="dk1"/>
              </a:solidFill>
              <a:latin typeface="Calibri"/>
              <a:ea typeface="Calibri"/>
              <a:cs typeface="Calibri"/>
              <a:sym typeface="Calibri"/>
            </a:rPr>
            <a:t> o sistema de mitigación?</a:t>
          </a:r>
          <a:endParaRPr sz="1100"/>
        </a:p>
      </xdr:txBody>
    </xdr:sp>
    <xdr:clientData fLocksWithSheet="0"/>
  </xdr:oneCellAnchor>
  <xdr:oneCellAnchor>
    <xdr:from>
      <xdr:col>1</xdr:col>
      <xdr:colOff>685800</xdr:colOff>
      <xdr:row>19</xdr:row>
      <xdr:rowOff>28575</xdr:rowOff>
    </xdr:from>
    <xdr:ext cx="38100" cy="600075"/>
    <xdr:grpSp>
      <xdr:nvGrpSpPr>
        <xdr:cNvPr id="2" name="Shape 2"/>
        <xdr:cNvGrpSpPr/>
      </xdr:nvGrpSpPr>
      <xdr:grpSpPr>
        <a:xfrm>
          <a:off x="5346000" y="3479963"/>
          <a:ext cx="0" cy="600000"/>
          <a:chOff x="5346000" y="3479963"/>
          <a:chExt cx="0" cy="600000"/>
        </a:xfrm>
      </xdr:grpSpPr>
      <xdr:cxnSp>
        <xdr:nvCxnSpPr>
          <xdr:cNvPr id="22" name="Shape 22"/>
          <xdr:cNvCxnSpPr>
            <a:stCxn id="14" idx="2"/>
            <a:endCxn id="21" idx="0"/>
          </xdr:cNvCxnSpPr>
        </xdr:nvCxnSpPr>
        <xdr:spPr>
          <a:xfrm>
            <a:off x="5346000" y="3479963"/>
            <a:ext cx="0" cy="60000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3</xdr:col>
      <xdr:colOff>571500</xdr:colOff>
      <xdr:row>22</xdr:row>
      <xdr:rowOff>85725</xdr:rowOff>
    </xdr:from>
    <xdr:ext cx="1447800" cy="1057275"/>
    <xdr:sp>
      <xdr:nvSpPr>
        <xdr:cNvPr id="23" name="Shape 23"/>
        <xdr:cNvSpPr/>
      </xdr:nvSpPr>
      <xdr:spPr>
        <a:xfrm>
          <a:off x="4631625" y="3256125"/>
          <a:ext cx="1428750" cy="104775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¿Está diseñado para proveer</a:t>
          </a:r>
          <a:r>
            <a:rPr lang="en-US" sz="1100">
              <a:solidFill>
                <a:schemeClr val="dk1"/>
              </a:solidFill>
              <a:latin typeface="Calibri"/>
              <a:ea typeface="Calibri"/>
              <a:cs typeface="Calibri"/>
              <a:sym typeface="Calibri"/>
            </a:rPr>
            <a:t> </a:t>
          </a:r>
          <a:r>
            <a:rPr lang="en-US" sz="1100">
              <a:solidFill>
                <a:schemeClr val="dk1"/>
              </a:solidFill>
              <a:latin typeface="Calibri"/>
              <a:ea typeface="Calibri"/>
              <a:cs typeface="Calibri"/>
              <a:sym typeface="Calibri"/>
            </a:rPr>
            <a:t>control,</a:t>
          </a:r>
          <a:r>
            <a:rPr lang="en-US" sz="1100">
              <a:solidFill>
                <a:schemeClr val="dk1"/>
              </a:solidFill>
              <a:latin typeface="Calibri"/>
              <a:ea typeface="Calibri"/>
              <a:cs typeface="Calibri"/>
              <a:sym typeface="Calibri"/>
            </a:rPr>
            <a:t> notificación o mitigación durante una emergencia ?</a:t>
          </a:r>
          <a:endParaRPr sz="1100"/>
        </a:p>
      </xdr:txBody>
    </xdr:sp>
    <xdr:clientData fLocksWithSheet="0"/>
  </xdr:oneCellAnchor>
  <xdr:oneCellAnchor>
    <xdr:from>
      <xdr:col>5</xdr:col>
      <xdr:colOff>476250</xdr:colOff>
      <xdr:row>17</xdr:row>
      <xdr:rowOff>38100</xdr:rowOff>
    </xdr:from>
    <xdr:ext cx="1828800" cy="1476375"/>
    <xdr:grpSp>
      <xdr:nvGrpSpPr>
        <xdr:cNvPr id="2" name="Shape 2"/>
        <xdr:cNvGrpSpPr/>
      </xdr:nvGrpSpPr>
      <xdr:grpSpPr>
        <a:xfrm>
          <a:off x="4436363" y="3046725"/>
          <a:ext cx="1819200" cy="1466700"/>
          <a:chOff x="4436363" y="3046725"/>
          <a:chExt cx="1819200" cy="1466700"/>
        </a:xfrm>
      </xdr:grpSpPr>
      <xdr:cxnSp>
        <xdr:nvCxnSpPr>
          <xdr:cNvPr id="24" name="Shape 24"/>
          <xdr:cNvCxnSpPr>
            <a:stCxn id="23" idx="3"/>
          </xdr:cNvCxnSpPr>
        </xdr:nvCxnSpPr>
        <xdr:spPr>
          <a:xfrm flipH="1" rot="10800000">
            <a:off x="4436363" y="3046725"/>
            <a:ext cx="1819200" cy="1466700"/>
          </a:xfrm>
          <a:prstGeom prst="bentConnector3">
            <a:avLst>
              <a:gd fmla="val 99738" name="adj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2</xdr:col>
      <xdr:colOff>657225</xdr:colOff>
      <xdr:row>25</xdr:row>
      <xdr:rowOff>47625</xdr:rowOff>
    </xdr:from>
    <xdr:ext cx="685800" cy="38100"/>
    <xdr:grpSp>
      <xdr:nvGrpSpPr>
        <xdr:cNvPr id="2" name="Shape 2"/>
        <xdr:cNvGrpSpPr/>
      </xdr:nvGrpSpPr>
      <xdr:grpSpPr>
        <a:xfrm>
          <a:off x="5003100" y="3780000"/>
          <a:ext cx="685800" cy="0"/>
          <a:chOff x="5003100" y="3780000"/>
          <a:chExt cx="685800" cy="0"/>
        </a:xfrm>
      </xdr:grpSpPr>
      <xdr:cxnSp>
        <xdr:nvCxnSpPr>
          <xdr:cNvPr id="25" name="Shape 25"/>
          <xdr:cNvCxnSpPr>
            <a:stCxn id="21" idx="3"/>
            <a:endCxn id="23" idx="1"/>
          </xdr:cNvCxnSpPr>
        </xdr:nvCxnSpPr>
        <xdr:spPr>
          <a:xfrm>
            <a:off x="5003100" y="3780000"/>
            <a:ext cx="685800" cy="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6</xdr:col>
      <xdr:colOff>333375</xdr:colOff>
      <xdr:row>27</xdr:row>
      <xdr:rowOff>0</xdr:rowOff>
    </xdr:from>
    <xdr:ext cx="990600" cy="704850"/>
    <xdr:sp>
      <xdr:nvSpPr>
        <xdr:cNvPr id="26" name="Shape 26"/>
        <xdr:cNvSpPr/>
      </xdr:nvSpPr>
      <xdr:spPr>
        <a:xfrm>
          <a:off x="4855463" y="3432338"/>
          <a:ext cx="981075" cy="695325"/>
        </a:xfrm>
        <a:prstGeom prst="ellipse">
          <a:avLst/>
        </a:prstGeom>
        <a:solidFill>
          <a:schemeClr val="lt1"/>
        </a:solidFill>
        <a:ln cap="flat" cmpd="sng" w="1270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Calibri"/>
              <a:ea typeface="Calibri"/>
              <a:cs typeface="Calibri"/>
              <a:sym typeface="Calibri"/>
            </a:rPr>
            <a:t>NOT SCE</a:t>
          </a:r>
          <a:endParaRPr sz="1400"/>
        </a:p>
      </xdr:txBody>
    </xdr:sp>
    <xdr:clientData fLocksWithSheet="0"/>
  </xdr:oneCellAnchor>
  <xdr:oneCellAnchor>
    <xdr:from>
      <xdr:col>4</xdr:col>
      <xdr:colOff>523875</xdr:colOff>
      <xdr:row>28</xdr:row>
      <xdr:rowOff>38100</xdr:rowOff>
    </xdr:from>
    <xdr:ext cx="1343025" cy="133350"/>
    <xdr:grpSp>
      <xdr:nvGrpSpPr>
        <xdr:cNvPr id="2" name="Shape 2"/>
        <xdr:cNvGrpSpPr/>
      </xdr:nvGrpSpPr>
      <xdr:grpSpPr>
        <a:xfrm>
          <a:off x="4679250" y="3713325"/>
          <a:ext cx="1333500" cy="133500"/>
          <a:chOff x="4679250" y="3713325"/>
          <a:chExt cx="1333500" cy="133500"/>
        </a:xfrm>
      </xdr:grpSpPr>
      <xdr:cxnSp>
        <xdr:nvCxnSpPr>
          <xdr:cNvPr id="27" name="Shape 27"/>
          <xdr:cNvCxnSpPr>
            <a:stCxn id="23" idx="2"/>
            <a:endCxn id="26" idx="2"/>
          </xdr:cNvCxnSpPr>
        </xdr:nvCxnSpPr>
        <xdr:spPr>
          <a:xfrm>
            <a:off x="4679250" y="3713325"/>
            <a:ext cx="1333500" cy="133500"/>
          </a:xfrm>
          <a:prstGeom prst="bentConnector2">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0</xdr:col>
      <xdr:colOff>542925</xdr:colOff>
      <xdr:row>32</xdr:row>
      <xdr:rowOff>0</xdr:rowOff>
    </xdr:from>
    <xdr:ext cx="1828800" cy="1190625"/>
    <xdr:sp>
      <xdr:nvSpPr>
        <xdr:cNvPr id="28" name="Shape 28"/>
        <xdr:cNvSpPr/>
      </xdr:nvSpPr>
      <xdr:spPr>
        <a:xfrm>
          <a:off x="4436363" y="3189450"/>
          <a:ext cx="1819275" cy="118110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¿El fallo del equipo puede causar liberación</a:t>
          </a:r>
          <a:r>
            <a:rPr lang="en-US" sz="1100">
              <a:solidFill>
                <a:schemeClr val="dk1"/>
              </a:solidFill>
              <a:latin typeface="Calibri"/>
              <a:ea typeface="Calibri"/>
              <a:cs typeface="Calibri"/>
              <a:sym typeface="Calibri"/>
            </a:rPr>
            <a:t> significativa de hidrocarburos, productos químicos peligrosos o energías peligrosas?</a:t>
          </a:r>
          <a:endParaRPr sz="1100"/>
        </a:p>
      </xdr:txBody>
    </xdr:sp>
    <xdr:clientData fLocksWithSheet="0"/>
  </xdr:oneCellAnchor>
  <xdr:oneCellAnchor>
    <xdr:from>
      <xdr:col>3</xdr:col>
      <xdr:colOff>333375</xdr:colOff>
      <xdr:row>32</xdr:row>
      <xdr:rowOff>0</xdr:rowOff>
    </xdr:from>
    <xdr:ext cx="2286000" cy="1190625"/>
    <xdr:sp>
      <xdr:nvSpPr>
        <xdr:cNvPr id="29" name="Shape 29"/>
        <xdr:cNvSpPr/>
      </xdr:nvSpPr>
      <xdr:spPr>
        <a:xfrm>
          <a:off x="4203000" y="3189450"/>
          <a:ext cx="2286000" cy="1181100"/>
        </a:xfrm>
        <a:prstGeom prst="roundRect">
          <a:avLst>
            <a:gd fmla="val 16667" name="adj"/>
          </a:avLst>
        </a:prstGeom>
        <a:solidFill>
          <a:schemeClr val="lt1"/>
        </a:solidFill>
        <a:ln cap="flat" cmpd="sng" w="12700">
          <a:solidFill>
            <a:schemeClr val="accent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¿El</a:t>
          </a:r>
          <a:r>
            <a:rPr lang="en-US" sz="1100">
              <a:solidFill>
                <a:schemeClr val="dk1"/>
              </a:solidFill>
              <a:latin typeface="Calibri"/>
              <a:ea typeface="Calibri"/>
              <a:cs typeface="Calibri"/>
              <a:sym typeface="Calibri"/>
            </a:rPr>
            <a:t> equipo cuenta con protección con el fin de no </a:t>
          </a:r>
          <a:r>
            <a:rPr lang="en-US" sz="1100">
              <a:solidFill>
                <a:schemeClr val="dk1"/>
              </a:solidFill>
              <a:latin typeface="Calibri"/>
              <a:ea typeface="Calibri"/>
              <a:cs typeface="Calibri"/>
              <a:sym typeface="Calibri"/>
            </a:rPr>
            <a:t>causar liberación</a:t>
          </a:r>
          <a:r>
            <a:rPr lang="en-US" sz="1100">
              <a:solidFill>
                <a:schemeClr val="dk1"/>
              </a:solidFill>
              <a:latin typeface="Calibri"/>
              <a:ea typeface="Calibri"/>
              <a:cs typeface="Calibri"/>
              <a:sym typeface="Calibri"/>
            </a:rPr>
            <a:t> significativa de hidrocarburos, productos químicos peligrosos o energías peligrosas?</a:t>
          </a:r>
          <a:endParaRPr sz="1100"/>
        </a:p>
      </xdr:txBody>
    </xdr:sp>
    <xdr:clientData fLocksWithSheet="0"/>
  </xdr:oneCellAnchor>
  <xdr:oneCellAnchor>
    <xdr:from>
      <xdr:col>1</xdr:col>
      <xdr:colOff>676275</xdr:colOff>
      <xdr:row>28</xdr:row>
      <xdr:rowOff>47625</xdr:rowOff>
    </xdr:from>
    <xdr:ext cx="28575" cy="685800"/>
    <xdr:grpSp>
      <xdr:nvGrpSpPr>
        <xdr:cNvPr id="2" name="Shape 2"/>
        <xdr:cNvGrpSpPr/>
      </xdr:nvGrpSpPr>
      <xdr:grpSpPr>
        <a:xfrm>
          <a:off x="5341163" y="3437100"/>
          <a:ext cx="9600" cy="685800"/>
          <a:chOff x="5341163" y="3437100"/>
          <a:chExt cx="9600" cy="685800"/>
        </a:xfrm>
      </xdr:grpSpPr>
      <xdr:cxnSp>
        <xdr:nvCxnSpPr>
          <xdr:cNvPr id="30" name="Shape 30"/>
          <xdr:cNvCxnSpPr>
            <a:stCxn id="21" idx="2"/>
            <a:endCxn id="28" idx="0"/>
          </xdr:cNvCxnSpPr>
        </xdr:nvCxnSpPr>
        <xdr:spPr>
          <a:xfrm flipH="1">
            <a:off x="5341163" y="3437100"/>
            <a:ext cx="9600" cy="68580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6</xdr:col>
      <xdr:colOff>323850</xdr:colOff>
      <xdr:row>30</xdr:row>
      <xdr:rowOff>152400</xdr:rowOff>
    </xdr:from>
    <xdr:ext cx="514350" cy="809625"/>
    <xdr:grpSp>
      <xdr:nvGrpSpPr>
        <xdr:cNvPr id="2" name="Shape 2"/>
        <xdr:cNvGrpSpPr/>
      </xdr:nvGrpSpPr>
      <xdr:grpSpPr>
        <a:xfrm>
          <a:off x="4945988" y="3527550"/>
          <a:ext cx="800100" cy="504900"/>
          <a:chOff x="4945988" y="3527550"/>
          <a:chExt cx="800100" cy="504900"/>
        </a:xfrm>
      </xdr:grpSpPr>
      <xdr:cxnSp>
        <xdr:nvCxnSpPr>
          <xdr:cNvPr id="31" name="Shape 31"/>
          <xdr:cNvCxnSpPr>
            <a:stCxn id="29" idx="3"/>
            <a:endCxn id="26" idx="4"/>
          </xdr:cNvCxnSpPr>
        </xdr:nvCxnSpPr>
        <xdr:spPr>
          <a:xfrm rot="-5400000">
            <a:off x="4945988" y="3527550"/>
            <a:ext cx="800100" cy="504900"/>
          </a:xfrm>
          <a:prstGeom prst="bentConnector2">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4</xdr:col>
      <xdr:colOff>714375</xdr:colOff>
      <xdr:row>25</xdr:row>
      <xdr:rowOff>38100</xdr:rowOff>
    </xdr:from>
    <xdr:ext cx="2343150" cy="2419350"/>
    <xdr:grpSp>
      <xdr:nvGrpSpPr>
        <xdr:cNvPr id="2" name="Shape 2"/>
        <xdr:cNvGrpSpPr/>
      </xdr:nvGrpSpPr>
      <xdr:grpSpPr>
        <a:xfrm>
          <a:off x="4141088" y="2613113"/>
          <a:ext cx="2409900" cy="2333700"/>
          <a:chOff x="4141088" y="2613113"/>
          <a:chExt cx="2409900" cy="2333700"/>
        </a:xfrm>
      </xdr:grpSpPr>
      <xdr:cxnSp>
        <xdr:nvCxnSpPr>
          <xdr:cNvPr id="32" name="Shape 32"/>
          <xdr:cNvCxnSpPr>
            <a:stCxn id="29" idx="2"/>
          </xdr:cNvCxnSpPr>
        </xdr:nvCxnSpPr>
        <xdr:spPr>
          <a:xfrm rot="-5400000">
            <a:off x="4141088" y="2613113"/>
            <a:ext cx="2409900" cy="2333700"/>
          </a:xfrm>
          <a:prstGeom prst="bentConnector3">
            <a:avLst>
              <a:gd fmla="val -9023" name="adj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3</xdr:col>
      <xdr:colOff>76200</xdr:colOff>
      <xdr:row>35</xdr:row>
      <xdr:rowOff>38100</xdr:rowOff>
    </xdr:from>
    <xdr:ext cx="266700" cy="38100"/>
    <xdr:grpSp>
      <xdr:nvGrpSpPr>
        <xdr:cNvPr id="2" name="Shape 2"/>
        <xdr:cNvGrpSpPr/>
      </xdr:nvGrpSpPr>
      <xdr:grpSpPr>
        <a:xfrm>
          <a:off x="5212650" y="3780000"/>
          <a:ext cx="266700" cy="0"/>
          <a:chOff x="5212650" y="3780000"/>
          <a:chExt cx="266700" cy="0"/>
        </a:xfrm>
      </xdr:grpSpPr>
      <xdr:cxnSp>
        <xdr:nvCxnSpPr>
          <xdr:cNvPr id="33" name="Shape 33"/>
          <xdr:cNvCxnSpPr>
            <a:stCxn id="28" idx="3"/>
            <a:endCxn id="29" idx="1"/>
          </xdr:cNvCxnSpPr>
        </xdr:nvCxnSpPr>
        <xdr:spPr>
          <a:xfrm>
            <a:off x="5212650" y="3780000"/>
            <a:ext cx="266700" cy="0"/>
          </a:xfrm>
          <a:prstGeom prst="straightConnector1">
            <a:avLst/>
          </a:prstGeom>
          <a:noFill/>
          <a:ln cap="flat" cmpd="sng" w="9525">
            <a:solidFill>
              <a:schemeClr val="accent1"/>
            </a:solidFill>
            <a:prstDash val="solid"/>
            <a:miter lim="800000"/>
            <a:headEnd len="sm" w="sm" type="none"/>
            <a:tailEnd len="med" w="med" type="triangle"/>
          </a:ln>
        </xdr:spPr>
      </xdr:cxnSp>
    </xdr:grpSp>
    <xdr:clientData fLocksWithSheet="0"/>
  </xdr:oneCellAnchor>
  <xdr:oneCellAnchor>
    <xdr:from>
      <xdr:col>6</xdr:col>
      <xdr:colOff>142875</xdr:colOff>
      <xdr:row>40</xdr:row>
      <xdr:rowOff>104775</xdr:rowOff>
    </xdr:from>
    <xdr:ext cx="990600" cy="704850"/>
    <xdr:sp>
      <xdr:nvSpPr>
        <xdr:cNvPr id="34" name="Shape 34"/>
        <xdr:cNvSpPr/>
      </xdr:nvSpPr>
      <xdr:spPr>
        <a:xfrm>
          <a:off x="4855463" y="3437100"/>
          <a:ext cx="981075" cy="685800"/>
        </a:xfrm>
        <a:prstGeom prst="ellipse">
          <a:avLst/>
        </a:prstGeom>
        <a:solidFill>
          <a:schemeClr val="lt1"/>
        </a:solidFill>
        <a:ln cap="flat" cmpd="sng" w="1270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chemeClr val="dk1"/>
              </a:solidFill>
              <a:latin typeface="Calibri"/>
              <a:ea typeface="Calibri"/>
              <a:cs typeface="Calibri"/>
              <a:sym typeface="Calibri"/>
            </a:rPr>
            <a:t>NOT SCE</a:t>
          </a:r>
          <a:endParaRPr sz="1400"/>
        </a:p>
      </xdr:txBody>
    </xdr:sp>
    <xdr:clientData fLocksWithSheet="0"/>
  </xdr:oneCellAnchor>
  <xdr:oneCellAnchor>
    <xdr:from>
      <xdr:col>1</xdr:col>
      <xdr:colOff>685800</xdr:colOff>
      <xdr:row>38</xdr:row>
      <xdr:rowOff>95250</xdr:rowOff>
    </xdr:from>
    <xdr:ext cx="3276600" cy="723900"/>
    <xdr:grpSp>
      <xdr:nvGrpSpPr>
        <xdr:cNvPr id="2" name="Shape 2"/>
        <xdr:cNvGrpSpPr/>
      </xdr:nvGrpSpPr>
      <xdr:grpSpPr>
        <a:xfrm>
          <a:off x="3712463" y="3422813"/>
          <a:ext cx="3267000" cy="714300"/>
          <a:chOff x="3712463" y="3422813"/>
          <a:chExt cx="3267000" cy="714300"/>
        </a:xfrm>
      </xdr:grpSpPr>
      <xdr:cxnSp>
        <xdr:nvCxnSpPr>
          <xdr:cNvPr id="35" name="Shape 35"/>
          <xdr:cNvCxnSpPr>
            <a:stCxn id="28" idx="2"/>
            <a:endCxn id="34" idx="2"/>
          </xdr:cNvCxnSpPr>
        </xdr:nvCxnSpPr>
        <xdr:spPr>
          <a:xfrm>
            <a:off x="3712463" y="3422813"/>
            <a:ext cx="3267000" cy="714300"/>
          </a:xfrm>
          <a:prstGeom prst="bentConnector2">
            <a:avLst/>
          </a:prstGeom>
          <a:noFill/>
          <a:ln cap="flat" cmpd="sng" w="9525">
            <a:solidFill>
              <a:schemeClr val="accent1"/>
            </a:solidFill>
            <a:prstDash val="solid"/>
            <a:miter lim="800000"/>
            <a:headEnd len="sm" w="sm" type="none"/>
            <a:tailEnd len="med" w="med" type="triangle"/>
          </a:ln>
        </xdr:spPr>
      </xdr:cxn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1</xdr:row>
      <xdr:rowOff>19050</xdr:rowOff>
    </xdr:from>
    <xdr:ext cx="1228725" cy="5619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Users\Compania\Documents\LAPTOP\Documents\ARCHIVOS%20USB\Proyecto%20MINA%20SAN%20J0SE\Documents%20and%20Settings\Romulo%20Davila\Mis%20documentos\U.P.%20Atacocha\P.U.%20ATACOCHA%20ENERO%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t1-nas-01\productividad\presupuestos\Atacocha\2007\Precios%20aesa%20atacocha%20mod%20precios201007fi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acg-wsantos\Compartido\Projects\Tonkin\June00\Report\SH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acg-wsantos\Compartido\Projects\Oxus\Centralny\Schedule\SHED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n/Metal%20Studies/SS/PAUL/METALS/ZnCuNi%20-%20PriceStockIP%20Analy%20-%20UPDATE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n/Metal%20Studies/SS/PAUL/LEAD/LEADLo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Mis%20documentos\LAPTOP\Documents\ARCHIVOS%20USB\Proyecto%20MINA%20SAN%20J0SE\Documents%20and%20Settings\Romulo%20Davila\Mis%20documentos\U.P.%20Atacocha\P.U.%20ATACOCHA%20ENERO%20200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RElgueta/Documents/asesorias/NCL/00%20EDP/Vivar/01_DATOS_PROYECTOS/Al_Panchomsky/Trabajo%20Al_Panchomsky/Donlin%20Creek/PFS%20MiningCost/PFS%20MiningCostSchedule_50k%20valu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AF1016A\MiningCapitalSchedule_50k_V29%20v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RElgueta/Documents/asesorias/NCL/00%20EDP/Rtfile/DocCBaseInv/CBV/Cbv2001/CASO%20BASE%20TRABAJO%20200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0C529C1D\P.U.%20ATACOCHA%20ENERO%202008.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G:\ATACOCHA\2005\Analiis%20Precios%20Unitarios%202005%20Ver%20Atacocha3008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tacocha06\inge\OPERMIN\Analisis%20P.Us%202005\Opermin\PABLO\Macro_precio_unitario.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NALYSTS/98JUN/NETEARN.WK4"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RElgueta/Documents/asesorias/NCL/00%20EDP/AAUKLDN005/HYPERIONAPPS/Central%20Finance/Period%20ended%20March%202001/Quarter%20Report.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tacocha06\inge\OPERMIN\Analisis%20P.Us%202005\Opermin\PreciosUnitariosOpermin$,explotacionjackleg_V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Pacg-rvillon\costos\TEMP\C&#225;lculos\Costos%20Unit\AnalisisCostUnit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G:\rampa%204x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g1-sever\Informes_Empresa\Costos\Varios\Avance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G:\Mis%20documentos\LAPTOP\Documents\ARCHIVOS%20USB\Proyecto%20MINA%20SAN%20J0SE\TEMP\Programa%20Setiembre.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acg-wsantos\Compartido\Files\Guardar\Reportes\Programa%20Setiembre.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h1-mail\SIPP\PLANEAMIENTO\PLAN%20ANUAL\PLAN%202004\A%20LIMA\Plan%2020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ocuments%20and%20Settings/Mario%20Brunetto/Datos%20de%20programa/Microsoft/Excel/CM%20Quellaveco%20v0r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Mis%20documentos\privemil\UNIDAD%20YAULIYACU\Planilla%202001%20Obreros%20(Yauliyacu%20y%20Graton).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CUME~1/bgregory/LOCALS~1/Temp/Temporary%20Directory%202%20for%20OPMincost%20Telfer_M30_793_996_151002.zip/OPMincost%20Telfer%20Stage%203_300402-rev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ocuments%20and%20Settings/ghollett/Desktop/OPM_Damang_run7_Final_10111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G:\Mis%20documentos\LAPTOP\Documents\ARCHIVOS%20USB\Proyecto%20MINA%20SAN%20J0SE\documentos\eml\YAULIYACU\PLANILLAS\Planillas%202003\Planilla%20noviembre-02%20Yauliyacu-Graton.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entral%20Finance/Variance%20Analysis/3q00/Variance%20Analysis%203Q%2000%2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eko%20Diq/Phil%20Wilson/Barrick%20Stuff/RekoDiq_2009Budget%20LOM%20Model_v1.4.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OCUME~1/bgregory/LOCALS~1/Temp/Temporary%20Directory%202%20for%20OPMincost%20Telfer_M30_793_996_151002.zip/OPMincost%20Telfer%20Stage%203_ros_2003_lmh.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DOCUME~1/bgregory/LOCALS~1/Temp/Temporary%20Directory%202%20for%20OPMincost%20Telfer_M30_793_996_151002.zip/OPMincost%20Telfer%20Stage%203_ros_1103_3.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Mis%20documentos\MINAS\PRESUPUESTO%202005\ARES\Eval.Econ&#243;mica%20Ares%20Proy.05_Con%20Distrib%20SAP.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Minnrussxp\atacocha\marsa\pptopreliminar050805.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Users/carlos.rodriguez/AppData/Local/Microsoft/Windows/INetCache/Content.Outlook/W88HB8WJ/Valorizacion%20Detenci&#243;n%20Planta%20Procesos.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G:\atacocha%20270505\atacocha\2005\nuevos%20precios%20profundizaci&#243;n%20mina%20190505%20obmin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tacocha06\inge\Documents%20and%20Settings\Rolando%20Tejada%20Z\Configuraci&#243;n%20local\Archivos%20temporales%20de%20Internet\Content.IE5\V3HVBH4W\nuevos%20precios%20profundizaci&#243;n%20mina%20270505%20(version%2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G:\Mis%20documentos\LAPTOP\Documents\ARCHIVOS%20USB\Proyecto%20MINA%20SAN%20J0SE\documentos\eml\YAULIYACU\PLANILLAS\Planillas2002\Planilla%20setiembre-02%20Yauliyacu-Graton.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G:\Mis%20documentos\DOCUME~1\LKIRS~1.HOC\CONFIG~1\Temp\notes77675C\DOCUME~1\GHUALL~1.HOC\Temp\notesEA312D\METAS%20FISICAS%20PRESUPUESTO%202007%20final%20imprimir.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ESTAD_CAUSA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G:\ATACOCHA\2005\Proyectos%20profundizaci&#243;n%20(CMA)05080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G:\Mis%20documentos\LAPTOP\Documents\ARCHIVOS%20USB\Proyecto%20MINA%20SAN%20J0SE\LENY\EJECUTORES\PLANILLAS\NUEVO%20PLANILLAS%202006\Planilla%20julio%2006%20modificada%20III.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G:\Documents%20and%20Settings\MINJPOMA\Configuraci&#243;n%20local\Archivos%20temporales%20de%20Internet\OLK4\Presupuesto_Minsur_2005_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Aesa34\plalhern\PLALHERN\PLANEAMIENTO\DATOS%20-%20CONTRATOS%20VALORIZACION\PRECIOS%20%20UNITARIOS%20%20ATACOCHA%20%20-%20JULIO%2005\Proyectos%20profundizaci&#243;n%20(CMA)050805.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Aesa34\plalhern\PLALHERN\PLANEAMIENTO\DATOS%20-%20CONTRATOS%20VALORIZACION\DATOS%20-%20CONTRATOS%20VALORIZACION\valorizacion%20final%20don%20paco%20-%2025-08-0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Trabajos/M-002-01/Evaluaciones/182%20Total/182%20C_DUREZA/Eval%20Economica%20182_CD%20.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0758202A\Reporte%20Avances%20Lineales%2006%20Sinaycocha.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G:\backup\jpoma\aesaminera\presupuestos\MINSUR\2005\Copia%20de%20Presupuesto_Minsur_2005_I080405.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studioserv\Propuestas%20Activas\ME01104-%20Reservas%20Norte%20Andesita\Estudio%20Econ&#243;mico\Cierre%20y%20GG%20a%20Presto%2003-Modif..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G"/>
      <sheetName val="Precio Mat_impl seg_herr"/>
      <sheetName val="Resumen avances"/>
      <sheetName val="Impl Seg"/>
      <sheetName val="Herram"/>
      <sheetName val="Material (2)"/>
      <sheetName val="M.O."/>
      <sheetName val="BBSS"/>
      <sheetName val="Rp 4x4(-)D-D"/>
      <sheetName val="Rp 4x3.5(-)D-D"/>
      <sheetName val="Rp 3.5x3.5(-)D-D"/>
      <sheetName val="Rp 3.0x3.0(-)D-D"/>
      <sheetName val="Rp 4x4(+)D-D"/>
      <sheetName val="Rp 4x3.5(+)D-D"/>
      <sheetName val="Rp 3.5x3.5(+)D-D"/>
      <sheetName val="Rp 3.0x3.0(+)D-D"/>
      <sheetName val="Rp 4x4(-)M-D"/>
      <sheetName val="Rp 4x3.5(-)M-D"/>
      <sheetName val="Rp 3.5x3.5(-)M-D"/>
      <sheetName val="Rp 3.0x3.0(-)M-D"/>
      <sheetName val="Rp 4x4(+)M-D"/>
      <sheetName val="Rp 4x3.5(+)M-D"/>
      <sheetName val="Rp 3.5x3.5(+)M-D"/>
      <sheetName val="Rp 3.0x3.0(+)M-D"/>
      <sheetName val="Rp 4x4(-)D-E"/>
      <sheetName val="Rp 4x3.5(-)D-E"/>
      <sheetName val="Rp 3.5x3.5(-)D-E"/>
      <sheetName val="Rp 3.0x3.0(-)D-E"/>
      <sheetName val="Rp 4x4(+)D-E"/>
      <sheetName val="Rp 4x3.5(+)D-E"/>
      <sheetName val="Rp 3.5x3.5(+)D-E"/>
      <sheetName val="Rp 3.0x3.0(+)D-E"/>
      <sheetName val="Rp 4x4(-)M-E"/>
      <sheetName val="Rp 4x3.5(-)M-E"/>
      <sheetName val="Rp 3.5x3.5(-)M-E"/>
      <sheetName val="Rp 3.0x3.0(-)M-E"/>
      <sheetName val="Rp 4x4(+)M-E"/>
      <sheetName val="Rp 4x3.5(+)M-E"/>
      <sheetName val="Rp 3.5x3.5(+)M-E"/>
      <sheetName val="Rp 3.0x3.0(+)M-E"/>
      <sheetName val="Cr-Ga 4x4D-D"/>
      <sheetName val="Cr-Ga 4x3.5D-D"/>
      <sheetName val="Cr-Ga 3.5x3.5D-D"/>
      <sheetName val="Cr-Ga 3x3.5D-D"/>
      <sheetName val="Cr-Ga 3.0x3.0D-D"/>
      <sheetName val="Cr-Ga 4x4M-D"/>
      <sheetName val="Cr-Ga 4x3.5M-D"/>
      <sheetName val="Cr-Ga 3.5x3.5M-D"/>
      <sheetName val="Cr-Ga 3x3.5M-D"/>
      <sheetName val="Cr-Ga 3.0x3.0M-D"/>
      <sheetName val="Cr-Ga 4x4D-E"/>
      <sheetName val="Cr-Ga 4x3.5D-E"/>
      <sheetName val="Cr-Ga 3.5x3.5D-E"/>
      <sheetName val="Cr-Ga 3x3.5D-E"/>
      <sheetName val="Cr-Ga 3.0x3.0D-E"/>
      <sheetName val="Cr-Ga 4x4M-E"/>
      <sheetName val="Cr-Ga 4x3.5M-E"/>
      <sheetName val="Cr-Ga 3.5x3.5M-E"/>
      <sheetName val="Cr-Ga 3x3.5M-E"/>
      <sheetName val="Cr-Ga 3.0x3.0M-E"/>
      <sheetName val="Sn 3.5x3.5D-D"/>
      <sheetName val="Sn 3x3.5D-D"/>
      <sheetName val="Sn 3.0x3.0D-D"/>
      <sheetName val="Sn 3.5x3.5M-D"/>
      <sheetName val="Sn 3x3.5M-D"/>
      <sheetName val="Sn 3.0x3.0M-D"/>
      <sheetName val="Sn 3.5x3.5D-E"/>
      <sheetName val="Sn 3x3.5D-E"/>
      <sheetName val="Sn 3.0x3.0D-E"/>
      <sheetName val="Sn 3.5x3.5M-E"/>
      <sheetName val="Sn 3x3.5M-E"/>
      <sheetName val="Sn 3.0x3.0M-E"/>
      <sheetName val="Gl-Cr Conv 3.5x3.5D-D"/>
      <sheetName val="Gl-Cr Conv 3.0x3.5D-D"/>
      <sheetName val="Gl-Cr Conv 3.0x3.0D-D"/>
      <sheetName val="Gl-Cr Conv 2.4x2.7D-D"/>
      <sheetName val="Gl-Cr Conv 3.5x3.5M-D"/>
      <sheetName val="Gl-Cr Conv 3.0x3.5M-D"/>
      <sheetName val="GL-Cr Conv 3.0x3.0M-D"/>
      <sheetName val="Gl-Cr Conv 2.4x2.7M-D"/>
      <sheetName val="Gl-Cr Conv 3.5x3.5D-E"/>
      <sheetName val="Gl-Cr Conv 3.0x3.5D-E"/>
      <sheetName val="Gl-Cr Conv 3.0x3.0D-E"/>
      <sheetName val="Gl-Cr Conv 2.4x2.7D-E"/>
      <sheetName val="GL-Cr Conv 3.5x3.5M-E"/>
      <sheetName val="GL-Cr Conv 3.0x3.5M-E"/>
      <sheetName val="Gl-Cr Conv 3.0x3.0M-E"/>
      <sheetName val="Gl-Cr Conv 2.4x2.7M-E"/>
      <sheetName val="Sn Conv 3.0x3.5D-D"/>
      <sheetName val="Sn Conv 3.0x3.0D-D"/>
      <sheetName val="Sn Conv 2.4x2.7D-D"/>
      <sheetName val="2.4x2.7 winche D-D"/>
      <sheetName val="Sn Conv 3.0x3.5M-D"/>
      <sheetName val="Sn Conv 3.0x3.0M-D"/>
      <sheetName val="Sn Conv 2.4x2.7M-D"/>
      <sheetName val="2.4x2.7 winche M-D"/>
      <sheetName val="Sn Conv 3.0x3.5D-E"/>
      <sheetName val="Sn Conv 3.0x3.0D-E"/>
      <sheetName val="Sn Conv 2.4x2.7D-E"/>
      <sheetName val="2.4x2.7 winche D-E"/>
      <sheetName val="Sn Conv 3.0x3.5M-E"/>
      <sheetName val="Sn Conv 3.0x3.0M-E"/>
      <sheetName val="Sn Conv 2.4x2.7M-E"/>
      <sheetName val="2.4x2.7 winche M-E"/>
      <sheetName val="M.Brst D-D M"/>
      <sheetName val="M.Brst D-D D"/>
      <sheetName val="M.Brst M-D M"/>
      <sheetName val="M.Brst M-D D"/>
      <sheetName val="M.Brst D-E M"/>
      <sheetName val="M.Brst D-E D"/>
      <sheetName val="M.Brst M-E M"/>
      <sheetName val="M.Brst M-E D"/>
      <sheetName val="Explot 300-1000m3 D"/>
      <sheetName val="Explot 1001-2000m3 D"/>
      <sheetName val="Explot 300-1000m3 E"/>
      <sheetName val="Explot 1001-2000m3 E"/>
      <sheetName val="Desquinche jumbo"/>
      <sheetName val="Min Conv D M 1"/>
      <sheetName val="Min Conv D D 1"/>
      <sheetName val="Min Conv E M 1"/>
      <sheetName val="Min Conv E D 1"/>
      <sheetName val="Min Conv D M Scp"/>
      <sheetName val="Min Conv D D Scp"/>
      <sheetName val="Min Conv E M Scp"/>
      <sheetName val="Min Conv E D Scp"/>
      <sheetName val="Min Conv Men 2,2 m"/>
      <sheetName val="Min Conv May 2,2 m"/>
      <sheetName val="Ch Conv 1.5 x 1.5"/>
      <sheetName val="Ch Conv 1.5 x 3.0"/>
      <sheetName val="Ch Conv 2.1 x 2.1"/>
      <sheetName val="Split 7p"/>
      <sheetName val="Split 5p"/>
      <sheetName val="Split 7p+Mall"/>
      <sheetName val="Split 5p+Mall"/>
      <sheetName val="Pern FeHe 2.1 Cemb"/>
      <sheetName val="Pern FeHe 2.1 Cem+Res"/>
      <sheetName val="Pern FeHe 2.1 Cemb+Mall"/>
      <sheetName val="Pern FeHe 2.1 Cem+Res+Mall"/>
      <sheetName val="Pern FeCo 5p Cemb"/>
      <sheetName val="Pern FeCo 5p Cem+Res"/>
      <sheetName val="Pern FeCo 5p Cemb+Mall"/>
      <sheetName val="Pern FeCo  5p Cem+Res+Mall"/>
      <sheetName val="Cuadro de madera"/>
      <sheetName val="Cuadro cojo"/>
      <sheetName val="Cortina madera"/>
      <sheetName val="Puntal de caja"/>
      <sheetName val="Instal parrilla"/>
      <sheetName val="Enrejado madera"/>
      <sheetName val="Longarina 8 a 10 pies"/>
      <sheetName val="Cuneta 0.5x0.5"/>
      <sheetName val="Cuneta 0.4x04"/>
      <sheetName val="Acarreo scoop 3.5yd3"/>
      <sheetName val="Acarreo scoop 2.5yd3"/>
      <sheetName val="Relleno detrítico"/>
      <sheetName val="Alquiler bomba Major"/>
      <sheetName val="Tarea operad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sESC"/>
      <sheetName val="CF reclamo"/>
      <sheetName val="GGAESA (2)"/>
      <sheetName val="GG07revCMA"/>
      <sheetName val="GG07reclamo"/>
      <sheetName val="Val Atacocha 07"/>
      <sheetName val="PRORRATEO"/>
      <sheetName val="Resumen"/>
      <sheetName val="Rescomp (2)"/>
      <sheetName val="Rescomp"/>
      <sheetName val="Resfinal"/>
      <sheetName val="resume"/>
      <sheetName val="GG07pres"/>
      <sheetName val="Rpa 4x4(-)"/>
      <sheetName val="Rpa 35x35(-)"/>
      <sheetName val="Rpa 4x4 (+)"/>
      <sheetName val="Rpa 3.5x3.5(+)"/>
      <sheetName val="Gal 4x4 "/>
      <sheetName val="Gal 3.5x3"/>
      <sheetName val="Gal 3x3"/>
      <sheetName val="Gal 4x3.5"/>
      <sheetName val="Poz5x4"/>
      <sheetName val="Ch1.5x1.5"/>
      <sheetName val="Gal3.5x3.5"/>
      <sheetName val="Rpa 45x4(-)"/>
      <sheetName val="Rpa 4x4CURVA"/>
      <sheetName val="Rpa 3.5x3.5(+)CURV"/>
      <sheetName val="Gal2x2JL"/>
      <sheetName val="Gal35x3JL"/>
      <sheetName val="Gal35x35JL"/>
      <sheetName val="Gal4x35JL"/>
      <sheetName val="Gal4x4JL"/>
      <sheetName val="BreastminEX"/>
      <sheetName val="BreastdesEX"/>
      <sheetName val="Shotcr 2&quot;+Transp"/>
      <sheetName val="shotcre3&quot;+Transp"/>
      <sheetName val="DUMPER (2)"/>
      <sheetName val="DesquinchesM"/>
      <sheetName val="DesquinchesD"/>
      <sheetName val="Perno"/>
      <sheetName val="Pernomalla"/>
      <sheetName val="split7"/>
      <sheetName val="splitymalla"/>
      <sheetName val="Cimbr 3.5x3.5"/>
      <sheetName val="Cimbr 4x3.5"/>
      <sheetName val="Cimbr 4x4"/>
      <sheetName val="Plancha"/>
      <sheetName val="Bolsacret"/>
      <sheetName val="Encof-Descf"/>
      <sheetName val="Concreto"/>
      <sheetName val="cunet50x50"/>
      <sheetName val="cunet40x40"/>
      <sheetName val="Ac Scoop"/>
      <sheetName val="tarea"/>
      <sheetName val="BBSS"/>
      <sheetName val="EPP"/>
      <sheetName val="GG (2)"/>
      <sheetName val="GGAESA"/>
      <sheetName val="Lista de Equipos"/>
      <sheetName val="GG"/>
      <sheetName val="Bolsacret2006"/>
      <sheetName val="Referencias"/>
      <sheetName val="Tnasp Dump (2)"/>
      <sheetName val="Shotcr2&quot;+Sin Transp"/>
      <sheetName val="Shotcre3&quot;+sin Transp"/>
      <sheetName val="INSTAL. RILES-SCOOP"/>
      <sheetName val="LINEA TROLLEY"/>
      <sheetName val="ST2d"/>
      <sheetName val="st1000"/>
      <sheetName val="ST4yd3"/>
      <sheetName val="3.5yd"/>
      <sheetName val="JDT"/>
      <sheetName val="H282"/>
      <sheetName val="Herramientas"/>
      <sheetName val="Insumos"/>
      <sheetName val="fabalctub4"/>
      <sheetName val="fabalctub2"/>
      <sheetName val="fabalctubcab"/>
      <sheetName val="intalc"/>
      <sheetName val="Equipo Auxiliar"/>
      <sheetName val="Costos  Fijos"/>
      <sheetName val="Observaciones"/>
      <sheetName val="Ho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1_1"/>
      <sheetName val="T1_2"/>
      <sheetName val="T1_3"/>
      <sheetName val="T1_4"/>
      <sheetName val="T1_5"/>
      <sheetName val="RO_1"/>
      <sheetName val="RO_3"/>
      <sheetName val="RO_4"/>
      <sheetName val="RO_5"/>
      <sheetName val="RO_7"/>
      <sheetName val="O_15"/>
      <sheetName val="TSP4"/>
      <sheetName val="T4_2"/>
      <sheetName val="T4_4"/>
      <sheetName val="Shed_Work"/>
      <sheetName val="Shed_Data"/>
      <sheetName val="Shed_Columnar"/>
      <sheetName val="Plan Mineral 2009"/>
      <sheetName val="PRODUCC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IT_1_1"/>
      <sheetName val="PIT_1_2"/>
      <sheetName val="PIT2"/>
      <sheetName val="PIT3"/>
      <sheetName val="PIT4"/>
      <sheetName val="UZ"/>
      <sheetName val="VIZ4"/>
      <sheetName val="VIZ7"/>
      <sheetName val="Shed"/>
      <sheetName val="ShedRows"/>
      <sheetName val="ShedRows_Old"/>
      <sheetName val="Hoja3"/>
      <sheetName val="11.Mantenimiento"/>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refreshError="1"/>
      <sheetData sheetId="12"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Zn"/>
      <sheetName val="ZnLevel"/>
      <sheetName val="Cu"/>
      <sheetName val="CuLevel"/>
      <sheetName val="Ni"/>
      <sheetName val="NiLevel"/>
      <sheetName val="IP Chart Q"/>
      <sheetName val="IP Chart Yr"/>
      <sheetName val="IP"/>
    </sheetNames>
    <sheetDataSet>
      <sheetData sheetId="0"/>
      <sheetData sheetId="1" refreshError="1"/>
      <sheetData sheetId="2"/>
      <sheetData sheetId="3" refreshError="1"/>
      <sheetData sheetId="4"/>
      <sheetData sheetId="5" refreshError="1"/>
      <sheetData sheetId="6" refreshError="1"/>
      <sheetData sheetId="7" refreshError="1"/>
      <sheetData sheetId="8"/>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ine"/>
      <sheetName val="Refprod2"/>
      <sheetName val="LEAD"/>
      <sheetName val="refprod"/>
    </sheetNames>
    <sheetDataSet>
      <sheetData sheetId="0" refreshError="1"/>
      <sheetData sheetId="1" refreshError="1"/>
      <sheetData sheetId="2"/>
      <sheetData sheetId="3" refreshError="1"/>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G"/>
      <sheetName val="Precio Mat_impl seg_herr"/>
      <sheetName val="Resumen avances"/>
      <sheetName val="Impl Seg"/>
      <sheetName val="Herram"/>
      <sheetName val="Material (2)"/>
      <sheetName val="M.O."/>
      <sheetName val="BBSS"/>
      <sheetName val="Rp 4x4(-)D-D"/>
      <sheetName val="Rp 4x3.5(-)D-D"/>
      <sheetName val="Rp 3.5x3.5(-)D-D"/>
      <sheetName val="Rp 3.0x3.0(-)D-D"/>
      <sheetName val="Rp 4x4(+)D-D"/>
      <sheetName val="Rp 4x3.5(+)D-D"/>
      <sheetName val="Rp 3.5x3.5(+)D-D"/>
      <sheetName val="Rp 3.0x3.0(+)D-D"/>
      <sheetName val="Rp 4x4(-)M-D"/>
      <sheetName val="Rp 4x3.5(-)M-D"/>
      <sheetName val="Rp 3.5x3.5(-)M-D"/>
      <sheetName val="Rp 3.0x3.0(-)M-D"/>
      <sheetName val="Rp 4x4(+)M-D"/>
      <sheetName val="Rp 4x3.5(+)M-D"/>
      <sheetName val="Rp 3.5x3.5(+)M-D"/>
      <sheetName val="Rp 3.0x3.0(+)M-D"/>
      <sheetName val="Rp 4x4(-)D-E"/>
      <sheetName val="Rp 4x3.5(-)D-E"/>
      <sheetName val="Rp 3.5x3.5(-)D-E"/>
      <sheetName val="Rp 3.0x3.0(-)D-E"/>
      <sheetName val="Rp 4x4(+)D-E"/>
      <sheetName val="Rp 4x3.5(+)D-E"/>
      <sheetName val="Rp 3.5x3.5(+)D-E"/>
      <sheetName val="Rp 3.0x3.0(+)D-E"/>
      <sheetName val="Rp 4x4(-)M-E"/>
      <sheetName val="Rp 4x3.5(-)M-E"/>
      <sheetName val="Rp 3.5x3.5(-)M-E"/>
      <sheetName val="Rp 3.0x3.0(-)M-E"/>
      <sheetName val="Rp 4x4(+)M-E"/>
      <sheetName val="Rp 4x3.5(+)M-E"/>
      <sheetName val="Rp 3.5x3.5(+)M-E"/>
      <sheetName val="Rp 3.0x3.0(+)M-E"/>
      <sheetName val="Cr-Ga 4x4D-D"/>
      <sheetName val="Cr-Ga 4x3.5D-D"/>
      <sheetName val="Cr-Ga 3.5x3.5D-D"/>
      <sheetName val="Cr-Ga 3x3.5D-D"/>
      <sheetName val="Cr-Ga 3.0x3.0D-D"/>
      <sheetName val="Cr-Ga 4x4M-D"/>
      <sheetName val="Cr-Ga 4x3.5M-D"/>
      <sheetName val="Cr-Ga 3.5x3.5M-D"/>
      <sheetName val="Cr-Ga 3x3.5M-D"/>
      <sheetName val="Cr-Ga 3.0x3.0M-D"/>
      <sheetName val="Cr-Ga 4x4D-E"/>
      <sheetName val="Cr-Ga 4x3.5D-E"/>
      <sheetName val="Cr-Ga 3.5x3.5D-E"/>
      <sheetName val="Cr-Ga 3x3.5D-E"/>
      <sheetName val="Cr-Ga 3.0x3.0D-E"/>
      <sheetName val="Cr-Ga 4x4M-E"/>
      <sheetName val="Cr-Ga 4x3.5M-E"/>
      <sheetName val="Cr-Ga 3.5x3.5M-E"/>
      <sheetName val="Cr-Ga 3x3.5M-E"/>
      <sheetName val="Cr-Ga 3.0x3.0M-E"/>
      <sheetName val="Sn 3.5x3.5D-D"/>
      <sheetName val="Sn 3x3.5D-D"/>
      <sheetName val="Sn 3.0x3.0D-D"/>
      <sheetName val="Sn 3.5x3.5M-D"/>
      <sheetName val="Sn 3x3.5M-D"/>
      <sheetName val="Sn 3.0x3.0M-D"/>
      <sheetName val="Sn 3.5x3.5D-E"/>
      <sheetName val="Sn 3x3.5D-E"/>
      <sheetName val="Sn 3.0x3.0D-E"/>
      <sheetName val="Sn 3.5x3.5M-E"/>
      <sheetName val="Sn 3x3.5M-E"/>
      <sheetName val="Sn 3.0x3.0M-E"/>
      <sheetName val="Gl-Cr Conv 3.5x3.5D-D"/>
      <sheetName val="Gl-Cr Conv 3.0x3.5D-D"/>
      <sheetName val="Gl-Cr Conv 3.0x3.0D-D"/>
      <sheetName val="Gl-Cr Conv 2.4x2.7D-D"/>
      <sheetName val="Gl-Cr Conv 3.5x3.5M-D"/>
      <sheetName val="Gl-Cr Conv 3.0x3.5M-D"/>
      <sheetName val="GL-Cr Conv 3.0x3.0M-D"/>
      <sheetName val="Gl-Cr Conv 2.4x2.7M-D"/>
      <sheetName val="Gl-Cr Conv 3.5x3.5D-E"/>
      <sheetName val="Gl-Cr Conv 3.0x3.5D-E"/>
      <sheetName val="Gl-Cr Conv 3.0x3.0D-E"/>
      <sheetName val="Gl-Cr Conv 2.4x2.7D-E"/>
      <sheetName val="GL-Cr Conv 3.5x3.5M-E"/>
      <sheetName val="GL-Cr Conv 3.0x3.5M-E"/>
      <sheetName val="Gl-Cr Conv 3.0x3.0M-E"/>
      <sheetName val="Gl-Cr Conv 2.4x2.7M-E"/>
      <sheetName val="Sn Conv 3.0x3.5D-D"/>
      <sheetName val="Sn Conv 3.0x3.0D-D"/>
      <sheetName val="Sn Conv 2.4x2.7D-D"/>
      <sheetName val="2.4x2.7 winche D-D"/>
      <sheetName val="Sn Conv 3.0x3.5M-D"/>
      <sheetName val="Sn Conv 3.0x3.0M-D"/>
      <sheetName val="Sn Conv 2.4x2.7M-D"/>
      <sheetName val="2.4x2.7 winche M-D"/>
      <sheetName val="Sn Conv 3.0x3.5D-E"/>
      <sheetName val="Sn Conv 3.0x3.0D-E"/>
      <sheetName val="Sn Conv 2.4x2.7D-E"/>
      <sheetName val="2.4x2.7 winche D-E"/>
      <sheetName val="Sn Conv 3.0x3.5M-E"/>
      <sheetName val="Sn Conv 3.0x3.0M-E"/>
      <sheetName val="Sn Conv 2.4x2.7M-E"/>
      <sheetName val="2.4x2.7 winche M-E"/>
      <sheetName val="M.Brst D-D M"/>
      <sheetName val="M.Brst D-D D"/>
      <sheetName val="M.Brst M-D M"/>
      <sheetName val="M.Brst M-D D"/>
      <sheetName val="M.Brst D-E M"/>
      <sheetName val="M.Brst D-E D"/>
      <sheetName val="M.Brst M-E M"/>
      <sheetName val="M.Brst M-E D"/>
      <sheetName val="Explot 300-1000m3 D"/>
      <sheetName val="Explot 1001-2000m3 D"/>
      <sheetName val="Explot 300-1000m3 E"/>
      <sheetName val="Explot 1001-2000m3 E"/>
      <sheetName val="Desquinche jumbo"/>
      <sheetName val="Min Conv D M 1"/>
      <sheetName val="Min Conv D D 1"/>
      <sheetName val="Min Conv E M 1"/>
      <sheetName val="Min Conv E D 1"/>
      <sheetName val="Min Conv D M Scp"/>
      <sheetName val="Min Conv D D Scp"/>
      <sheetName val="Min Conv E M Scp"/>
      <sheetName val="Min Conv E D Scp"/>
      <sheetName val="Min Conv Men 2,2 m"/>
      <sheetName val="Min Conv May 2,2 m"/>
      <sheetName val="Ch Conv 1.5 x 1.5"/>
      <sheetName val="Ch Conv 1.5 x 3.0"/>
      <sheetName val="Ch Conv 2.1 x 2.1"/>
      <sheetName val="Split 7p"/>
      <sheetName val="Split 5p"/>
      <sheetName val="Split 7p+Mall"/>
      <sheetName val="Split 5p+Mall"/>
      <sheetName val="Pern FeHe 2.1 Cemb"/>
      <sheetName val="Pern FeHe 2.1 Cem+Res"/>
      <sheetName val="Pern FeHe 2.1 Cemb+Mall"/>
      <sheetName val="Pern FeHe 2.1 Cem+Res+Mall"/>
      <sheetName val="Pern FeCo 5p Cemb"/>
      <sheetName val="Pern FeCo 5p Cem+Res"/>
      <sheetName val="Pern FeCo 5p Cemb+Mall"/>
      <sheetName val="Pern FeCo  5p Cem+Res+Mall"/>
      <sheetName val="Cuadro de madera"/>
      <sheetName val="Cuadro cojo"/>
      <sheetName val="Cortina madera"/>
      <sheetName val="Puntal de caja"/>
      <sheetName val="Instal parrilla"/>
      <sheetName val="Enrejado madera"/>
      <sheetName val="Longarina 8 a 10 pies"/>
      <sheetName val="Cuneta 0.5x0.5"/>
      <sheetName val="Cuneta 0.4x04"/>
      <sheetName val="Acarreo scoop 3.5yd3"/>
      <sheetName val="Acarreo scoop 2.5yd3"/>
      <sheetName val="Relleno detrítico"/>
      <sheetName val="Alquiler bomba Major"/>
      <sheetName val="Tarea operador"/>
    </sheetNames>
    <sheetDataSet>
      <sheetData sheetId="0"/>
      <sheetData sheetId="1" refreshError="1"/>
      <sheetData sheetId="2" refreshError="1"/>
      <sheetData sheetId="3"/>
      <sheetData sheetId="4"/>
      <sheetData sheetId="5"/>
      <sheetData sheetId="6"/>
      <sheetData sheetId="7"/>
      <sheetData sheetId="8"/>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oad 2"/>
      <sheetName val="Material Forecast"/>
      <sheetName val="d&amp;b"/>
    </sheetNames>
    <sheetDataSet>
      <sheetData sheetId="0" refreshError="1"/>
      <sheetData sheetId="1" refreshError="1"/>
      <sheetData sheetId="2" refreshError="1"/>
    </sheetDataSet>
  </externalBook>
</externalLink>
</file>

<file path=xl/externalLinks/externalLink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oading equipment"/>
    </sheetNames>
    <sheetDataSet>
      <sheetData sheetId="0" refreshError="1"/>
    </sheetDataSet>
  </externalBook>
</externalLink>
</file>

<file path=xl/externalLinks/externalLink1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sumen Ejec"/>
      <sheetName val="Costos"/>
      <sheetName val="Depreciacion"/>
      <sheetName val="Flujo"/>
      <sheetName val="Ingresos"/>
      <sheetName val="Tabla Comparativ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G"/>
      <sheetName val="Precio Mat_impl seg_herr"/>
      <sheetName val="Resumen avances"/>
      <sheetName val="Impl Seg"/>
      <sheetName val="Herram"/>
      <sheetName val="Material (2)"/>
      <sheetName val="M.O."/>
      <sheetName val="BBSS"/>
      <sheetName val="Rp 4x4(-)D-D"/>
      <sheetName val="Rp 4x3.5(-)D-D"/>
      <sheetName val="Rp 3.5x3.5(-)D-D"/>
      <sheetName val="Rp 3.0x3.0(-)D-D"/>
      <sheetName val="Rp 4x4(+)D-D"/>
      <sheetName val="Rp 4x3.5(+)D-D"/>
      <sheetName val="Rp 3.5x3.5(+)D-D"/>
      <sheetName val="Rp 3.0x3.0(+)D-D"/>
      <sheetName val="Rp 4x4(-)M-D"/>
      <sheetName val="Rp 4x3.5(-)M-D"/>
      <sheetName val="Rp 3.5x3.5(-)M-D"/>
      <sheetName val="Rp 3.0x3.0(-)M-D"/>
      <sheetName val="Rp 4x4(+)M-D"/>
      <sheetName val="Rp 4x3.5(+)M-D"/>
      <sheetName val="Rp 3.5x3.5(+)M-D"/>
      <sheetName val="Rp 3.0x3.0(+)M-D"/>
      <sheetName val="Rp 4x4(-)D-E"/>
      <sheetName val="Rp 4x3.5(-)D-E"/>
      <sheetName val="Rp 3.5x3.5(-)D-E"/>
      <sheetName val="Rp 3.0x3.0(-)D-E"/>
      <sheetName val="Rp 4x4(+)D-E"/>
      <sheetName val="Rp 4x3.5(+)D-E"/>
      <sheetName val="Rp 3.5x3.5(+)D-E"/>
      <sheetName val="Rp 3.0x3.0(+)D-E"/>
      <sheetName val="Rp 4x4(-)M-E"/>
      <sheetName val="Rp 4x3.5(-)M-E"/>
      <sheetName val="Rp 3.5x3.5(-)M-E"/>
      <sheetName val="Rp 3.0x3.0(-)M-E"/>
      <sheetName val="Rp 4x4(+)M-E"/>
      <sheetName val="Rp 4x3.5(+)M-E"/>
      <sheetName val="Rp 3.5x3.5(+)M-E"/>
      <sheetName val="Rp 3.0x3.0(+)M-E"/>
      <sheetName val="Cr-Ga 4x4D-D"/>
      <sheetName val="Cr-Ga 4x3.5D-D"/>
      <sheetName val="Cr-Ga 3.5x3.5D-D"/>
      <sheetName val="Cr-Ga 3x3.5D-D"/>
      <sheetName val="Cr-Ga 3.0x3.0D-D"/>
      <sheetName val="Cr-Ga 4x4M-D"/>
      <sheetName val="Cr-Ga 4x3.5M-D"/>
      <sheetName val="Cr-Ga 3.5x3.5M-D"/>
      <sheetName val="Cr-Ga 3x3.5M-D"/>
      <sheetName val="Cr-Ga 3.0x3.0M-D"/>
      <sheetName val="Cr-Ga 4x4D-E"/>
      <sheetName val="Cr-Ga 4x3.5D-E"/>
      <sheetName val="Cr-Ga 3.5x3.5D-E"/>
      <sheetName val="Cr-Ga 3x3.5D-E"/>
      <sheetName val="Cr-Ga 3.0x3.0D-E"/>
      <sheetName val="Cr-Ga 4x4M-E"/>
      <sheetName val="Cr-Ga 4x3.5M-E"/>
      <sheetName val="Cr-Ga 3.5x3.5M-E"/>
      <sheetName val="Cr-Ga 3x3.5M-E"/>
      <sheetName val="Cr-Ga 3.0x3.0M-E"/>
      <sheetName val="Sn 3.5x3.5D-D"/>
      <sheetName val="Sn 3x3.5D-D"/>
      <sheetName val="Sn 3.0x3.0D-D"/>
      <sheetName val="Sn 3.5x3.5M-D"/>
      <sheetName val="Sn 3x3.5M-D"/>
      <sheetName val="Sn 3.0x3.0M-D"/>
      <sheetName val="Sn 3.5x3.5D-E"/>
      <sheetName val="Sn 3x3.5D-E"/>
      <sheetName val="Sn 3.0x3.0D-E"/>
      <sheetName val="Sn 3.5x3.5M-E"/>
      <sheetName val="Sn 3x3.5M-E"/>
      <sheetName val="Sn 3.0x3.0M-E"/>
      <sheetName val="Gl-Cr Conv 3.5x3.5D-D"/>
      <sheetName val="Gl-Cr Conv 3.0x3.5D-D"/>
      <sheetName val="Gl-Cr Conv 3.0x3.0D-D"/>
      <sheetName val="Gl-Cr Conv 2.4x2.7D-D"/>
      <sheetName val="Gl-Cr Conv 3.5x3.5M-D"/>
      <sheetName val="Gl-Cr Conv 3.0x3.5M-D"/>
      <sheetName val="GL-Cr Conv 3.0x3.0M-D"/>
      <sheetName val="Gl-Cr Conv 2.4x2.7M-D"/>
      <sheetName val="Gl-Cr Conv 3.5x3.5D-E"/>
      <sheetName val="Gl-Cr Conv 3.0x3.5D-E"/>
      <sheetName val="Gl-Cr Conv 3.0x3.0D-E"/>
      <sheetName val="Gl-Cr Conv 2.4x2.7D-E"/>
      <sheetName val="GL-Cr Conv 3.5x3.5M-E"/>
      <sheetName val="GL-Cr Conv 3.0x3.5M-E"/>
      <sheetName val="Gl-Cr Conv 3.0x3.0M-E"/>
      <sheetName val="Gl-Cr Conv 2.4x2.7M-E"/>
      <sheetName val="Sn Conv 3.0x3.5D-D"/>
      <sheetName val="Sn Conv 3.0x3.0D-D"/>
      <sheetName val="Sn Conv 2.4x2.7D-D"/>
      <sheetName val="2.4x2.7 winche D-D"/>
      <sheetName val="Sn Conv 3.0x3.5M-D"/>
      <sheetName val="Sn Conv 3.0x3.0M-D"/>
      <sheetName val="Sn Conv 2.4x2.7M-D"/>
      <sheetName val="2.4x2.7 winche M-D"/>
      <sheetName val="Sn Conv 3.0x3.5D-E"/>
      <sheetName val="Sn Conv 3.0x3.0D-E"/>
      <sheetName val="Sn Conv 2.4x2.7D-E"/>
      <sheetName val="2.4x2.7 winche D-E"/>
      <sheetName val="Sn Conv 3.0x3.5M-E"/>
      <sheetName val="Sn Conv 3.0x3.0M-E"/>
      <sheetName val="Sn Conv 2.4x2.7M-E"/>
      <sheetName val="2.4x2.7 winche M-E"/>
      <sheetName val="M.Brst D-D M"/>
      <sheetName val="M.Brst D-D D"/>
      <sheetName val="M.Brst M-D M"/>
      <sheetName val="M.Brst M-D D"/>
      <sheetName val="M.Brst D-E M"/>
      <sheetName val="M.Brst D-E D"/>
      <sheetName val="M.Brst M-E M"/>
      <sheetName val="M.Brst M-E D"/>
      <sheetName val="Explot 300-1000m3 D"/>
      <sheetName val="Explot 1001-2000m3 D"/>
      <sheetName val="Explot 300-1000m3 E"/>
      <sheetName val="Explot 1001-2000m3 E"/>
      <sheetName val="Desquinche jumbo"/>
      <sheetName val="Min Conv D M 1"/>
      <sheetName val="Min Conv D D 1"/>
      <sheetName val="Min Conv E M 1"/>
      <sheetName val="Min Conv E D 1"/>
      <sheetName val="Min Conv D M Scp"/>
      <sheetName val="Min Conv D D Scp"/>
      <sheetName val="Min Conv E M Scp"/>
      <sheetName val="Min Conv E D Scp"/>
      <sheetName val="Min Conv Men 2,2 m"/>
      <sheetName val="Min Conv May 2,2 m"/>
      <sheetName val="Ch Conv 1.5 x 1.5"/>
      <sheetName val="Ch Conv 1.5 x 3.0"/>
      <sheetName val="Ch Conv 2.1 x 2.1"/>
      <sheetName val="Split 7p"/>
      <sheetName val="Split 5p"/>
      <sheetName val="Split 7p+Mall"/>
      <sheetName val="Split 5p+Mall"/>
      <sheetName val="Pern FeHe 2.1 Cemb"/>
      <sheetName val="Pern FeHe 2.1 Cem+Res"/>
      <sheetName val="Pern FeHe 2.1 Cemb+Mall"/>
      <sheetName val="Pern FeHe 2.1 Cem+Res+Mall"/>
      <sheetName val="Pern FeCo 5p Cemb"/>
      <sheetName val="Pern FeCo 5p Cem+Res"/>
      <sheetName val="Pern FeCo 5p Cemb+Mall"/>
      <sheetName val="Pern FeCo  5p Cem+Res+Mall"/>
      <sheetName val="Cuadro de madera"/>
      <sheetName val="Cuadro cojo"/>
      <sheetName val="Cortina madera"/>
      <sheetName val="Puntal de caja"/>
      <sheetName val="Instal parrilla"/>
      <sheetName val="Enrejado madera"/>
      <sheetName val="Longarina 8 a 10 pies"/>
      <sheetName val="Cuneta 0.5x0.5"/>
      <sheetName val="Cuneta 0.4x04"/>
      <sheetName val="Acarreo scoop 3.5yd3"/>
      <sheetName val="Acarreo scoop 2.5yd3"/>
      <sheetName val="Relleno detrítico"/>
      <sheetName val="Alquiler bomba Major"/>
      <sheetName val="Tarea operador"/>
    </sheetNames>
    <sheetDataSet>
      <sheetData sheetId="0"/>
      <sheetData sheetId="1" refreshError="1"/>
      <sheetData sheetId="2" refreshError="1"/>
      <sheetData sheetId="3"/>
      <sheetData sheetId="4"/>
      <sheetData sheetId="5"/>
      <sheetData sheetId="6"/>
      <sheetData sheetId="7"/>
      <sheetData sheetId="8"/>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1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Lista de Equipos"/>
      <sheetName val="implementos  de seguridad"/>
      <sheetName val="Herramientas"/>
      <sheetName val="GG (2)"/>
      <sheetName val="Referencias"/>
      <sheetName val="Lista Equip"/>
      <sheetName val="Impl Segu"/>
      <sheetName val="Herram"/>
      <sheetName val="BBSS"/>
      <sheetName val="GGAESA"/>
      <sheetName val="Personal "/>
      <sheetName val="GG"/>
      <sheetName val="Insumos"/>
      <sheetName val="Resumen"/>
      <sheetName val="Costos  Fijos"/>
      <sheetName val="Resumen (2)"/>
      <sheetName val="Rampa 4x4(1)"/>
      <sheetName val="Rampa 4x4(-)"/>
      <sheetName val="Rampa 3.5x3.5(1)"/>
      <sheetName val="Rampa 3.5x3.5(-)"/>
      <sheetName val="Rampa 4x4(+) (2)"/>
      <sheetName val="Rampa 4x4(+)"/>
      <sheetName val="Rampa 3.5x3.5(+) (2)"/>
      <sheetName val="Rampa 3.5x3.5(+)"/>
      <sheetName val="Gal4x4 (2)"/>
      <sheetName val="Gal4x4"/>
      <sheetName val="Gal3X3 (2)"/>
      <sheetName val="Gal3X3"/>
      <sheetName val="Gal4x3.5 (2)"/>
      <sheetName val="Gal4x3.5"/>
      <sheetName val="poza5x4 (2)"/>
      <sheetName val="poza5x4"/>
      <sheetName val="Rampa 4.5x4 (2)"/>
      <sheetName val="Rampa 4.5x4"/>
      <sheetName val="Tnasp Dump (2)"/>
      <sheetName val="Tnasp Dump"/>
      <sheetName val="Ch1.5x1.5 (2)"/>
      <sheetName val="Ch1.5x1.5"/>
      <sheetName val="Rampa 4.5x4(2)"/>
      <sheetName val="Perno (2)"/>
      <sheetName val="Perno"/>
      <sheetName val="split"/>
      <sheetName val="Cimbr 3x3"/>
      <sheetName val="Cimbr 3.5x3.5"/>
      <sheetName val="Cimbr 4x4"/>
      <sheetName val="Cimbr 4x3.5"/>
      <sheetName val="Plancha"/>
      <sheetName val="Bolsacret"/>
      <sheetName val="Encof-Descf"/>
      <sheetName val="Concreto"/>
      <sheetName val="Desqu Mecz"/>
      <sheetName val="Desqu Conv"/>
      <sheetName val="Transpt 1.0 Km"/>
      <sheetName val="Transpt 2.0 Km"/>
      <sheetName val="Transpt 3.0 Km"/>
      <sheetName val="Shotcr+Transp"/>
      <sheetName val="Shotcr+Sin Transp"/>
      <sheetName val="Split 7p"/>
      <sheetName val="Split 5p"/>
      <sheetName val="Pern FeCo 5p+Resin"/>
      <sheetName val="Pern FeHe 2.1 Cement"/>
      <sheetName val="Pern FeCo 5p+Resin (2)"/>
      <sheetName val="Malla Elec"/>
      <sheetName val="Cudr Complt"/>
      <sheetName val="Cudr Cojo"/>
      <sheetName val="Puntal"/>
      <sheetName val="Excav Cuneta"/>
      <sheetName val="Limpz Cune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sultado"/>
      <sheetName val="Presentacion"/>
      <sheetName val="Frente"/>
      <sheetName val="Breasting"/>
      <sheetName val="Breasting Jack Leg"/>
      <sheetName val="Enmaderado"/>
      <sheetName val="Jackleg"/>
      <sheetName val="Pernos"/>
      <sheetName val="Shotcrete"/>
      <sheetName val="Parametros"/>
      <sheetName val="Transporte"/>
      <sheetName val="Beneficios"/>
      <sheetName val="Explosivo"/>
      <sheetName val="Trabajos en madera"/>
      <sheetName val="Excavacion piqu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ininc"/>
      <sheetName val="Treas"/>
      <sheetName val="Exps"/>
      <sheetName val="Eqinv"/>
      <sheetName val="Tax"/>
      <sheetName val="Minint"/>
      <sheetName val="Netearnanal"/>
      <sheetName val="CFNetass"/>
      <sheetName val="CFLTdebt"/>
      <sheetName val="CFSTdebt"/>
      <sheetName val="CFWorkcap"/>
      <sheetName val="Macro"/>
      <sheetName val="A"/>
      <sheetName val="B"/>
      <sheetName val="C"/>
      <sheetName val="Reminders"/>
      <sheetName val="Dec"/>
      <sheetName val="Working Days"/>
      <sheetName val="Regional Check Sheet"/>
      <sheetName val="Appendicies"/>
      <sheetName val="INPUT"/>
      <sheetName val="INPUT_var"/>
      <sheetName val="InpEskom"/>
      <sheetName val="ZARreview"/>
      <sheetName val="ZARsummary"/>
      <sheetName val="ZARvariance"/>
      <sheetName val="cost reconZAR"/>
      <sheetName val="GraphsZAR"/>
      <sheetName val="graphdataZAR"/>
      <sheetName val="zarsavings"/>
      <sheetName val="continuous"/>
      <sheetName val="value added"/>
      <sheetName val="otherR"/>
      <sheetName val="definitions"/>
      <sheetName val="CHECK"/>
      <sheetName val="Working capital"/>
      <sheetName val="Presentation"/>
      <sheetName val="Financial Highlights"/>
      <sheetName val="Central Finance - NEW"/>
      <sheetName val="Assumptions"/>
      <sheetName val="CDPI-2011_SP"/>
      <sheetName val="Op ANOVA Outlook vs Bud &amp; Prior"/>
      <sheetName val="Divisional Model"/>
      <sheetName val="N-detail"/>
      <sheetName val="FACSUM"/>
      <sheetName val="p_unit"/>
      <sheetName val="Soldado 06"/>
      <sheetName val="Opex YTD "/>
      <sheetName val="arsenico-rango_LOM 1 20051"/>
      <sheetName val="#REF"/>
      <sheetName val="NETEARN"/>
      <sheetName val="L&amp;C References"/>
      <sheetName val="Sheet2"/>
      <sheetName val="Sheet1"/>
      <sheetName val="Nva Base"/>
      <sheetName val="Setup Centro de Custos"/>
      <sheetName val="Data"/>
      <sheetName val="Lists"/>
      <sheetName val="MENU"/>
      <sheetName val="Data Inputs"/>
      <sheetName val="Dashboard Data"/>
      <sheetName val="PMA Assays"/>
      <sheetName val="Production Profile"/>
      <sheetName val="Assays"/>
      <sheetName val="Production Report (4E)"/>
      <sheetName val="JV Report - Daily"/>
      <sheetName val="Production Report"/>
      <sheetName val="WData"/>
      <sheetName val="Chemical Analysis"/>
      <sheetName val="Calcs"/>
      <sheetName val="Forecast"/>
      <sheetName val="JV - Weekly"/>
      <sheetName val="DailyReport"/>
      <sheetName val="JV Report Rebecca"/>
      <sheetName val="Conc Dispatched PLK"/>
      <sheetName val="PMA Inputs"/>
      <sheetName val="BP vs LE"/>
      <sheetName val="Silo measurements"/>
      <sheetName val="Planned Maintenance Schedule"/>
      <sheetName val="10 Principles Data"/>
      <sheetName val="10 Principles Manual"/>
      <sheetName val="Range"/>
      <sheetName val="Conc Inputs AP "/>
      <sheetName val="Master AP "/>
      <sheetName val="LE"/>
      <sheetName val="TOTAL AP BP2012-2014"/>
      <sheetName val="LEBOWA AP  BP2008-2010"/>
      <sheetName val="BORWA AP BP2008-2010"/>
      <sheetName val="Conc Inputs JV BP2008-2010"/>
      <sheetName val="Master JV BP2008-2010"/>
      <sheetName val="TOTAL JV BP2008-2010"/>
      <sheetName val="LEBOWA JV BP2008-2010"/>
      <sheetName val="BORWA JV BP2008-2010"/>
      <sheetName val="CActividad"/>
      <sheetName val="#¡REF"/>
      <sheetName val="STOPE INPUT"/>
      <sheetName val="Las Tortolas"/>
      <sheetName val="Consolidated helper"/>
      <sheetName val="Mototolo Input (local)"/>
      <sheetName val="Work Place Name"/>
      <sheetName val="Supervisors"/>
      <sheetName val="Working_Days"/>
      <sheetName val="Regional_Check_Sheet"/>
      <sheetName val="cost_reconZAR"/>
      <sheetName val="value_added"/>
      <sheetName val="Working_capital"/>
      <sheetName val="Financial_Highlights"/>
      <sheetName val="Central_Finance_-_NEW"/>
      <sheetName val="Op_ANOVA_Outlook_vs_Bud_&amp;_Prior"/>
      <sheetName val="Divisional_Model"/>
      <sheetName val="Opex_YTD_"/>
      <sheetName val="Soldado_06"/>
      <sheetName val="arsenico-rango_LOM_1_20051"/>
      <sheetName val="L&amp;C_References"/>
      <sheetName val="Setup_Centro_de_Custos"/>
      <sheetName val="Data_Inputs"/>
      <sheetName val="Dashboard_Data"/>
      <sheetName val="PMA_Assays"/>
      <sheetName val="Production_Profile"/>
      <sheetName val="Production_Report_(4E)"/>
      <sheetName val="JV_Report_-_Daily"/>
      <sheetName val="Production_Report"/>
      <sheetName val="Chemical_Analysis"/>
      <sheetName val="JV_-_Weekly"/>
      <sheetName val="JV_Report_Rebecca"/>
      <sheetName val="Conc_Dispatched_PLK"/>
      <sheetName val="PMA_Inputs"/>
      <sheetName val="BP_vs_LE"/>
      <sheetName val="Silo_measurements"/>
      <sheetName val="Planned_Maintenance_Schedule"/>
      <sheetName val="10_Principles_Data"/>
      <sheetName val="10_Principles_Manual"/>
      <sheetName val="Conc_Inputs_AP_"/>
      <sheetName val="Master_AP_"/>
      <sheetName val="TOTAL_AP_BP2012-2014"/>
      <sheetName val="LEBOWA_AP__BP2008-2010"/>
      <sheetName val="BORWA_AP_BP2008-2010"/>
      <sheetName val="Conc_Inputs_JV_BP2008-2010"/>
      <sheetName val="Master_JV_BP2008-2010"/>
      <sheetName val="TOTAL_JV_BP2008-2010"/>
      <sheetName val="LEBOWA_JV_BP2008-2010"/>
      <sheetName val="BORWA_JV_BP2008-2010"/>
      <sheetName val="STOPE_INPUT"/>
      <sheetName val="Date sheet"/>
      <sheetName val="EKRL-4282-P7-MT Civil"/>
      <sheetName val="EKRL-4282-P7-Boxcut Tenders"/>
      <sheetName val="EKRL-4282-P7MT Mining"/>
      <sheetName val="EKRL-4282-P7-DV Conveyors"/>
      <sheetName val="EKRL-4282-10 - Silo_WBHO"/>
      <sheetName val="Average Rate Option Summary"/>
      <sheetName val="Las_Tortolas"/>
      <sheetName val="Consolidated_helper"/>
      <sheetName val="Mototolo_Input_(local)"/>
      <sheetName val="Work_Place_Name"/>
      <sheetName val="Nva_Base"/>
      <sheetName val="List"/>
      <sheetName val="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refreshError="1"/>
      <sheetData sheetId="156" refreshError="1"/>
    </sheetDataSet>
  </externalBook>
</externalLink>
</file>

<file path=xl/externalLinks/externalLink1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lance Sheet Consolidated"/>
    </sheetNames>
    <sheetDataSet>
      <sheetData sheetId="0" refreshError="1"/>
    </sheetDataSet>
  </externalBook>
</externalLink>
</file>

<file path=xl/externalLinks/externalLink1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SUMEN"/>
      <sheetName val="Breasting Jack Leg"/>
      <sheetName val="CCFF"/>
      <sheetName val="Parametros"/>
      <sheetName val="BBSS"/>
    </sheetNames>
    <sheetDataSet>
      <sheetData sheetId="0"/>
      <sheetData sheetId="1"/>
      <sheetData sheetId="2"/>
      <sheetData sheetId="3"/>
      <sheetData sheetId="4"/>
    </sheetDataSet>
  </externalBook>
</externalLink>
</file>

<file path=xl/externalLinks/externalLink1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RAF.TIEMPOS"/>
      <sheetName val="ANALISIS"/>
      <sheetName val="EFICIENCIAS"/>
      <sheetName val="REG.REVIS."/>
      <sheetName val="Hoja1"/>
      <sheetName val="ST 3.5 (3)"/>
      <sheetName val="GRAF_TIEMPOS"/>
      <sheetName val="REG_REVIS_"/>
      <sheetName val="ST_3_5_(3)"/>
      <sheetName val="Costo Financiero (2)"/>
      <sheetName val="BD-OBR"/>
      <sheetName val="VIZ4"/>
      <sheetName val="VIZ7"/>
      <sheetName val="UZ"/>
    </sheetNames>
    <sheetDataSet>
      <sheetData sheetId="0"/>
      <sheetData sheetId="1" refreshError="1"/>
      <sheetData sheetId="2" refreshError="1"/>
      <sheetData sheetId="3" refreshError="1"/>
      <sheetData sheetId="4"/>
      <sheetData sheetId="5" refreshError="1"/>
      <sheetData sheetId="6"/>
      <sheetData sheetId="7"/>
      <sheetData sheetId="8"/>
      <sheetData sheetId="9" refreshError="1"/>
      <sheetData sheetId="10" refreshError="1"/>
      <sheetData sheetId="11"/>
      <sheetData sheetId="12" refreshError="1"/>
      <sheetData sheetId="13" refreshError="1"/>
    </sheetDataSet>
  </externalBook>
</externalLink>
</file>

<file path=xl/externalLinks/externalLink1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G (2)"/>
      <sheetName val="GGAESA (2)"/>
      <sheetName val="Rampa 4x4(2)"/>
    </sheetNames>
    <sheetDataSet>
      <sheetData sheetId="0" refreshError="1"/>
      <sheetData sheetId="1"/>
      <sheetData sheetId="2" refreshError="1"/>
    </sheetDataSet>
  </externalBook>
</externalLink>
</file>

<file path=xl/externalLinks/externalLink1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Hoja2"/>
      <sheetName val="Hoja3"/>
      <sheetName val="TransDesmonte"/>
      <sheetName val="TransMineral"/>
      <sheetName val="PRESUP VARIABLE"/>
      <sheetName val="RECETAS"/>
      <sheetName val="RESUMEN AVANCES GENER"/>
      <sheetName val="CUADRO (2)"/>
      <sheetName val="EXPLORACIONES"/>
      <sheetName val="RATIOS"/>
      <sheetName val="Mineral"/>
      <sheetName val="PRESUP_VARIABLE"/>
      <sheetName val="RESUMEN_AVANCES_GENER"/>
      <sheetName val="CUADRO_(2)"/>
      <sheetName val="Geología"/>
      <sheetName val="par gen"/>
    </sheetNames>
    <sheetDataSet>
      <sheetData sheetId="0" refreshError="1"/>
      <sheetData sheetId="1"/>
      <sheetData sheetId="2"/>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ducc Abril"/>
      <sheetName val="ProduccMayo"/>
      <sheetName val="Produc Junio"/>
      <sheetName val="Produc Julio"/>
      <sheetName val="Produc Agosto"/>
      <sheetName val="Produc Setiembre"/>
      <sheetName val="Hoja1"/>
      <sheetName val="Proyecc. Costo"/>
      <sheetName val="Res-08"/>
      <sheetName val=" Concentrates value"/>
      <sheetName val="Cttas. Mina"/>
      <sheetName val="Cttas Serv.Adm"/>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ducc Abril"/>
      <sheetName val="ProduccMayo"/>
      <sheetName val="Produc Junio"/>
      <sheetName val="Produc Julio"/>
      <sheetName val="Produc Agosto"/>
      <sheetName val="Produc Setiembre"/>
      <sheetName val="Hoja1"/>
      <sheetName val="Proyecc. Costo"/>
      <sheetName val="Res-08"/>
      <sheetName val=" Concentrates value"/>
      <sheetName val="Cttas. Mina"/>
      <sheetName val="Cttas Serv.Adm"/>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sumen Plan"/>
      <sheetName val="Reduccion de costos"/>
      <sheetName val="Reduccion de Personal"/>
      <sheetName val="reduccion de energia"/>
      <sheetName val="Reduccion de alquileres"/>
      <sheetName val="Evol. reservas"/>
      <sheetName val="Reserv - recursos"/>
      <sheetName val="Reservas"/>
      <sheetName val="PExploraciones"/>
      <sheetName val="PDiamantina"/>
      <sheetName val="PDesarrollos"/>
      <sheetName val="Plan Produccion"/>
      <sheetName val="Prod.concent"/>
      <sheetName val="Plan Relleno"/>
      <sheetName val="Plan Sostenimiento"/>
      <sheetName val="Espesor shotcrete"/>
      <sheetName val="Plan de Transp. Mineral"/>
      <sheetName val="Balance"/>
      <sheetName val="Resumen_costo"/>
      <sheetName val="Plan"/>
      <sheetName val="Val.Conc"/>
      <sheetName val="Detalle Plan"/>
      <sheetName val="Anexo 1"/>
      <sheetName val="Anexo 2"/>
      <sheetName val="CNatul"/>
      <sheetName val="C Repuestos"/>
      <sheetName val="Preparaciones"/>
      <sheetName val="Alquileres"/>
      <sheetName val="Misceláneos"/>
      <sheetName val="Personal"/>
      <sheetName val="Invers."/>
      <sheetName val="Res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M Quellaveco v0r0"/>
      <sheetName val="Economic Assumptions"/>
      <sheetName val="Site and Version"/>
    </sheetNames>
    <sheetDataSet>
      <sheetData sheetId="0" refreshError="1"/>
      <sheetData sheetId="1" refreshError="1"/>
      <sheetData sheetId="2" refreshError="1"/>
    </sheetDataSet>
  </externalBook>
</externalLink>
</file>

<file path=xl/externalLinks/externalLink2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boleta"/>
      <sheetName val="Hoja2"/>
    </sheetNames>
    <sheetDataSet>
      <sheetData sheetId="0" refreshError="1"/>
      <sheetData sheetId="1" refreshError="1"/>
      <sheetData sheetId="2" refreshError="1"/>
    </sheetDataSet>
  </externalBook>
</externalLink>
</file>

<file path=xl/externalLinks/externalLink2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puts"/>
      <sheetName val="Lease_Costs"/>
      <sheetName val="Equip HR"/>
      <sheetName val="MD Schedule"/>
      <sheetName val="WD Schedule"/>
      <sheetName val="Avail_hours"/>
      <sheetName val="Travel &amp; Fuel"/>
      <sheetName val="Excav. Prod"/>
      <sheetName val="L&amp;H_Calc_MD_Ore"/>
      <sheetName val="L&amp;H_Calc_MD_Lch"/>
      <sheetName val="L&amp;H_Calc_MD_Wst"/>
      <sheetName val="L&amp;H_Calc_WD_Ore"/>
      <sheetName val="L&amp;H_Calc_WD_Lch"/>
      <sheetName val="L&amp;H_Calc_WD_Wst"/>
      <sheetName val="Tr&amp;Ex_UR_MD_Ore"/>
      <sheetName val="Tr&amp;Ex_UR_MD_Lch"/>
      <sheetName val="Tr&amp;Ex_UR_MD_Wst"/>
      <sheetName val="Tr&amp;Ex_UR_WD_Ore"/>
      <sheetName val="Tr&amp;Ex_UR_WD_Lch"/>
      <sheetName val="Tr&amp;Ex_UR_WD_Wst"/>
      <sheetName val="Aux_UR"/>
      <sheetName val="Aux_HR"/>
      <sheetName val="Wages"/>
      <sheetName val="Equip Req't Sum"/>
      <sheetName val="Equip_Replace_Sched"/>
      <sheetName val="Depreciation_Sched"/>
      <sheetName val="Ownership Costs"/>
      <sheetName val="Labour hrs"/>
      <sheetName val="Fixed Costs"/>
      <sheetName val="Drill &amp; Blast"/>
      <sheetName val="D &amp; B Summary"/>
      <sheetName val="Void_Calcs"/>
      <sheetName val="Topsoil_Sched"/>
      <sheetName val="Summary"/>
      <sheetName val="Unit_Rates_MD_ORE"/>
      <sheetName val="Unit_Rates_MD_Lch"/>
      <sheetName val="Unit_Rates_MD_Wst"/>
      <sheetName val="Unit_Rates_WD_Ore"/>
      <sheetName val="Unit_Rates_WD_Lch"/>
      <sheetName val="Unit_Rates_WD_W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sheetData sheetId="32"/>
      <sheetData sheetId="33"/>
      <sheetData sheetId="34"/>
      <sheetData sheetId="35"/>
      <sheetData sheetId="36"/>
      <sheetData sheetId="37"/>
      <sheetData sheetId="38"/>
      <sheetData sheetId="39"/>
    </sheetDataSet>
  </externalBook>
</externalLink>
</file>

<file path=xl/externalLinks/externalLink2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vision Log"/>
      <sheetName val="Inputs"/>
      <sheetName val="HME Cost Summary"/>
      <sheetName val="New HME Pricing"/>
      <sheetName val="Used HME Pricing"/>
      <sheetName val="Used HME LCC"/>
      <sheetName val="NPV"/>
      <sheetName val="Wages"/>
      <sheetName val="Wages_Report (2)"/>
      <sheetName val="Tech Services Wages"/>
      <sheetName val="LeaseCost"/>
      <sheetName val="Summary Sched"/>
      <sheetName val="Summary Sched - Tonnes"/>
      <sheetName val="Oxide Ore sched"/>
      <sheetName val="Fresh Ore sched"/>
      <sheetName val="Oxide Wst sched"/>
      <sheetName val="Fresh Wst sched"/>
      <sheetName val="Schedule Graphs"/>
      <sheetName val="Avail_hours"/>
      <sheetName val="Travel &amp; Fuel"/>
      <sheetName val="Fuel Consumption"/>
      <sheetName val="Equip HR"/>
      <sheetName val="L&amp;H_Calc_Summary"/>
      <sheetName val="L&amp;H_Calc_Oxide_Ore"/>
      <sheetName val="L&amp;H_Calc_Fresh_Ore"/>
      <sheetName val="L&amp;H_Calc_Oxide_Waste"/>
      <sheetName val="L&amp;H_Calc_Fresh_Waste"/>
      <sheetName val="Tr&amp;Ex_UR_Oxide_Ore"/>
      <sheetName val="Tr&amp;Ex_UR_Fresh_Ore"/>
      <sheetName val="Tr&amp;Ex_UR_Oxide_Wst"/>
      <sheetName val="Tr&amp;Ex_UR_Fresh_Wst"/>
      <sheetName val="Aux_HR"/>
      <sheetName val="Aux_UR"/>
      <sheetName val="Aux_Maint."/>
      <sheetName val="Aux_MARC"/>
      <sheetName val="Aux_Labour"/>
      <sheetName val="Labour hrs"/>
      <sheetName val="Excav. Prod"/>
      <sheetName val="Equip Req't Sum"/>
      <sheetName val="Graph"/>
      <sheetName val="Mining Equipment Selection"/>
      <sheetName val="Inputs - var R&amp;M"/>
      <sheetName val="var R&amp;M #1"/>
      <sheetName val="var R&amp;M #2"/>
      <sheetName val="var R&amp;M #3"/>
      <sheetName val="var R&amp;M adj"/>
      <sheetName val="Replacement"/>
      <sheetName val="Capital Summary"/>
      <sheetName val="LumpSum"/>
      <sheetName val="Misc. Op. Overheads"/>
      <sheetName val="Road Construction"/>
      <sheetName val="D &amp; B Summary"/>
      <sheetName val="D&amp;B_Oxide"/>
      <sheetName val="D&amp;B_Fresh"/>
      <sheetName val="Presplit_schedule"/>
      <sheetName val="Presplit &amp; Drainage"/>
      <sheetName val="GC_Drill_oxide"/>
      <sheetName val="GC_Drill_fresh"/>
      <sheetName val="GradeControl"/>
      <sheetName val="GradeControlOld"/>
      <sheetName val="Dewatering"/>
      <sheetName val="Rainfall"/>
      <sheetName val="Stockpile_Rehandle_L&amp;H_Calc "/>
      <sheetName val="Crusher Feed"/>
      <sheetName val="ClearGrub_Calc"/>
      <sheetName val="L&amp;H Rates_Oxide_Ore"/>
      <sheetName val="L&amp;H Rates_Fresh_Ore"/>
      <sheetName val="L&amp;H Rates_Oxide_Wst"/>
      <sheetName val="L&amp;H Rates_Fresh_Wst"/>
      <sheetName val="SummaryL&amp;H Rates"/>
      <sheetName val="Long_Summary"/>
      <sheetName val="Consumables"/>
      <sheetName val="Op Cost Breakdown - kt"/>
      <sheetName val="Op Cost Breakdown - kbcm"/>
      <sheetName val="AMS Costs"/>
      <sheetName val="Cost Graph"/>
      <sheetName val="Personnel summary"/>
      <sheetName val="Mining Cost Unit Rates - Ore"/>
      <sheetName val="Mining Cost Unit Rates - Waste"/>
      <sheetName val="Mining Cost Unit Rates - O &amp; W"/>
      <sheetName val="Mining Cost Unit Rates - Total"/>
      <sheetName val="Rates Graphs"/>
      <sheetName val="AGL Budget Level"/>
      <sheetName val="Op Cost Breakdown Pre-Prod"/>
      <sheetName val="Pit by Pit Breakdown"/>
      <sheetName val="Var MARC Inputs"/>
      <sheetName val="Var MARC Adjust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Set>
  </externalBook>
</externalLink>
</file>

<file path=xl/externalLinks/externalLink2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Yauliyacu"/>
      <sheetName val="BOLETA"/>
      <sheetName val="vacacionistas"/>
      <sheetName val="bol-vac (4)"/>
    </sheetNames>
    <sheetDataSet>
      <sheetData sheetId="0"/>
      <sheetData sheetId="1" refreshError="1"/>
      <sheetData sheetId="2" refreshError="1"/>
      <sheetData sheetId="3" refreshError="1"/>
    </sheetDataSet>
  </externalBook>
</externalLink>
</file>

<file path=xl/externalLinks/externalLink2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cro"/>
      <sheetName val="Bal"/>
      <sheetName val="Graphs"/>
      <sheetName val=" ACTUALS VS BUDGET 1H 2000"/>
      <sheetName val="GRAPHS PAGE"/>
      <sheetName val="Proj"/>
      <sheetName val="Share Prices"/>
      <sheetName val="CMD financial variance - input"/>
      <sheetName val="MSR CONDUCCION"/>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2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cros Disabled"/>
      <sheetName val="Overview"/>
      <sheetName val="Admin"/>
      <sheetName val="Tables"/>
      <sheetName val="Economic Assumptions"/>
      <sheetName val="Profiles and Groupings"/>
      <sheetName val="Site and Version"/>
      <sheetName val="Prior Year LOM Summary"/>
      <sheetName val="Consumables"/>
      <sheetName val="Equipment"/>
      <sheetName val="Production Data"/>
      <sheetName val="Capital Expenditures"/>
      <sheetName val="OP Costs"/>
      <sheetName val="OP KPIs"/>
      <sheetName val="UG Costs"/>
      <sheetName val="UG KPIs"/>
      <sheetName val="Processing Costs"/>
      <sheetName val="Processing KPIs"/>
      <sheetName val="G&amp;A Costs"/>
      <sheetName val="LOM Budget"/>
      <sheetName val="Keying Summary"/>
      <sheetName val="Consol KS"/>
      <sheetName val="Site Diagnostics"/>
      <sheetName val="Report Settings"/>
      <sheetName val="Sensitivities"/>
      <sheetName val="Global Summary"/>
      <sheetName val="Cost by Element"/>
      <sheetName val="Site Comparison"/>
      <sheetName val="LOM-Budget"/>
      <sheetName val="Report Consumables"/>
      <sheetName val="Report Production Data"/>
      <sheetName val="Report Capital Expenditures"/>
      <sheetName val="Report OP Costs"/>
      <sheetName val="Report OP KPIs"/>
      <sheetName val="Report UG Costs"/>
      <sheetName val="Report UG KPIs"/>
      <sheetName val="Report Processing Costs"/>
      <sheetName val="Report Processing KPIs"/>
      <sheetName val="Report G&amp;A Costs-KPIs"/>
      <sheetName val="Manpower Summary"/>
      <sheetName val="Energy Metrics"/>
      <sheetName val="Chart - Site Summary"/>
      <sheetName val="Chart-SiteData"/>
      <sheetName val="Hoja4"/>
      <sheetName val="tp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3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puts"/>
      <sheetName val="Equip HR"/>
      <sheetName val="MD Schedule"/>
      <sheetName val="WD Schedule"/>
      <sheetName val="Avail_hours"/>
      <sheetName val="Travel &amp; Fuel"/>
      <sheetName val="Excav. Prod"/>
      <sheetName val="L&amp;H_Calc_MD_Ore"/>
      <sheetName val="L&amp;H_Calc_MD_Lch"/>
      <sheetName val="L&amp;H_Calc_MD_Wst"/>
      <sheetName val="L&amp;H_Calc_WD_Ore"/>
      <sheetName val="L&amp;H_Calc_WD_Lch"/>
      <sheetName val="L&amp;H_Calc_WD_Wst"/>
      <sheetName val="Tr&amp;Ex_UR_MD_Ore"/>
      <sheetName val="Tr&amp;Ex_UR_MD_Lch"/>
      <sheetName val="Tr&amp;Ex_UR_MD_Wst"/>
      <sheetName val="Tr&amp;Ex_UR_WD_Ore"/>
      <sheetName val="Tr&amp;Ex_UR_WD_Lch"/>
      <sheetName val="Tr&amp;Ex_UR_WD_Wst"/>
      <sheetName val="Aux_HR"/>
      <sheetName val="Aux_UR"/>
      <sheetName val="Wages"/>
      <sheetName val="Equip Req't Sum"/>
      <sheetName val="Ownership Costs"/>
      <sheetName val="Labour hrs"/>
      <sheetName val="Fixed Costs"/>
      <sheetName val="Drill &amp; Blast"/>
      <sheetName val="D &amp; B Summary"/>
      <sheetName val="Summary"/>
      <sheetName val="Unit_Rates_MD_ORE"/>
      <sheetName val="Unit_Rates_MD_Lch"/>
      <sheetName val="Unit_Rates_MD_Wst"/>
      <sheetName val="Unit_Rates_WD_Ore"/>
      <sheetName val="Unit_Rates_WD_Lch"/>
      <sheetName val="Unit_Rates_WD_Wst"/>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puts"/>
      <sheetName val="Equip HR"/>
      <sheetName val="MD Schedule"/>
      <sheetName val="WD Schedule"/>
      <sheetName val="Avail_hours"/>
      <sheetName val="Travel &amp; Fuel"/>
      <sheetName val="Excav. Prod"/>
      <sheetName val="L&amp;H_Calc_MD_Ore"/>
      <sheetName val="L&amp;H_Calc_MD_Lch"/>
      <sheetName val="L&amp;H_Calc_MD_Wst"/>
      <sheetName val="L&amp;H_Calc_WD_Ore"/>
      <sheetName val="L&amp;H_Calc_WD_Lch"/>
      <sheetName val="L&amp;H_Calc_WD_Wst"/>
      <sheetName val="Tr&amp;Ex_UR_MD_Ore"/>
      <sheetName val="Tr&amp;Ex_UR_MD_Lch"/>
      <sheetName val="Tr&amp;Ex_UR_MD_Wst"/>
      <sheetName val="Tr&amp;Ex_UR_WD_Ore"/>
      <sheetName val="Tr&amp;Ex_UR_WD_Lch"/>
      <sheetName val="Tr&amp;Ex_UR_WD_Wst"/>
      <sheetName val="Aux_HR"/>
      <sheetName val="Aux_UR"/>
      <sheetName val="Wages"/>
      <sheetName val="Equip Req't Sum"/>
      <sheetName val="Ownership Costs"/>
      <sheetName val="Labour hrs"/>
      <sheetName val="D &amp; B Summary"/>
      <sheetName val="Summary"/>
      <sheetName val="Fixed Costs"/>
      <sheetName val="Drill &amp; Blast"/>
      <sheetName val="Unit_Rates_MD_ORE"/>
      <sheetName val="Unit_Rates_MD_Lch"/>
      <sheetName val="Unit_Rates_MD_Wst"/>
      <sheetName val="Unit_Rates_WD_Ore"/>
      <sheetName val="Unit_Rates_WD_Lch"/>
      <sheetName val="Unit_Rates_WD_Wst"/>
    </sheetNames>
    <sheetDataSet>
      <sheetData sheetId="0"/>
      <sheetData sheetId="1" refreshError="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l met"/>
      <sheetName val="val prod"/>
      <sheetName val="GyP total"/>
      <sheetName val="Margen Op"/>
      <sheetName val="Comparativo"/>
      <sheetName val="Val pto"/>
      <sheetName val="Costos "/>
      <sheetName val="Tpo Gasto"/>
      <sheetName val="Costos F y V"/>
      <sheetName val="Performance"/>
    </sheetNames>
    <sheetDataSet>
      <sheetData sheetId="0" refreshError="1"/>
      <sheetData sheetId="1"/>
      <sheetData sheetId="2"/>
      <sheetData sheetId="3" refreshError="1"/>
      <sheetData sheetId="4" refreshError="1"/>
      <sheetData sheetId="5" refreshError="1"/>
      <sheetData sheetId="6"/>
      <sheetData sheetId="7" refreshError="1"/>
      <sheetData sheetId="8" refreshError="1"/>
      <sheetData sheetId="9" refreshError="1"/>
    </sheetDataSet>
  </externalBook>
</externalLink>
</file>

<file path=xl/externalLinks/externalLink3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res (218)"/>
      <sheetName val="res"/>
      <sheetName val="R+4x4"/>
      <sheetName val="R+3.5x35"/>
      <sheetName val="Xc6x4"/>
      <sheetName val="R-4x4"/>
      <sheetName val="R-3.5x35"/>
      <sheetName val="G4x4"/>
      <sheetName val="G3.5x35"/>
      <sheetName val="G3x3"/>
      <sheetName val="Ch1.8x1.5"/>
      <sheetName val="DESQ"/>
      <sheetName val="Perno8"/>
      <sheetName val="Perno6"/>
      <sheetName val="Shot2&quot;"/>
      <sheetName val="Shot1&quot;"/>
      <sheetName val="cimbra4x4"/>
      <sheetName val="cimbra3.5x3.5"/>
      <sheetName val="alc"/>
      <sheetName val="acarreo Dumper"/>
      <sheetName val="acvolvo"/>
      <sheetName val="costos fijos"/>
      <sheetName val="insmarsa"/>
      <sheetName val="des1"/>
      <sheetName val="bbss"/>
      <sheetName val="DESQ2"/>
      <sheetName val="cond"/>
      <sheetName val="sbyeq"/>
      <sheetName val="sek"/>
      <sheetName val="insumos"/>
      <sheetName val="st1000"/>
      <sheetName val="3.5yd"/>
      <sheetName val="ST4yd3"/>
      <sheetName val="JDT"/>
      <sheetName val="H282"/>
      <sheetName val="lampara"/>
      <sheetName val="ocmer"/>
      <sheetName val="VOLV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ducción "/>
      <sheetName val="Production Plan"/>
      <sheetName val="Simulación filtro"/>
      <sheetName val="Simulación falla"/>
      <sheetName val="Chart1"/>
      <sheetName val="Mine Plan"/>
      <sheetName val="Cost Fluor"/>
      <sheetName val="Costo Unitario"/>
      <sheetName val="Budget Salares Norte"/>
      <sheetName val="Budget Salares Norte + Imp"/>
      <sheetName val="Hg Concentration"/>
      <sheetName val="Graficos"/>
      <sheetName val="Brittan"/>
      <sheetName val="Sheet1"/>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sheetData sheetId="13"/>
    </sheetDataSet>
  </externalBook>
</externalLink>
</file>

<file path=xl/externalLinks/externalLink3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ecios Atacocha"/>
      <sheetName val="mov"/>
      <sheetName val="Programa 2005"/>
      <sheetName val="Resumen05"/>
      <sheetName val="4x35vent"/>
      <sheetName val="r4x4"/>
      <sheetName val="r45x4"/>
      <sheetName val="5x4.5"/>
      <sheetName val="G4X4"/>
      <sheetName val="3.5x3vent"/>
      <sheetName val="3.5x3.5"/>
      <sheetName val="3x3"/>
      <sheetName val="Ch15x15"/>
      <sheetName val="Ch2.1x2.1"/>
      <sheetName val="desq"/>
      <sheetName val="CF05"/>
      <sheetName val="Dumper"/>
      <sheetName val="mg4x35"/>
      <sheetName val="mr4x4"/>
      <sheetName val="mr45x4"/>
      <sheetName val="mr4x3.5"/>
      <sheetName val="mg4x4"/>
      <sheetName val="m35x3"/>
      <sheetName val="3.5x3.5m"/>
      <sheetName val="3x3m"/>
      <sheetName val="splitset"/>
      <sheetName val="pernocemb"/>
      <sheetName val="shot"/>
      <sheetName val="bbss"/>
      <sheetName val="insumos"/>
      <sheetName val="ST2d"/>
      <sheetName val="st1000"/>
      <sheetName val="3.5yd"/>
      <sheetName val="JDT"/>
      <sheetName val="H282"/>
      <sheetName val="ST4yd3"/>
      <sheetName val="bomba"/>
      <sheetName val="ventilado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ecios Atacocha"/>
      <sheetName val="mov"/>
      <sheetName val="Programa 2005"/>
      <sheetName val="Resumen05"/>
      <sheetName val="r4x4"/>
      <sheetName val="3x3"/>
      <sheetName val="4x35vent"/>
      <sheetName val="5x4.5"/>
      <sheetName val="Ch15x15"/>
      <sheetName val="3.5x3.5"/>
      <sheetName val="r45x4"/>
      <sheetName val="CF05"/>
      <sheetName val="mg4x35"/>
      <sheetName val="mr4x4"/>
      <sheetName val="mr4x3.5"/>
      <sheetName val="Ch2.1x2.1"/>
      <sheetName val="shot"/>
      <sheetName val="Dumper"/>
      <sheetName val="desq"/>
      <sheetName val="pernocemb"/>
      <sheetName val="split set"/>
      <sheetName val="bombeomaster"/>
      <sheetName val="3x3m"/>
      <sheetName val="m35x3"/>
      <sheetName val="3.5x3.5m"/>
      <sheetName val="3.5x3vent"/>
      <sheetName val="mg4x4"/>
      <sheetName val="mr45x4"/>
      <sheetName val="bombeo matador"/>
      <sheetName val="bbss"/>
      <sheetName val="insumos"/>
      <sheetName val="ST2d"/>
      <sheetName val="st1000"/>
      <sheetName val="3.5yd"/>
      <sheetName val="ST4yd3"/>
      <sheetName val="JDT"/>
      <sheetName val="H282"/>
      <sheetName val="bomba"/>
      <sheetName val="ventilado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Yauliyacu"/>
      <sheetName val="BOLETA"/>
    </sheetNames>
    <sheetDataSet>
      <sheetData sheetId="0"/>
      <sheetData sheetId="1"/>
    </sheetDataSet>
  </externalBook>
</externalLink>
</file>

<file path=xl/externalLinks/externalLink3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ESENTACION"/>
      <sheetName val="Resumen"/>
      <sheetName val="PLANTA"/>
      <sheetName val="MOV. MINERALES"/>
      <sheetName val="MOV. RESERVAS"/>
      <sheetName val="PERSONA"/>
      <sheetName val="PERSONAL"/>
      <sheetName val="Eval Proy"/>
      <sheetName val="Proyectos"/>
      <sheetName val="DESARROLLOS"/>
      <sheetName val="PREPARACIONES"/>
      <sheetName val="EXPLOTACIONES"/>
      <sheetName val="COSTOS"/>
      <sheetName val="Costo R Fenix"/>
      <sheetName val="Costo R Tumiri"/>
      <sheetName val="Costo R 640"/>
      <sheetName val="Costo R 853"/>
      <sheetName val="INVERSIONES"/>
      <sheetName val="Datos para tabla dinamica"/>
      <sheetName val="Reservas a Nov 2006"/>
      <sheetName val="des-pre2"/>
      <sheetName val="Explot"/>
      <sheetName val="explotación"/>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9.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STAD_ACC_99"/>
      <sheetName val="ESTD_ACC_XSECCION"/>
      <sheetName val="YANACOCHA"/>
      <sheetName val="DOERUN"/>
      <sheetName val="Hoja8"/>
      <sheetName val="LIST_ACC"/>
      <sheetName val="Rg_Af"/>
      <sheetName val="ESTAD_ACC_99 (3)"/>
      <sheetName val="Hoja14"/>
      <sheetName val="Hoja13"/>
      <sheetName val="Hoja15"/>
      <sheetName val="Hoja16"/>
      <sheetName val="GG"/>
      <sheetName val="ESTAD_ACC_99_(3)"/>
      <sheetName val="Budget Assumptions"/>
      <sheetName val="produccion diaria"/>
      <sheetName val="Factores"/>
      <sheetName val="Listas"/>
      <sheetName val="PU"/>
      <sheetName val="INGRESO DE DATOS PROG MES"/>
      <sheetName val="DATOS FINAL"/>
      <sheetName val="DATOS DE  LABORES "/>
      <sheetName val="RESUMEN"/>
      <sheetName val="FECHA_JEFEGUARDIA_OPERADOR"/>
      <sheetName val="PROGRAMA MENSUAL"/>
      <sheetName val="PRECIO UNITARIO"/>
      <sheetName val="DATOS"/>
      <sheetName val="Mantto Preventivo"/>
      <sheetName val=""/>
      <sheetName val="Precios Unitarios"/>
      <sheetName val="ESTAD_ACC_99_(3)2"/>
      <sheetName val="ESTAD_ACC_99_(3)1"/>
      <sheetName val="ESTAD_ACC_99_(3)3"/>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0.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2"/>
      <sheetName val="precios Atacocha"/>
      <sheetName val="mov"/>
      <sheetName val="Programa 2005"/>
      <sheetName val="ResumenProyectos 05"/>
      <sheetName val="r4x4"/>
      <sheetName val="G4X4"/>
      <sheetName val="3x3"/>
      <sheetName val="4x35vent"/>
      <sheetName val="5x4.5"/>
      <sheetName val="3.5x3.5"/>
      <sheetName val="r45x4"/>
      <sheetName val="Ch15x15"/>
      <sheetName val="shot"/>
      <sheetName val="Dumper"/>
      <sheetName val="desq"/>
      <sheetName val="pernocemb"/>
      <sheetName val="split set"/>
      <sheetName val="CF05"/>
      <sheetName val="ST2d"/>
      <sheetName val="st1000"/>
      <sheetName val="ST4yd3"/>
      <sheetName val="3.5yd"/>
      <sheetName val="JDT"/>
      <sheetName val="H282"/>
      <sheetName val="resumen consumo d2"/>
      <sheetName val="mg4x35"/>
      <sheetName val="mr4x4"/>
      <sheetName val="mr4x3.5"/>
      <sheetName val="Ch2.1x2.1"/>
      <sheetName val="3x3m"/>
      <sheetName val="m35x3"/>
      <sheetName val="3.5x3.5m"/>
      <sheetName val="3.5x3vent"/>
      <sheetName val="mg4x4"/>
      <sheetName val="mr45x4"/>
      <sheetName val="bombeo matador"/>
      <sheetName val="bbss"/>
      <sheetName val="insumos"/>
      <sheetName val="Hoja1"/>
      <sheetName val="bomba"/>
      <sheetName val="ventiladora"/>
      <sheetName val="Resumen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lanilla Obreros"/>
      <sheetName val="Planilla Empleados"/>
      <sheetName val="boleta"/>
      <sheetName val="provisiones acumuladas"/>
      <sheetName val="provisiones"/>
      <sheetName val="ING. ALTAMIRANO"/>
      <sheetName val="RESUMEN"/>
      <sheetName val="CONCESIONARIOS"/>
      <sheetName val="SUBSID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grama 2005"/>
      <sheetName val="Resumen"/>
      <sheetName val="Precios Unitarios"/>
      <sheetName val="Personal San Rafael"/>
      <sheetName val="Prorrateo"/>
      <sheetName val="Galería 5.0x4.0"/>
      <sheetName val="Rampa 5.0x4.0"/>
      <sheetName val="Galería 4.0x3.5"/>
      <sheetName val="Gal conv 4x3.5"/>
      <sheetName val="Gal conv 4.0x3.0"/>
      <sheetName val="Gal conv 3.5x3.0"/>
      <sheetName val="Gal 2.5x2.7"/>
      <sheetName val="Gal 2.4x2.7"/>
      <sheetName val="Gal 2.4x2.4"/>
      <sheetName val="Ch 2.4x1.5"/>
      <sheetName val="Ch 2.0x1.5"/>
      <sheetName val="Desq Jackleg"/>
      <sheetName val="Desq Jumbo"/>
      <sheetName val="Desquinche Chimenea"/>
      <sheetName val="Fierro 2.1 Convencional"/>
      <sheetName val="Fierro 2.1 Mecanizado"/>
      <sheetName val="bbss empleados"/>
      <sheetName val="bbss obreros"/>
      <sheetName val="Stand-by Personal San Rafael"/>
      <sheetName val="Personal Lima"/>
      <sheetName val="Servicios"/>
      <sheetName val="Gastos Generales"/>
      <sheetName val="Equipo Auxiliar"/>
      <sheetName val="Stand-by Equipo Auxiliar"/>
      <sheetName val="Jumbo H282"/>
      <sheetName val="Clayton 8-ton"/>
      <sheetName val="Pala Neumática"/>
      <sheetName val="Scoop 3.5 yd3"/>
      <sheetName val="Scoop ST-1010"/>
      <sheetName val="Scoop EJC210"/>
      <sheetName val="Granby 60p3"/>
      <sheetName val="Seguros"/>
      <sheetName val="ggrp"/>
      <sheetName val="pror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2"/>
      <sheetName val="precios Atacocha"/>
      <sheetName val="mov"/>
      <sheetName val="Programa 2005"/>
      <sheetName val="ResumenProyectos 05"/>
      <sheetName val="r4x4"/>
      <sheetName val="G4X4"/>
      <sheetName val="3x3"/>
      <sheetName val="4x35vent"/>
      <sheetName val="5x4.5"/>
      <sheetName val="3.5x3.5"/>
      <sheetName val="r45x4"/>
      <sheetName val="Ch15x15"/>
      <sheetName val="shot"/>
      <sheetName val="Dumper"/>
      <sheetName val="desq"/>
      <sheetName val="pernocemb"/>
      <sheetName val="split set"/>
      <sheetName val="CF05"/>
      <sheetName val="ST2d"/>
      <sheetName val="st1000"/>
      <sheetName val="ST4yd3"/>
      <sheetName val="3.5yd"/>
      <sheetName val="JDT"/>
      <sheetName val="H282"/>
      <sheetName val="resumen consumo d2"/>
      <sheetName val="mg4x35"/>
      <sheetName val="mr4x4"/>
      <sheetName val="mr4x3.5"/>
      <sheetName val="Ch2.1x2.1"/>
      <sheetName val="3x3m"/>
      <sheetName val="m35x3"/>
      <sheetName val="3.5x3.5m"/>
      <sheetName val="3.5x3vent"/>
      <sheetName val="mg4x4"/>
      <sheetName val="mr45x4"/>
      <sheetName val="bombeo matador"/>
      <sheetName val="bbss"/>
      <sheetName val="insumos"/>
      <sheetName val="Hoja1"/>
      <sheetName val="bomba"/>
      <sheetName val="ventiladora"/>
      <sheetName val="Resumen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sheetData sheetId="31"/>
      <sheetData sheetId="32"/>
      <sheetData sheetId="33"/>
      <sheetData sheetId="34"/>
      <sheetData sheetId="35"/>
      <sheetData sheetId="36"/>
      <sheetData sheetId="37"/>
      <sheetData sheetId="38" refreshError="1"/>
      <sheetData sheetId="39"/>
      <sheetData sheetId="40"/>
      <sheetData sheetId="41"/>
      <sheetData sheetId="42"/>
    </sheetDataSet>
  </externalBook>
</externalLink>
</file>

<file path=xl/externalLinks/externalLink4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2"/>
      <sheetName val="mov"/>
      <sheetName val="seguro"/>
      <sheetName val="EXPERIENCIA"/>
      <sheetName val="PERSONAL"/>
      <sheetName val="EQUIPO"/>
      <sheetName val="EST SEG"/>
      <sheetName val="Hoja1"/>
      <sheetName val="resumen"/>
      <sheetName val="zanja"/>
      <sheetName val="falso tunel"/>
      <sheetName val="tun4x35"/>
      <sheetName val="descc"/>
      <sheetName val="decc"/>
      <sheetName val="AB2BP1"/>
      <sheetName val="AB3Dq"/>
      <sheetName val="AB4C1"/>
      <sheetName val="AB5g35x33"/>
      <sheetName val="AB6BP1"/>
      <sheetName val="AB6EDqBP1"/>
      <sheetName val="AB7BP2"/>
      <sheetName val="AB8G300A600"/>
      <sheetName val="AB9C2"/>
      <sheetName val="AB10BP2"/>
      <sheetName val="AB10EDqBP2"/>
      <sheetName val="AB11BP3"/>
      <sheetName val="AB12Cr"/>
      <sheetName val="AB13_750900"/>
      <sheetName val="AB14C3"/>
      <sheetName val="AB15BP4"/>
      <sheetName val="AB16a1000"/>
      <sheetName val="AR1CA"/>
      <sheetName val="AR2Gal"/>
      <sheetName val="AR3BP5"/>
      <sheetName val="AR4CR5420S"/>
      <sheetName val="AR5BP5"/>
      <sheetName val="AR6BP6"/>
      <sheetName val="AR7DBP5"/>
      <sheetName val="AR8DqcR5420S"/>
      <sheetName val="AR9Cr5435s"/>
      <sheetName val="AR10BPCR5420S"/>
      <sheetName val="AR11DqcR5420S1"/>
      <sheetName val="AR12DqGalS"/>
      <sheetName val="AR13DqBP"/>
      <sheetName val="AR14DqGn"/>
      <sheetName val="Dumper"/>
      <sheetName val="perno"/>
      <sheetName val="cerchas"/>
      <sheetName val="viaferrea"/>
      <sheetName val="trolley"/>
      <sheetName val="MODCUN"/>
      <sheetName val="cuneta"/>
      <sheetName val="costos fijos"/>
      <sheetName val="bbss"/>
      <sheetName val="des"/>
      <sheetName val="DESQ2"/>
      <sheetName val="cond"/>
      <sheetName val="sbypers"/>
      <sheetName val="sbyeq"/>
      <sheetName val="sek"/>
      <sheetName val="insumos"/>
      <sheetName val="H282"/>
      <sheetName val="st1000"/>
      <sheetName val="3.5yd"/>
      <sheetName val="ST2d"/>
      <sheetName val="TRANSPORTE VOLVO"/>
      <sheetName val="VOLVO"/>
      <sheetName val="JDT"/>
      <sheetName val="camione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4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grama"/>
      <sheetName val="gráficos"/>
      <sheetName val="Input"/>
      <sheetName val="Mina"/>
      <sheetName val="Planta"/>
      <sheetName val="Flujo Caja"/>
      <sheetName val="VPN"/>
      <sheetName val="Detalle Mina"/>
      <sheetName val="Costos Mina"/>
      <sheetName val="Costos Planta (182)"/>
      <sheetName val="EQUIPOS MINA"/>
      <sheetName val="COMPRAS_MINA"/>
      <sheetName val="DETALLE COMPRAS"/>
      <sheetName val="INV MINA"/>
      <sheetName val="BAJAS_MINA"/>
      <sheetName val="DETALLE BAJAS"/>
      <sheetName val="VENTA BAJAS"/>
      <sheetName val="Tabla1"/>
      <sheetName val="Tabla3"/>
      <sheetName val="PRECIO CBV2002"/>
      <sheetName val="IAS_2002"/>
      <sheetName val="mincon (2)"/>
      <sheetName val="Gastos Diferidos "/>
      <sheetName val="Inv 182 Planta"/>
      <sheetName val="product"/>
      <sheetName val="Dotacion_Insumos"/>
      <sheetName val="Eval Economica 182_CD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vances Julio 06"/>
      <sheetName val="Avances Agosto 06"/>
      <sheetName val="Avances Setiembre 06"/>
      <sheetName val="Avances Octubre 06"/>
      <sheetName val="Avances Noviembre 06"/>
      <sheetName val="Avances Enero 07"/>
      <sheetName val="Avances Mensuales"/>
      <sheetName val="Programa de Contrato 06"/>
      <sheetName val="Val Feb 06"/>
      <sheetName val="Val Mar 06"/>
      <sheetName val="Val Abr 06"/>
      <sheetName val="Val May 06"/>
      <sheetName val="Val Jun 06"/>
      <sheetName val="Val Jul 06"/>
      <sheetName val="Val Ago 06"/>
      <sheetName val="Val Set 06"/>
      <sheetName val="Val Oct 06"/>
      <sheetName val="Val Nov 06"/>
      <sheetName val="Val Dic 0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ograma 2005"/>
      <sheetName val="Resumen"/>
      <sheetName val="Precios Unitarios"/>
      <sheetName val="Personal San Rafael"/>
      <sheetName val="Prorrateo"/>
      <sheetName val="Galería 5.0x4.0"/>
      <sheetName val="Rampa 5.0x4.0"/>
      <sheetName val="Galería 4.0x3.5"/>
      <sheetName val="Gal conv 4x3.5"/>
      <sheetName val="Gal conv 4.0x3.0"/>
      <sheetName val="Gal conv 3.5x3.0"/>
      <sheetName val="Gal 2.5x2.7"/>
      <sheetName val="Gal 2.4x2.7"/>
      <sheetName val="Gal 2.4x2.4"/>
      <sheetName val="Ch 2.4x1.5"/>
      <sheetName val="Ch 2.0x1.5"/>
      <sheetName val="Desq Jackleg"/>
      <sheetName val="Desq Jumbo"/>
      <sheetName val="Desquinche Chimenea"/>
      <sheetName val="Fierro 2.1 Convencional"/>
      <sheetName val="Fierro 2.1 Mecanizado"/>
      <sheetName val="bbss empleados"/>
      <sheetName val="bbss obreros"/>
      <sheetName val="Stand-by Personal San Rafael"/>
      <sheetName val="Personal Lima"/>
      <sheetName val="Servicios"/>
      <sheetName val="Gastos Generales"/>
      <sheetName val="Equipo Auxiliar"/>
      <sheetName val="Stand-by Equipo Auxiliar"/>
      <sheetName val="Jumbo H282"/>
      <sheetName val="Clayton 8-ton"/>
      <sheetName val="Pala Neumática"/>
      <sheetName val="Scoop 3.5 yd3"/>
      <sheetName val="Scoop ST-1010"/>
      <sheetName val="Scoop EJC210"/>
      <sheetName val="Granby 60p3"/>
      <sheetName val="Seguros"/>
      <sheetName val="ggrp"/>
      <sheetName val="pror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8.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Hoja1"/>
      <sheetName val="revisión costos"/>
      <sheetName val="Cierre"/>
      <sheetName val="Resumen GG"/>
      <sheetName val="Personal"/>
      <sheetName val="Gastos y Elem. Seguridad"/>
      <sheetName val="Equipos y Fletes"/>
      <sheetName val="indirectos"/>
      <sheetName val="solo GG"/>
      <sheetName val="Costos"/>
      <sheetName val="Curva Personal Indirecto"/>
      <sheetName val="Curva Personal Directo"/>
      <sheetName val="Subconter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2" width="37.29"/>
    <col customWidth="1" min="3" max="9" width="13.29"/>
    <col customWidth="1" min="10" max="14" width="12.29"/>
    <col customWidth="1" min="15" max="15" width="14.86"/>
    <col customWidth="1" min="16" max="16" width="12.0"/>
    <col customWidth="1" min="17" max="17" width="19.0"/>
    <col customWidth="1" min="18" max="18" width="18.71"/>
    <col customWidth="1" min="19" max="26" width="11.43"/>
  </cols>
  <sheetData>
    <row r="1" ht="14.25" customHeight="1"/>
    <row r="2" ht="14.25" customHeight="1">
      <c r="B2" s="1" t="s">
        <v>0</v>
      </c>
      <c r="C2" s="2"/>
      <c r="D2" s="2"/>
      <c r="E2" s="2"/>
      <c r="F2" s="2"/>
      <c r="G2" s="2"/>
      <c r="H2" s="2"/>
      <c r="I2" s="2"/>
      <c r="J2" s="2"/>
      <c r="K2" s="2"/>
      <c r="L2" s="2"/>
      <c r="M2" s="2"/>
      <c r="N2" s="2"/>
      <c r="O2" s="3"/>
    </row>
    <row r="3" ht="14.25" customHeight="1"/>
    <row r="4" ht="14.25" customHeight="1">
      <c r="C4" s="4" t="s">
        <v>1</v>
      </c>
      <c r="D4" s="4" t="s">
        <v>2</v>
      </c>
      <c r="E4" s="4" t="s">
        <v>3</v>
      </c>
      <c r="F4" s="4" t="s">
        <v>4</v>
      </c>
      <c r="G4" s="4" t="s">
        <v>5</v>
      </c>
      <c r="H4" s="4" t="s">
        <v>6</v>
      </c>
      <c r="I4" s="4" t="s">
        <v>7</v>
      </c>
      <c r="J4" s="4" t="s">
        <v>8</v>
      </c>
      <c r="K4" s="4" t="s">
        <v>9</v>
      </c>
      <c r="L4" s="4" t="s">
        <v>10</v>
      </c>
      <c r="M4" s="4" t="s">
        <v>11</v>
      </c>
      <c r="N4" s="4" t="s">
        <v>12</v>
      </c>
      <c r="O4" s="5" t="s">
        <v>13</v>
      </c>
    </row>
    <row r="5" ht="14.25" customHeight="1">
      <c r="B5" s="6" t="s">
        <v>14</v>
      </c>
      <c r="C5" s="7">
        <v>1276070.0</v>
      </c>
      <c r="D5" s="7">
        <v>2000000.0</v>
      </c>
      <c r="E5" s="7">
        <v>2000000.0</v>
      </c>
      <c r="F5" s="7">
        <v>2000000.0</v>
      </c>
      <c r="G5" s="7">
        <v>2000000.0</v>
      </c>
      <c r="H5" s="7">
        <v>2000000.0</v>
      </c>
      <c r="I5" s="7">
        <v>2000000.0</v>
      </c>
      <c r="J5" s="7">
        <v>2000000.0</v>
      </c>
      <c r="K5" s="7">
        <v>2000000.0</v>
      </c>
      <c r="L5" s="7">
        <v>2000000.0</v>
      </c>
      <c r="M5" s="7">
        <v>2000000.0</v>
      </c>
      <c r="N5" s="8">
        <v>890000.0</v>
      </c>
      <c r="O5" s="7">
        <f t="shared" ref="O5:O7" si="1">SUM(C5:N5)</f>
        <v>22166070</v>
      </c>
    </row>
    <row r="6" ht="14.25" customHeight="1">
      <c r="B6" s="6" t="s">
        <v>15</v>
      </c>
      <c r="C6" s="7">
        <v>333918.2884064494</v>
      </c>
      <c r="D6" s="7">
        <v>546538.5406787018</v>
      </c>
      <c r="E6" s="7">
        <v>543926.6642017779</v>
      </c>
      <c r="F6" s="7">
        <v>390327.4711849149</v>
      </c>
      <c r="G6" s="7">
        <v>355319.2566752937</v>
      </c>
      <c r="H6" s="7">
        <v>316562.4447409456</v>
      </c>
      <c r="I6" s="7">
        <v>434351.76105582976</v>
      </c>
      <c r="J6" s="7">
        <v>103293.13421319144</v>
      </c>
      <c r="K6" s="7">
        <v>86389.1201954764</v>
      </c>
      <c r="L6" s="7">
        <v>61957.46459401675</v>
      </c>
      <c r="M6" s="7">
        <v>59278.73068947225</v>
      </c>
      <c r="N6" s="8">
        <v>45324.22316041603</v>
      </c>
      <c r="O6" s="7">
        <f t="shared" si="1"/>
        <v>3277187.1</v>
      </c>
    </row>
    <row r="7" ht="14.25" customHeight="1">
      <c r="B7" s="6" t="s">
        <v>16</v>
      </c>
      <c r="C7" s="7">
        <v>1329033.3359165366</v>
      </c>
      <c r="D7" s="7">
        <v>3609336.569839407</v>
      </c>
      <c r="E7" s="7">
        <v>3822391.3707460575</v>
      </c>
      <c r="F7" s="7">
        <v>2418013.1657208996</v>
      </c>
      <c r="G7" s="7">
        <v>3505080.6822383334</v>
      </c>
      <c r="H7" s="7">
        <v>2433967.2384136836</v>
      </c>
      <c r="I7" s="7">
        <v>1519056.6977992828</v>
      </c>
      <c r="J7" s="7">
        <v>3495626.1513977526</v>
      </c>
      <c r="K7" s="7">
        <v>1139234.105486521</v>
      </c>
      <c r="L7" s="7">
        <v>2664213.866606652</v>
      </c>
      <c r="M7" s="7">
        <v>611561.5284453519</v>
      </c>
      <c r="N7" s="8">
        <v>184386.9374584854</v>
      </c>
      <c r="O7" s="7">
        <f t="shared" si="1"/>
        <v>26731901.65</v>
      </c>
    </row>
    <row r="8" ht="14.25" customHeight="1">
      <c r="B8" s="9" t="s">
        <v>17</v>
      </c>
      <c r="C8" s="10">
        <v>1300.0</v>
      </c>
      <c r="D8" s="10">
        <f t="shared" ref="D8:N8" si="2">+C8</f>
        <v>1300</v>
      </c>
      <c r="E8" s="10">
        <f t="shared" si="2"/>
        <v>1300</v>
      </c>
      <c r="F8" s="10">
        <f t="shared" si="2"/>
        <v>1300</v>
      </c>
      <c r="G8" s="10">
        <f t="shared" si="2"/>
        <v>1300</v>
      </c>
      <c r="H8" s="10">
        <f t="shared" si="2"/>
        <v>1300</v>
      </c>
      <c r="I8" s="10">
        <f t="shared" si="2"/>
        <v>1300</v>
      </c>
      <c r="J8" s="10">
        <f t="shared" si="2"/>
        <v>1300</v>
      </c>
      <c r="K8" s="10">
        <f t="shared" si="2"/>
        <v>1300</v>
      </c>
      <c r="L8" s="10">
        <f t="shared" si="2"/>
        <v>1300</v>
      </c>
      <c r="M8" s="10">
        <f t="shared" si="2"/>
        <v>1300</v>
      </c>
      <c r="N8" s="10">
        <f t="shared" si="2"/>
        <v>1300</v>
      </c>
      <c r="O8" s="11"/>
    </row>
    <row r="9" ht="14.25" customHeight="1">
      <c r="B9" s="12" t="s">
        <v>18</v>
      </c>
      <c r="C9" s="13">
        <v>17.5</v>
      </c>
      <c r="D9" s="13">
        <f t="shared" ref="D9:N9" si="3">+C9</f>
        <v>17.5</v>
      </c>
      <c r="E9" s="13">
        <f t="shared" si="3"/>
        <v>17.5</v>
      </c>
      <c r="F9" s="13">
        <f t="shared" si="3"/>
        <v>17.5</v>
      </c>
      <c r="G9" s="13">
        <f t="shared" si="3"/>
        <v>17.5</v>
      </c>
      <c r="H9" s="13">
        <f t="shared" si="3"/>
        <v>17.5</v>
      </c>
      <c r="I9" s="13">
        <f t="shared" si="3"/>
        <v>17.5</v>
      </c>
      <c r="J9" s="13">
        <f t="shared" si="3"/>
        <v>17.5</v>
      </c>
      <c r="K9" s="13">
        <f t="shared" si="3"/>
        <v>17.5</v>
      </c>
      <c r="L9" s="13">
        <f t="shared" si="3"/>
        <v>17.5</v>
      </c>
      <c r="M9" s="13">
        <f t="shared" si="3"/>
        <v>17.5</v>
      </c>
      <c r="N9" s="13">
        <f t="shared" si="3"/>
        <v>17.5</v>
      </c>
      <c r="O9" s="11"/>
    </row>
    <row r="10" ht="14.25" customHeight="1">
      <c r="B10" s="6" t="s">
        <v>19</v>
      </c>
      <c r="C10" s="7">
        <f t="shared" ref="C10:N10" si="4">+C6+C7/(C8/C9)</f>
        <v>351809.1218</v>
      </c>
      <c r="D10" s="7">
        <f t="shared" si="4"/>
        <v>595125.7637</v>
      </c>
      <c r="E10" s="7">
        <f t="shared" si="4"/>
        <v>595381.9327</v>
      </c>
      <c r="F10" s="7">
        <f t="shared" si="4"/>
        <v>422877.6484</v>
      </c>
      <c r="G10" s="7">
        <f t="shared" si="4"/>
        <v>402503.0351</v>
      </c>
      <c r="H10" s="7">
        <f t="shared" si="4"/>
        <v>349327.3883</v>
      </c>
      <c r="I10" s="7">
        <f t="shared" si="4"/>
        <v>454800.6012</v>
      </c>
      <c r="J10" s="7">
        <f t="shared" si="4"/>
        <v>150349.6401</v>
      </c>
      <c r="K10" s="7">
        <f t="shared" si="4"/>
        <v>101724.9639</v>
      </c>
      <c r="L10" s="7">
        <f t="shared" si="4"/>
        <v>97821.88203</v>
      </c>
      <c r="M10" s="7">
        <f t="shared" si="4"/>
        <v>67511.28973</v>
      </c>
      <c r="N10" s="8">
        <f t="shared" si="4"/>
        <v>47806.35501</v>
      </c>
      <c r="O10" s="14">
        <f>SUM(C10:N10)</f>
        <v>3637039.622</v>
      </c>
      <c r="R10" s="15"/>
    </row>
    <row r="11" ht="14.25" customHeight="1">
      <c r="B11" s="16"/>
      <c r="C11" s="17"/>
      <c r="D11" s="16"/>
      <c r="E11" s="16"/>
      <c r="F11" s="17"/>
      <c r="G11" s="16"/>
      <c r="H11" s="16"/>
      <c r="I11" s="16"/>
      <c r="J11" s="16"/>
      <c r="K11" s="16"/>
      <c r="L11" s="16"/>
      <c r="M11" s="16"/>
      <c r="N11" s="16"/>
      <c r="O11" s="16"/>
      <c r="P11" s="18"/>
    </row>
    <row r="12" ht="14.25" customHeight="1">
      <c r="A12" s="19" t="s">
        <v>20</v>
      </c>
      <c r="B12" s="20" t="s">
        <v>21</v>
      </c>
      <c r="C12" s="21"/>
      <c r="D12" s="21"/>
      <c r="E12" s="21"/>
      <c r="F12" s="21"/>
      <c r="G12" s="21"/>
      <c r="H12" s="21"/>
      <c r="I12" s="21"/>
      <c r="J12" s="21"/>
      <c r="K12" s="21"/>
      <c r="L12" s="21"/>
      <c r="M12" s="21"/>
      <c r="N12" s="21"/>
      <c r="O12" s="22"/>
    </row>
    <row r="13" ht="14.25" customHeight="1">
      <c r="A13" s="23"/>
      <c r="B13" s="24" t="s">
        <v>22</v>
      </c>
      <c r="C13" s="7">
        <f t="shared" ref="C13:N13" si="5">+C8*C6</f>
        <v>434093774.9</v>
      </c>
      <c r="D13" s="7">
        <f t="shared" si="5"/>
        <v>710500102.9</v>
      </c>
      <c r="E13" s="7">
        <f t="shared" si="5"/>
        <v>707104663.5</v>
      </c>
      <c r="F13" s="7">
        <f t="shared" si="5"/>
        <v>507425712.5</v>
      </c>
      <c r="G13" s="7">
        <f t="shared" si="5"/>
        <v>461915033.7</v>
      </c>
      <c r="H13" s="7">
        <f t="shared" si="5"/>
        <v>411531178.2</v>
      </c>
      <c r="I13" s="7">
        <f t="shared" si="5"/>
        <v>564657289.4</v>
      </c>
      <c r="J13" s="7">
        <f t="shared" si="5"/>
        <v>134281074.5</v>
      </c>
      <c r="K13" s="7">
        <f t="shared" si="5"/>
        <v>112305856.3</v>
      </c>
      <c r="L13" s="7">
        <f t="shared" si="5"/>
        <v>80544703.97</v>
      </c>
      <c r="M13" s="7">
        <f t="shared" si="5"/>
        <v>77062349.9</v>
      </c>
      <c r="N13" s="8">
        <f t="shared" si="5"/>
        <v>58921490.11</v>
      </c>
      <c r="O13" s="25">
        <f t="shared" ref="O13:O15" si="7">SUM(C13:N13)</f>
        <v>4260343230</v>
      </c>
    </row>
    <row r="14" ht="14.25" customHeight="1">
      <c r="A14" s="23"/>
      <c r="B14" s="24" t="s">
        <v>23</v>
      </c>
      <c r="C14" s="7">
        <f t="shared" ref="C14:N14" si="6">+C9*C7</f>
        <v>23258083.38</v>
      </c>
      <c r="D14" s="7">
        <f t="shared" si="6"/>
        <v>63163389.97</v>
      </c>
      <c r="E14" s="7">
        <f t="shared" si="6"/>
        <v>66891848.99</v>
      </c>
      <c r="F14" s="7">
        <f t="shared" si="6"/>
        <v>42315230.4</v>
      </c>
      <c r="G14" s="7">
        <f t="shared" si="6"/>
        <v>61338911.94</v>
      </c>
      <c r="H14" s="7">
        <f t="shared" si="6"/>
        <v>42594426.67</v>
      </c>
      <c r="I14" s="7">
        <f t="shared" si="6"/>
        <v>26583492.21</v>
      </c>
      <c r="J14" s="7">
        <f t="shared" si="6"/>
        <v>61173457.65</v>
      </c>
      <c r="K14" s="7">
        <f t="shared" si="6"/>
        <v>19936596.85</v>
      </c>
      <c r="L14" s="7">
        <f t="shared" si="6"/>
        <v>46623742.67</v>
      </c>
      <c r="M14" s="7">
        <f t="shared" si="6"/>
        <v>10702326.75</v>
      </c>
      <c r="N14" s="8">
        <f t="shared" si="6"/>
        <v>3226771.406</v>
      </c>
      <c r="O14" s="25">
        <f t="shared" si="7"/>
        <v>467808278.9</v>
      </c>
    </row>
    <row r="15" ht="14.25" customHeight="1">
      <c r="A15" s="23"/>
      <c r="B15" s="24" t="s">
        <v>24</v>
      </c>
      <c r="C15" s="7">
        <f t="shared" ref="C15:N15" si="8">+C14+C13</f>
        <v>457351858.3</v>
      </c>
      <c r="D15" s="7">
        <f t="shared" si="8"/>
        <v>773663492.9</v>
      </c>
      <c r="E15" s="7">
        <f t="shared" si="8"/>
        <v>773996512.5</v>
      </c>
      <c r="F15" s="7">
        <f t="shared" si="8"/>
        <v>549740942.9</v>
      </c>
      <c r="G15" s="7">
        <f t="shared" si="8"/>
        <v>523253945.6</v>
      </c>
      <c r="H15" s="7">
        <f t="shared" si="8"/>
        <v>454125604.8</v>
      </c>
      <c r="I15" s="7">
        <f t="shared" si="8"/>
        <v>591240781.6</v>
      </c>
      <c r="J15" s="7">
        <f t="shared" si="8"/>
        <v>195454532.1</v>
      </c>
      <c r="K15" s="7">
        <f t="shared" si="8"/>
        <v>132242453.1</v>
      </c>
      <c r="L15" s="7">
        <f t="shared" si="8"/>
        <v>127168446.6</v>
      </c>
      <c r="M15" s="7">
        <f t="shared" si="8"/>
        <v>87764676.64</v>
      </c>
      <c r="N15" s="8">
        <f t="shared" si="8"/>
        <v>62148261.51</v>
      </c>
      <c r="O15" s="25">
        <f t="shared" si="7"/>
        <v>4728151509</v>
      </c>
    </row>
    <row r="16" ht="14.25" customHeight="1">
      <c r="A16" s="26"/>
      <c r="B16" s="27" t="s">
        <v>25</v>
      </c>
      <c r="C16" s="28">
        <f t="shared" ref="C16:N16" si="9">+C15/1000000</f>
        <v>457.3518583</v>
      </c>
      <c r="D16" s="28">
        <f t="shared" si="9"/>
        <v>773.6634929</v>
      </c>
      <c r="E16" s="28">
        <f t="shared" si="9"/>
        <v>773.9965125</v>
      </c>
      <c r="F16" s="28">
        <f t="shared" si="9"/>
        <v>549.7409429</v>
      </c>
      <c r="G16" s="28">
        <f t="shared" si="9"/>
        <v>523.2539456</v>
      </c>
      <c r="H16" s="28">
        <f t="shared" si="9"/>
        <v>454.1256048</v>
      </c>
      <c r="I16" s="28">
        <f t="shared" si="9"/>
        <v>591.2407816</v>
      </c>
      <c r="J16" s="28">
        <f t="shared" si="9"/>
        <v>195.4545321</v>
      </c>
      <c r="K16" s="28">
        <f t="shared" si="9"/>
        <v>132.2424531</v>
      </c>
      <c r="L16" s="28">
        <f t="shared" si="9"/>
        <v>127.1684466</v>
      </c>
      <c r="M16" s="28">
        <f t="shared" si="9"/>
        <v>87.76467664</v>
      </c>
      <c r="N16" s="28">
        <f t="shared" si="9"/>
        <v>62.14826151</v>
      </c>
      <c r="O16" s="29"/>
    </row>
    <row r="17" ht="14.25" customHeight="1">
      <c r="C17" s="30"/>
    </row>
    <row r="18" ht="14.25" customHeight="1"/>
    <row r="19" ht="14.25" customHeight="1">
      <c r="A19" s="19" t="s">
        <v>26</v>
      </c>
      <c r="B19" s="20" t="s">
        <v>27</v>
      </c>
      <c r="C19" s="21"/>
      <c r="D19" s="21"/>
      <c r="E19" s="21"/>
      <c r="F19" s="21"/>
      <c r="G19" s="21"/>
      <c r="H19" s="21"/>
      <c r="I19" s="21"/>
      <c r="J19" s="21"/>
      <c r="K19" s="21"/>
      <c r="L19" s="21"/>
      <c r="M19" s="21"/>
      <c r="N19" s="21"/>
      <c r="O19" s="21"/>
      <c r="P19" s="21"/>
      <c r="Q19" s="22"/>
    </row>
    <row r="20" ht="14.25" customHeight="1">
      <c r="A20" s="23"/>
      <c r="B20" s="31" t="s">
        <v>28</v>
      </c>
      <c r="C20" s="32" t="str">
        <f t="shared" ref="C20:N20" si="10">+C4</f>
        <v>Y01</v>
      </c>
      <c r="D20" s="32" t="str">
        <f t="shared" si="10"/>
        <v>Y02</v>
      </c>
      <c r="E20" s="32" t="str">
        <f t="shared" si="10"/>
        <v>Y03</v>
      </c>
      <c r="F20" s="32" t="str">
        <f t="shared" si="10"/>
        <v>Y04</v>
      </c>
      <c r="G20" s="32" t="str">
        <f t="shared" si="10"/>
        <v>Y05</v>
      </c>
      <c r="H20" s="32" t="str">
        <f t="shared" si="10"/>
        <v>Y06</v>
      </c>
      <c r="I20" s="32" t="str">
        <f t="shared" si="10"/>
        <v>Y07</v>
      </c>
      <c r="J20" s="32" t="str">
        <f t="shared" si="10"/>
        <v>Y08</v>
      </c>
      <c r="K20" s="32" t="str">
        <f t="shared" si="10"/>
        <v>Y09</v>
      </c>
      <c r="L20" s="32" t="str">
        <f t="shared" si="10"/>
        <v>Y10</v>
      </c>
      <c r="M20" s="32" t="str">
        <f t="shared" si="10"/>
        <v>Y11</v>
      </c>
      <c r="N20" s="32" t="str">
        <f t="shared" si="10"/>
        <v>Y12</v>
      </c>
      <c r="O20" s="33" t="s">
        <v>29</v>
      </c>
      <c r="P20" s="34" t="s">
        <v>30</v>
      </c>
      <c r="Q20" s="35" t="s">
        <v>31</v>
      </c>
    </row>
    <row r="21" ht="14.25" customHeight="1">
      <c r="A21" s="23"/>
      <c r="B21" s="31" t="s">
        <v>32</v>
      </c>
      <c r="C21" s="36">
        <v>39.8</v>
      </c>
      <c r="D21" s="36">
        <v>32.15</v>
      </c>
      <c r="E21" s="36">
        <v>32.15</v>
      </c>
      <c r="F21" s="36">
        <v>31.92</v>
      </c>
      <c r="G21" s="36">
        <v>31.92</v>
      </c>
      <c r="H21" s="36">
        <v>32.03</v>
      </c>
      <c r="I21" s="36">
        <v>30.49</v>
      </c>
      <c r="J21" s="36">
        <v>25.3</v>
      </c>
      <c r="K21" s="36">
        <v>24.77</v>
      </c>
      <c r="L21" s="36">
        <v>20.96</v>
      </c>
      <c r="M21" s="36">
        <v>12.66</v>
      </c>
      <c r="N21" s="37">
        <v>3.73</v>
      </c>
      <c r="O21" s="38">
        <f t="shared" ref="O21:O26" si="11">SUM(C21:N21)*1000000</f>
        <v>317880000</v>
      </c>
      <c r="P21" s="39">
        <f t="shared" ref="P21:P26" si="12">+O21/$O$5</f>
        <v>14.34083714</v>
      </c>
      <c r="Q21" s="40">
        <f t="shared" ref="Q21:Q25" si="13">+O21/$O$10</f>
        <v>87.40075255</v>
      </c>
    </row>
    <row r="22" ht="14.25" customHeight="1">
      <c r="A22" s="23"/>
      <c r="B22" s="31" t="s">
        <v>33</v>
      </c>
      <c r="C22" s="36">
        <v>82.57</v>
      </c>
      <c r="D22" s="36">
        <v>94.09</v>
      </c>
      <c r="E22" s="36">
        <v>100.27</v>
      </c>
      <c r="F22" s="36">
        <v>106.94</v>
      </c>
      <c r="G22" s="36">
        <v>106.79</v>
      </c>
      <c r="H22" s="36">
        <v>101.06</v>
      </c>
      <c r="I22" s="36">
        <v>71.57</v>
      </c>
      <c r="J22" s="36">
        <v>0.0</v>
      </c>
      <c r="K22" s="36">
        <v>0.0</v>
      </c>
      <c r="L22" s="36">
        <v>0.0</v>
      </c>
      <c r="M22" s="36">
        <v>0.0</v>
      </c>
      <c r="N22" s="37">
        <v>0.0</v>
      </c>
      <c r="O22" s="41">
        <f t="shared" si="11"/>
        <v>663290000</v>
      </c>
      <c r="P22" s="39">
        <f t="shared" si="12"/>
        <v>29.92366261</v>
      </c>
      <c r="Q22" s="40">
        <f t="shared" si="13"/>
        <v>182.370848</v>
      </c>
    </row>
    <row r="23" ht="14.25" customHeight="1">
      <c r="A23" s="23"/>
      <c r="B23" s="31" t="s">
        <v>34</v>
      </c>
      <c r="C23" s="36">
        <v>0.94</v>
      </c>
      <c r="D23" s="36">
        <v>1.56</v>
      </c>
      <c r="E23" s="36">
        <v>1.59</v>
      </c>
      <c r="F23" s="36">
        <v>1.64</v>
      </c>
      <c r="G23" s="36">
        <v>1.82</v>
      </c>
      <c r="H23" s="36">
        <v>1.42</v>
      </c>
      <c r="I23" s="36">
        <v>1.63</v>
      </c>
      <c r="J23" s="36">
        <v>6.42</v>
      </c>
      <c r="K23" s="36">
        <v>6.34</v>
      </c>
      <c r="L23" s="36">
        <v>6.34</v>
      </c>
      <c r="M23" s="36">
        <v>6.21</v>
      </c>
      <c r="N23" s="37">
        <v>3.17</v>
      </c>
      <c r="O23" s="41">
        <f t="shared" si="11"/>
        <v>39080000</v>
      </c>
      <c r="P23" s="39">
        <f t="shared" si="12"/>
        <v>1.763054975</v>
      </c>
      <c r="Q23" s="40">
        <f t="shared" si="13"/>
        <v>10.74500255</v>
      </c>
    </row>
    <row r="24" ht="14.25" customHeight="1">
      <c r="A24" s="23"/>
      <c r="B24" s="31" t="s">
        <v>35</v>
      </c>
      <c r="C24" s="36">
        <v>44.2</v>
      </c>
      <c r="D24" s="36">
        <v>59.48</v>
      </c>
      <c r="E24" s="36">
        <v>59.7</v>
      </c>
      <c r="F24" s="36">
        <v>59.94</v>
      </c>
      <c r="G24" s="36">
        <v>61.71</v>
      </c>
      <c r="H24" s="36">
        <v>57.77</v>
      </c>
      <c r="I24" s="36">
        <v>57.92</v>
      </c>
      <c r="J24" s="36">
        <v>58.77</v>
      </c>
      <c r="K24" s="36">
        <v>54.32</v>
      </c>
      <c r="L24" s="36">
        <v>55.91</v>
      </c>
      <c r="M24" s="36">
        <v>53.92</v>
      </c>
      <c r="N24" s="37">
        <v>26.37</v>
      </c>
      <c r="O24" s="41">
        <f t="shared" si="11"/>
        <v>650010000</v>
      </c>
      <c r="P24" s="39">
        <f t="shared" si="12"/>
        <v>29.32454874</v>
      </c>
      <c r="Q24" s="40">
        <f t="shared" si="13"/>
        <v>178.7195267</v>
      </c>
    </row>
    <row r="25" ht="14.25" customHeight="1">
      <c r="A25" s="23"/>
      <c r="B25" s="31" t="s">
        <v>36</v>
      </c>
      <c r="C25" s="36">
        <v>1.9</v>
      </c>
      <c r="D25" s="36">
        <v>2.65</v>
      </c>
      <c r="E25" s="36">
        <v>2.7</v>
      </c>
      <c r="F25" s="36">
        <v>2.75</v>
      </c>
      <c r="G25" s="36">
        <v>2.99</v>
      </c>
      <c r="H25" s="36">
        <v>2.55</v>
      </c>
      <c r="I25" s="36">
        <v>2.78</v>
      </c>
      <c r="J25" s="36">
        <v>4.6</v>
      </c>
      <c r="K25" s="36">
        <v>4.5</v>
      </c>
      <c r="L25" s="36">
        <v>4.6</v>
      </c>
      <c r="M25" s="36">
        <v>4.45</v>
      </c>
      <c r="N25" s="37">
        <v>2.22</v>
      </c>
      <c r="O25" s="41">
        <f t="shared" si="11"/>
        <v>38690000</v>
      </c>
      <c r="P25" s="39">
        <f t="shared" si="12"/>
        <v>1.745460517</v>
      </c>
      <c r="Q25" s="40">
        <f t="shared" si="13"/>
        <v>10.63777248</v>
      </c>
    </row>
    <row r="26" ht="14.25" customHeight="1">
      <c r="A26" s="23"/>
      <c r="B26" s="42" t="s">
        <v>29</v>
      </c>
      <c r="C26" s="43">
        <f t="shared" ref="C26:N26" si="14">SUM(C21:C25)</f>
        <v>169.41</v>
      </c>
      <c r="D26" s="43">
        <f t="shared" si="14"/>
        <v>189.93</v>
      </c>
      <c r="E26" s="43">
        <f t="shared" si="14"/>
        <v>196.41</v>
      </c>
      <c r="F26" s="43">
        <f t="shared" si="14"/>
        <v>203.19</v>
      </c>
      <c r="G26" s="43">
        <f t="shared" si="14"/>
        <v>205.23</v>
      </c>
      <c r="H26" s="43">
        <f t="shared" si="14"/>
        <v>194.83</v>
      </c>
      <c r="I26" s="43">
        <f t="shared" si="14"/>
        <v>164.39</v>
      </c>
      <c r="J26" s="43">
        <f t="shared" si="14"/>
        <v>95.09</v>
      </c>
      <c r="K26" s="43">
        <f t="shared" si="14"/>
        <v>89.93</v>
      </c>
      <c r="L26" s="43">
        <f t="shared" si="14"/>
        <v>87.81</v>
      </c>
      <c r="M26" s="43">
        <f t="shared" si="14"/>
        <v>77.24</v>
      </c>
      <c r="N26" s="43">
        <f t="shared" si="14"/>
        <v>35.49</v>
      </c>
      <c r="O26" s="41">
        <f t="shared" si="11"/>
        <v>1708950000</v>
      </c>
      <c r="P26" s="44">
        <f t="shared" si="12"/>
        <v>77.09756398</v>
      </c>
      <c r="Q26" s="45"/>
    </row>
    <row r="27" ht="14.25" customHeight="1">
      <c r="A27" s="23"/>
      <c r="B27" s="46"/>
      <c r="O27" s="47"/>
      <c r="Q27" s="47"/>
    </row>
    <row r="28" ht="14.25" customHeight="1">
      <c r="A28" s="23"/>
      <c r="B28" s="31" t="s">
        <v>37</v>
      </c>
      <c r="C28" s="48">
        <f t="shared" ref="C28:N28" si="15">+C26*1000000/C10</f>
        <v>481.5395324</v>
      </c>
      <c r="D28" s="48">
        <f t="shared" si="15"/>
        <v>319.1426276</v>
      </c>
      <c r="E28" s="48">
        <f t="shared" si="15"/>
        <v>329.8890833</v>
      </c>
      <c r="F28" s="48">
        <f t="shared" si="15"/>
        <v>480.4935914</v>
      </c>
      <c r="G28" s="48">
        <f t="shared" si="15"/>
        <v>509.8843539</v>
      </c>
      <c r="H28" s="48">
        <f t="shared" si="15"/>
        <v>557.7289572</v>
      </c>
      <c r="I28" s="48">
        <f t="shared" si="15"/>
        <v>361.4551071</v>
      </c>
      <c r="J28" s="48">
        <f t="shared" si="15"/>
        <v>632.4591129</v>
      </c>
      <c r="K28" s="48">
        <f t="shared" si="15"/>
        <v>884.0504487</v>
      </c>
      <c r="L28" s="48">
        <f t="shared" si="15"/>
        <v>897.6519177</v>
      </c>
      <c r="M28" s="48">
        <f t="shared" si="15"/>
        <v>1144.104939</v>
      </c>
      <c r="N28" s="49">
        <f t="shared" si="15"/>
        <v>742.3699212</v>
      </c>
      <c r="O28" s="50">
        <f>+O26/O10</f>
        <v>469.8739023</v>
      </c>
      <c r="Q28" s="51">
        <f>SUM(Q21:Q26)</f>
        <v>469.8739023</v>
      </c>
    </row>
    <row r="29" ht="14.25" customHeight="1">
      <c r="A29" s="23"/>
      <c r="B29" s="52"/>
      <c r="C29" s="53"/>
      <c r="D29" s="53"/>
      <c r="E29" s="53"/>
      <c r="F29" s="53"/>
      <c r="G29" s="53"/>
      <c r="H29" s="53"/>
      <c r="I29" s="53"/>
      <c r="J29" s="53"/>
      <c r="K29" s="53"/>
      <c r="L29" s="53"/>
      <c r="M29" s="53"/>
      <c r="N29" s="53"/>
      <c r="Q29" s="54"/>
    </row>
    <row r="30" ht="14.25" customHeight="1">
      <c r="A30" s="26"/>
      <c r="B30" s="27" t="s">
        <v>38</v>
      </c>
      <c r="C30" s="55">
        <f t="shared" ref="C30:N30" si="16">+C26*1000000*-1</f>
        <v>-169410000</v>
      </c>
      <c r="D30" s="55">
        <f t="shared" si="16"/>
        <v>-189930000</v>
      </c>
      <c r="E30" s="55">
        <f t="shared" si="16"/>
        <v>-196410000</v>
      </c>
      <c r="F30" s="55">
        <f t="shared" si="16"/>
        <v>-203190000</v>
      </c>
      <c r="G30" s="55">
        <f t="shared" si="16"/>
        <v>-205230000</v>
      </c>
      <c r="H30" s="55">
        <f t="shared" si="16"/>
        <v>-194830000</v>
      </c>
      <c r="I30" s="55">
        <f t="shared" si="16"/>
        <v>-164390000</v>
      </c>
      <c r="J30" s="55">
        <f t="shared" si="16"/>
        <v>-95090000</v>
      </c>
      <c r="K30" s="55">
        <f t="shared" si="16"/>
        <v>-89930000</v>
      </c>
      <c r="L30" s="55">
        <f t="shared" si="16"/>
        <v>-87810000</v>
      </c>
      <c r="M30" s="55">
        <f t="shared" si="16"/>
        <v>-77240000</v>
      </c>
      <c r="N30" s="55">
        <f t="shared" si="16"/>
        <v>-35490000</v>
      </c>
      <c r="O30" s="56">
        <f>SUM(C30:N30)</f>
        <v>-1708950000</v>
      </c>
      <c r="P30" s="57"/>
      <c r="Q30" s="58"/>
    </row>
    <row r="31" ht="14.25" customHeight="1"/>
    <row r="32" ht="14.25" customHeight="1">
      <c r="A32" s="59" t="s">
        <v>39</v>
      </c>
      <c r="B32" s="60" t="s">
        <v>40</v>
      </c>
      <c r="C32" s="61">
        <f t="shared" ref="C32:N32" si="17">+C15+C30</f>
        <v>287941858.3</v>
      </c>
      <c r="D32" s="61">
        <f t="shared" si="17"/>
        <v>583733492.9</v>
      </c>
      <c r="E32" s="61">
        <f t="shared" si="17"/>
        <v>577586512.5</v>
      </c>
      <c r="F32" s="61">
        <f t="shared" si="17"/>
        <v>346550942.9</v>
      </c>
      <c r="G32" s="61">
        <f t="shared" si="17"/>
        <v>318023945.6</v>
      </c>
      <c r="H32" s="61">
        <f t="shared" si="17"/>
        <v>259295604.8</v>
      </c>
      <c r="I32" s="61">
        <f t="shared" si="17"/>
        <v>426850781.6</v>
      </c>
      <c r="J32" s="61">
        <f t="shared" si="17"/>
        <v>100364532.1</v>
      </c>
      <c r="K32" s="61">
        <f t="shared" si="17"/>
        <v>42312453.1</v>
      </c>
      <c r="L32" s="61">
        <f t="shared" si="17"/>
        <v>39358446.64</v>
      </c>
      <c r="M32" s="61">
        <f t="shared" si="17"/>
        <v>10524676.64</v>
      </c>
      <c r="N32" s="61">
        <f t="shared" si="17"/>
        <v>26658261.51</v>
      </c>
      <c r="O32" s="56">
        <f>SUM(C32:N32)</f>
        <v>3019201509</v>
      </c>
    </row>
    <row r="33" ht="14.25" customHeight="1">
      <c r="A33" s="26"/>
      <c r="B33" s="62" t="s">
        <v>41</v>
      </c>
      <c r="C33" s="63">
        <f t="shared" ref="C33:N33" si="18">+C32/1000000</f>
        <v>287.9418583</v>
      </c>
      <c r="D33" s="63">
        <f t="shared" si="18"/>
        <v>583.7334929</v>
      </c>
      <c r="E33" s="63">
        <f t="shared" si="18"/>
        <v>577.5865125</v>
      </c>
      <c r="F33" s="63">
        <f t="shared" si="18"/>
        <v>346.5509429</v>
      </c>
      <c r="G33" s="63">
        <f t="shared" si="18"/>
        <v>318.0239456</v>
      </c>
      <c r="H33" s="63">
        <f t="shared" si="18"/>
        <v>259.2956048</v>
      </c>
      <c r="I33" s="63">
        <f t="shared" si="18"/>
        <v>426.8507816</v>
      </c>
      <c r="J33" s="63">
        <f t="shared" si="18"/>
        <v>100.3645321</v>
      </c>
      <c r="K33" s="63">
        <f t="shared" si="18"/>
        <v>42.3124531</v>
      </c>
      <c r="L33" s="63">
        <f t="shared" si="18"/>
        <v>39.35844664</v>
      </c>
      <c r="M33" s="63">
        <f t="shared" si="18"/>
        <v>10.52467664</v>
      </c>
      <c r="N33" s="63">
        <f t="shared" si="18"/>
        <v>26.65826151</v>
      </c>
    </row>
    <row r="34" ht="14.25" customHeight="1">
      <c r="B34" s="16"/>
      <c r="C34" s="64"/>
      <c r="D34" s="65">
        <f t="shared" ref="D34:N34" si="19">+D32/D15</f>
        <v>0.7545056711</v>
      </c>
      <c r="E34" s="65">
        <f t="shared" si="19"/>
        <v>0.7462391667</v>
      </c>
      <c r="F34" s="65">
        <f t="shared" si="19"/>
        <v>0.6303895451</v>
      </c>
      <c r="G34" s="65">
        <f t="shared" si="19"/>
        <v>0.6077812662</v>
      </c>
      <c r="H34" s="65">
        <f t="shared" si="19"/>
        <v>0.5709777253</v>
      </c>
      <c r="I34" s="65">
        <f t="shared" si="19"/>
        <v>0.72195761</v>
      </c>
      <c r="J34" s="65">
        <f t="shared" si="19"/>
        <v>0.5134929901</v>
      </c>
      <c r="K34" s="65">
        <f t="shared" si="19"/>
        <v>0.3199611933</v>
      </c>
      <c r="L34" s="65">
        <f t="shared" si="19"/>
        <v>0.3094985248</v>
      </c>
      <c r="M34" s="65">
        <f t="shared" si="19"/>
        <v>0.1199192779</v>
      </c>
      <c r="N34" s="65">
        <f t="shared" si="19"/>
        <v>0.4289462145</v>
      </c>
    </row>
    <row r="35" ht="14.25" customHeight="1">
      <c r="B35" s="66"/>
      <c r="C35" s="67"/>
      <c r="D35" s="67"/>
      <c r="E35" s="67"/>
      <c r="F35" s="67"/>
      <c r="G35" s="67"/>
      <c r="H35" s="67"/>
      <c r="I35" s="67"/>
      <c r="J35" s="67"/>
      <c r="K35" s="67"/>
      <c r="L35" s="67"/>
      <c r="M35" s="67"/>
      <c r="N35" s="67"/>
      <c r="O35" s="68"/>
      <c r="P35" s="68"/>
      <c r="Q35" s="68"/>
    </row>
    <row r="36" ht="14.25" customHeight="1">
      <c r="B36" s="16"/>
      <c r="C36" s="64"/>
      <c r="D36" s="64"/>
      <c r="E36" s="64"/>
      <c r="F36" s="64"/>
      <c r="G36" s="64"/>
      <c r="H36" s="64"/>
      <c r="I36" s="64"/>
      <c r="J36" s="64"/>
      <c r="K36" s="64"/>
      <c r="L36" s="64"/>
      <c r="M36" s="64"/>
      <c r="N36" s="64"/>
    </row>
    <row r="37" ht="14.25" customHeight="1">
      <c r="B37" s="69" t="s">
        <v>42</v>
      </c>
      <c r="C37" s="2"/>
      <c r="D37" s="2"/>
      <c r="E37" s="2"/>
      <c r="F37" s="2"/>
      <c r="G37" s="2"/>
      <c r="H37" s="2"/>
      <c r="I37" s="2"/>
      <c r="J37" s="2"/>
      <c r="K37" s="2"/>
      <c r="L37" s="2"/>
      <c r="M37" s="2"/>
      <c r="N37" s="3"/>
      <c r="O37" s="70"/>
    </row>
    <row r="38" ht="14.25" customHeight="1">
      <c r="B38" s="16"/>
      <c r="C38" s="64"/>
      <c r="D38" s="64"/>
      <c r="E38" s="64"/>
      <c r="F38" s="64"/>
      <c r="G38" s="64"/>
      <c r="H38" s="64"/>
      <c r="I38" s="64"/>
      <c r="J38" s="64"/>
      <c r="K38" s="64"/>
      <c r="L38" s="64"/>
      <c r="M38" s="64"/>
      <c r="N38" s="64"/>
      <c r="O38" s="70"/>
    </row>
    <row r="39" ht="14.25" customHeight="1">
      <c r="A39" s="71" t="s">
        <v>43</v>
      </c>
      <c r="B39" s="72" t="s">
        <v>44</v>
      </c>
      <c r="C39" s="32" t="s">
        <v>1</v>
      </c>
      <c r="D39" s="32" t="s">
        <v>2</v>
      </c>
      <c r="E39" s="32" t="s">
        <v>3</v>
      </c>
      <c r="F39" s="32" t="s">
        <v>4</v>
      </c>
      <c r="G39" s="32" t="s">
        <v>5</v>
      </c>
      <c r="H39" s="32" t="s">
        <v>6</v>
      </c>
      <c r="I39" s="32" t="s">
        <v>7</v>
      </c>
      <c r="J39" s="32" t="s">
        <v>8</v>
      </c>
      <c r="K39" s="32" t="s">
        <v>9</v>
      </c>
      <c r="L39" s="32" t="s">
        <v>10</v>
      </c>
      <c r="M39" s="32" t="s">
        <v>11</v>
      </c>
      <c r="N39" s="32" t="s">
        <v>12</v>
      </c>
      <c r="O39" s="70"/>
    </row>
    <row r="40" ht="14.25" customHeight="1">
      <c r="A40" s="23"/>
      <c r="B40" s="60" t="s">
        <v>45</v>
      </c>
      <c r="C40" s="11">
        <v>91.3</v>
      </c>
      <c r="D40" s="11">
        <v>91.3</v>
      </c>
      <c r="E40" s="11">
        <v>91.3</v>
      </c>
      <c r="F40" s="11">
        <v>91.3</v>
      </c>
      <c r="G40" s="11">
        <v>91.3</v>
      </c>
      <c r="H40" s="11">
        <v>91.3</v>
      </c>
      <c r="I40" s="11">
        <v>91.3</v>
      </c>
      <c r="J40" s="11">
        <v>91.3</v>
      </c>
      <c r="K40" s="11">
        <v>91.3</v>
      </c>
      <c r="L40" s="11">
        <v>91.3</v>
      </c>
      <c r="M40" s="11">
        <v>91.3</v>
      </c>
      <c r="N40" s="11">
        <v>91.3</v>
      </c>
      <c r="O40" s="70"/>
    </row>
    <row r="41" ht="14.25" customHeight="1">
      <c r="A41" s="23"/>
      <c r="B41" s="60" t="s">
        <v>46</v>
      </c>
      <c r="C41" s="73">
        <v>365.0</v>
      </c>
      <c r="D41" s="73">
        <v>365.0</v>
      </c>
      <c r="E41" s="73">
        <v>365.0</v>
      </c>
      <c r="F41" s="73">
        <v>365.0</v>
      </c>
      <c r="G41" s="73">
        <v>365.0</v>
      </c>
      <c r="H41" s="73">
        <v>365.0</v>
      </c>
      <c r="I41" s="73">
        <v>365.0</v>
      </c>
      <c r="J41" s="73">
        <v>365.0</v>
      </c>
      <c r="K41" s="73">
        <v>365.0</v>
      </c>
      <c r="L41" s="73">
        <v>365.0</v>
      </c>
      <c r="M41" s="73">
        <v>365.0</v>
      </c>
      <c r="N41" s="73">
        <v>365.0</v>
      </c>
      <c r="O41" s="70"/>
    </row>
    <row r="42" ht="14.25" customHeight="1">
      <c r="A42" s="23"/>
      <c r="B42" s="60" t="s">
        <v>47</v>
      </c>
      <c r="C42" s="74">
        <f t="shared" ref="C42:N42" si="20">+C41*C40/100</f>
        <v>333.245</v>
      </c>
      <c r="D42" s="74">
        <f t="shared" si="20"/>
        <v>333.245</v>
      </c>
      <c r="E42" s="74">
        <f t="shared" si="20"/>
        <v>333.245</v>
      </c>
      <c r="F42" s="74">
        <f t="shared" si="20"/>
        <v>333.245</v>
      </c>
      <c r="G42" s="74">
        <f t="shared" si="20"/>
        <v>333.245</v>
      </c>
      <c r="H42" s="74">
        <f t="shared" si="20"/>
        <v>333.245</v>
      </c>
      <c r="I42" s="74">
        <f t="shared" si="20"/>
        <v>333.245</v>
      </c>
      <c r="J42" s="74">
        <f t="shared" si="20"/>
        <v>333.245</v>
      </c>
      <c r="K42" s="74">
        <f t="shared" si="20"/>
        <v>333.245</v>
      </c>
      <c r="L42" s="74">
        <f t="shared" si="20"/>
        <v>333.245</v>
      </c>
      <c r="M42" s="74">
        <f t="shared" si="20"/>
        <v>333.245</v>
      </c>
      <c r="N42" s="74">
        <f t="shared" si="20"/>
        <v>333.245</v>
      </c>
      <c r="O42" s="70"/>
    </row>
    <row r="43" ht="14.25" customHeight="1">
      <c r="A43" s="23"/>
      <c r="B43" s="60" t="s">
        <v>48</v>
      </c>
      <c r="C43" s="75">
        <f t="shared" ref="C43:N43" si="21">+C6/C42</f>
        <v>1002.020401</v>
      </c>
      <c r="D43" s="75">
        <f t="shared" si="21"/>
        <v>1640.050235</v>
      </c>
      <c r="E43" s="75">
        <f t="shared" si="21"/>
        <v>1632.212529</v>
      </c>
      <c r="F43" s="75">
        <f t="shared" si="21"/>
        <v>1171.292806</v>
      </c>
      <c r="G43" s="75">
        <f t="shared" si="21"/>
        <v>1066.240324</v>
      </c>
      <c r="H43" s="75">
        <f t="shared" si="21"/>
        <v>949.9390681</v>
      </c>
      <c r="I43" s="75">
        <f t="shared" si="21"/>
        <v>1303.400684</v>
      </c>
      <c r="J43" s="75">
        <f t="shared" si="21"/>
        <v>309.9615424</v>
      </c>
      <c r="K43" s="75">
        <f t="shared" si="21"/>
        <v>259.2360581</v>
      </c>
      <c r="L43" s="75">
        <f t="shared" si="21"/>
        <v>185.921663</v>
      </c>
      <c r="M43" s="75">
        <f t="shared" si="21"/>
        <v>177.8833312</v>
      </c>
      <c r="N43" s="75">
        <f t="shared" si="21"/>
        <v>136.0087118</v>
      </c>
      <c r="O43" s="70"/>
    </row>
    <row r="44" ht="14.25" customHeight="1">
      <c r="A44" s="26"/>
      <c r="B44" s="60" t="s">
        <v>49</v>
      </c>
      <c r="C44" s="7">
        <f t="shared" ref="C44:N44" si="22">+C43/(24*C40%)</f>
        <v>45.72929904</v>
      </c>
      <c r="D44" s="7">
        <f t="shared" si="22"/>
        <v>74.84712648</v>
      </c>
      <c r="E44" s="7">
        <f t="shared" si="22"/>
        <v>74.48943633</v>
      </c>
      <c r="F44" s="7">
        <f t="shared" si="22"/>
        <v>53.4543997</v>
      </c>
      <c r="G44" s="7">
        <f t="shared" si="22"/>
        <v>48.6601097</v>
      </c>
      <c r="H44" s="7">
        <f t="shared" si="22"/>
        <v>43.35245838</v>
      </c>
      <c r="I44" s="7">
        <f t="shared" si="22"/>
        <v>59.48341933</v>
      </c>
      <c r="J44" s="7">
        <f t="shared" si="22"/>
        <v>14.145744</v>
      </c>
      <c r="K44" s="7">
        <f t="shared" si="22"/>
        <v>11.83078031</v>
      </c>
      <c r="L44" s="7">
        <f t="shared" si="22"/>
        <v>8.48492438</v>
      </c>
      <c r="M44" s="7">
        <f t="shared" si="22"/>
        <v>8.118078275</v>
      </c>
      <c r="N44" s="7">
        <f t="shared" si="22"/>
        <v>6.207042342</v>
      </c>
      <c r="O44" s="70"/>
    </row>
    <row r="45" ht="14.25" customHeight="1">
      <c r="A45" s="71" t="s">
        <v>50</v>
      </c>
      <c r="B45" s="76" t="s">
        <v>51</v>
      </c>
      <c r="C45" s="14">
        <f t="shared" ref="C45:N45" si="23">+C44*C8</f>
        <v>59448.08876</v>
      </c>
      <c r="D45" s="14">
        <f t="shared" si="23"/>
        <v>97301.26442</v>
      </c>
      <c r="E45" s="14">
        <f t="shared" si="23"/>
        <v>96836.26723</v>
      </c>
      <c r="F45" s="14">
        <f t="shared" si="23"/>
        <v>69490.71961</v>
      </c>
      <c r="G45" s="14">
        <f t="shared" si="23"/>
        <v>63258.14261</v>
      </c>
      <c r="H45" s="14">
        <f t="shared" si="23"/>
        <v>56358.1959</v>
      </c>
      <c r="I45" s="14">
        <f t="shared" si="23"/>
        <v>77328.44513</v>
      </c>
      <c r="J45" s="14">
        <f t="shared" si="23"/>
        <v>18389.4672</v>
      </c>
      <c r="K45" s="14">
        <f t="shared" si="23"/>
        <v>15380.0144</v>
      </c>
      <c r="L45" s="14">
        <f t="shared" si="23"/>
        <v>11030.40169</v>
      </c>
      <c r="M45" s="14">
        <f t="shared" si="23"/>
        <v>10553.50176</v>
      </c>
      <c r="N45" s="14">
        <f t="shared" si="23"/>
        <v>8069.155044</v>
      </c>
      <c r="O45" s="70"/>
    </row>
    <row r="46" ht="14.25" customHeight="1">
      <c r="A46" s="23"/>
      <c r="B46" s="60" t="s">
        <v>52</v>
      </c>
      <c r="C46" s="75">
        <f t="shared" ref="C46:N46" si="24">+C7/C42</f>
        <v>3988.156869</v>
      </c>
      <c r="D46" s="75">
        <f t="shared" si="24"/>
        <v>10830.87989</v>
      </c>
      <c r="E46" s="75">
        <f t="shared" si="24"/>
        <v>11470.21372</v>
      </c>
      <c r="F46" s="75">
        <f t="shared" si="24"/>
        <v>7255.962327</v>
      </c>
      <c r="G46" s="75">
        <f t="shared" si="24"/>
        <v>10518.02932</v>
      </c>
      <c r="H46" s="75">
        <f t="shared" si="24"/>
        <v>7303.837232</v>
      </c>
      <c r="I46" s="75">
        <f t="shared" si="24"/>
        <v>4558.378064</v>
      </c>
      <c r="J46" s="75">
        <f t="shared" si="24"/>
        <v>10489.65821</v>
      </c>
      <c r="K46" s="75">
        <f t="shared" si="24"/>
        <v>3418.608248</v>
      </c>
      <c r="L46" s="75">
        <f t="shared" si="24"/>
        <v>7994.760211</v>
      </c>
      <c r="M46" s="75">
        <f t="shared" si="24"/>
        <v>1835.170906</v>
      </c>
      <c r="N46" s="75">
        <f t="shared" si="24"/>
        <v>553.3074388</v>
      </c>
      <c r="O46" s="70"/>
    </row>
    <row r="47" ht="14.25" customHeight="1">
      <c r="A47" s="23"/>
      <c r="B47" s="60" t="s">
        <v>53</v>
      </c>
      <c r="C47" s="7">
        <f t="shared" ref="C47:N47" si="25">+C46/(24*C40%)</f>
        <v>182.0078893</v>
      </c>
      <c r="D47" s="7">
        <f t="shared" si="25"/>
        <v>494.2898819</v>
      </c>
      <c r="E47" s="7">
        <f t="shared" si="25"/>
        <v>523.4672197</v>
      </c>
      <c r="F47" s="7">
        <f t="shared" si="25"/>
        <v>331.1410336</v>
      </c>
      <c r="G47" s="7">
        <f t="shared" si="25"/>
        <v>480.0122912</v>
      </c>
      <c r="H47" s="7">
        <f t="shared" si="25"/>
        <v>333.3259051</v>
      </c>
      <c r="I47" s="7">
        <f t="shared" si="25"/>
        <v>208.0311274</v>
      </c>
      <c r="J47" s="7">
        <f t="shared" si="25"/>
        <v>478.7175161</v>
      </c>
      <c r="K47" s="7">
        <f t="shared" si="25"/>
        <v>156.0153454</v>
      </c>
      <c r="L47" s="7">
        <f t="shared" si="25"/>
        <v>364.8576219</v>
      </c>
      <c r="M47" s="7">
        <f t="shared" si="25"/>
        <v>83.75186681</v>
      </c>
      <c r="N47" s="7">
        <f t="shared" si="25"/>
        <v>25.2513435</v>
      </c>
      <c r="O47" s="70"/>
    </row>
    <row r="48" ht="14.25" customHeight="1">
      <c r="A48" s="23"/>
      <c r="B48" s="62" t="s">
        <v>54</v>
      </c>
      <c r="C48" s="77">
        <f t="shared" ref="C48:N48" si="26">+C47*C9</f>
        <v>3185.138062</v>
      </c>
      <c r="D48" s="77">
        <f t="shared" si="26"/>
        <v>8650.072934</v>
      </c>
      <c r="E48" s="77">
        <f t="shared" si="26"/>
        <v>9160.676345</v>
      </c>
      <c r="F48" s="77">
        <f t="shared" si="26"/>
        <v>5794.968087</v>
      </c>
      <c r="G48" s="77">
        <f t="shared" si="26"/>
        <v>8400.215096</v>
      </c>
      <c r="H48" s="77">
        <f t="shared" si="26"/>
        <v>5833.203339</v>
      </c>
      <c r="I48" s="77">
        <f t="shared" si="26"/>
        <v>3640.544729</v>
      </c>
      <c r="J48" s="77">
        <f t="shared" si="26"/>
        <v>8377.556532</v>
      </c>
      <c r="K48" s="77">
        <f t="shared" si="26"/>
        <v>2730.268544</v>
      </c>
      <c r="L48" s="77">
        <f t="shared" si="26"/>
        <v>6385.008383</v>
      </c>
      <c r="M48" s="77">
        <f t="shared" si="26"/>
        <v>1465.657669</v>
      </c>
      <c r="N48" s="77">
        <f t="shared" si="26"/>
        <v>441.8985113</v>
      </c>
      <c r="O48" s="70"/>
    </row>
    <row r="49" ht="14.25" customHeight="1">
      <c r="A49" s="23"/>
      <c r="B49" s="78" t="s">
        <v>55</v>
      </c>
      <c r="C49" s="79">
        <f t="shared" ref="C49:N49" si="27">+C48+C45</f>
        <v>62633.22682</v>
      </c>
      <c r="D49" s="79">
        <f t="shared" si="27"/>
        <v>105951.3374</v>
      </c>
      <c r="E49" s="79">
        <f t="shared" si="27"/>
        <v>105996.9436</v>
      </c>
      <c r="F49" s="79">
        <f t="shared" si="27"/>
        <v>75285.68769</v>
      </c>
      <c r="G49" s="79">
        <f t="shared" si="27"/>
        <v>71658.3577</v>
      </c>
      <c r="H49" s="79">
        <f t="shared" si="27"/>
        <v>62191.39924</v>
      </c>
      <c r="I49" s="79">
        <f t="shared" si="27"/>
        <v>80968.98986</v>
      </c>
      <c r="J49" s="79">
        <f t="shared" si="27"/>
        <v>26767.02373</v>
      </c>
      <c r="K49" s="79">
        <f t="shared" si="27"/>
        <v>18110.28295</v>
      </c>
      <c r="L49" s="79">
        <f t="shared" si="27"/>
        <v>17415.41008</v>
      </c>
      <c r="M49" s="79">
        <f t="shared" si="27"/>
        <v>12019.15943</v>
      </c>
      <c r="N49" s="79">
        <f t="shared" si="27"/>
        <v>8511.053555</v>
      </c>
      <c r="O49" s="70"/>
    </row>
    <row r="50" ht="14.25" customHeight="1">
      <c r="A50" s="23"/>
      <c r="B50" s="60" t="s">
        <v>56</v>
      </c>
      <c r="C50" s="7">
        <f t="shared" ref="C50:N50" si="28">+C10/C42</f>
        <v>1055.707128</v>
      </c>
      <c r="D50" s="7">
        <f t="shared" si="28"/>
        <v>1785.850542</v>
      </c>
      <c r="E50" s="7">
        <f t="shared" si="28"/>
        <v>1786.619252</v>
      </c>
      <c r="F50" s="7">
        <f t="shared" si="28"/>
        <v>1268.969222</v>
      </c>
      <c r="G50" s="7">
        <f t="shared" si="28"/>
        <v>1207.82918</v>
      </c>
      <c r="H50" s="7">
        <f t="shared" si="28"/>
        <v>1048.259954</v>
      </c>
      <c r="I50" s="7">
        <f t="shared" si="28"/>
        <v>1364.763466</v>
      </c>
      <c r="J50" s="7">
        <f t="shared" si="28"/>
        <v>451.1684799</v>
      </c>
      <c r="K50" s="7">
        <f t="shared" si="28"/>
        <v>305.2557846</v>
      </c>
      <c r="L50" s="7">
        <f t="shared" si="28"/>
        <v>293.5434351</v>
      </c>
      <c r="M50" s="7">
        <f t="shared" si="28"/>
        <v>202.5875549</v>
      </c>
      <c r="N50" s="7">
        <f t="shared" si="28"/>
        <v>143.4570812</v>
      </c>
      <c r="O50" s="70"/>
    </row>
    <row r="51" ht="14.25" customHeight="1">
      <c r="A51" s="23"/>
      <c r="B51" s="60" t="s">
        <v>57</v>
      </c>
      <c r="C51" s="7">
        <f t="shared" ref="C51:N51" si="29">+C50/(24*C40%)</f>
        <v>48.17940524</v>
      </c>
      <c r="D51" s="7">
        <f t="shared" si="29"/>
        <v>81.50102873</v>
      </c>
      <c r="E51" s="7">
        <f t="shared" si="29"/>
        <v>81.53611044</v>
      </c>
      <c r="F51" s="7">
        <f t="shared" si="29"/>
        <v>57.91206746</v>
      </c>
      <c r="G51" s="7">
        <f t="shared" si="29"/>
        <v>55.12181362</v>
      </c>
      <c r="H51" s="7">
        <f t="shared" si="29"/>
        <v>47.83953787</v>
      </c>
      <c r="I51" s="7">
        <f t="shared" si="29"/>
        <v>62.28383835</v>
      </c>
      <c r="J51" s="7">
        <f t="shared" si="29"/>
        <v>20.59001825</v>
      </c>
      <c r="K51" s="7">
        <f t="shared" si="29"/>
        <v>13.93098688</v>
      </c>
      <c r="L51" s="7">
        <f t="shared" si="29"/>
        <v>13.39646929</v>
      </c>
      <c r="M51" s="7">
        <f t="shared" si="29"/>
        <v>9.245507251</v>
      </c>
      <c r="N51" s="7">
        <f t="shared" si="29"/>
        <v>6.546964273</v>
      </c>
      <c r="O51" s="70"/>
    </row>
    <row r="52" ht="14.25" customHeight="1">
      <c r="A52" s="26"/>
      <c r="B52" s="60" t="s">
        <v>58</v>
      </c>
      <c r="C52" s="7">
        <f t="shared" ref="C52:N52" si="30">+C51*C8</f>
        <v>62633.22682</v>
      </c>
      <c r="D52" s="7">
        <f t="shared" si="30"/>
        <v>105951.3374</v>
      </c>
      <c r="E52" s="7">
        <f t="shared" si="30"/>
        <v>105996.9436</v>
      </c>
      <c r="F52" s="7">
        <f t="shared" si="30"/>
        <v>75285.68769</v>
      </c>
      <c r="G52" s="7">
        <f t="shared" si="30"/>
        <v>71658.3577</v>
      </c>
      <c r="H52" s="7">
        <f t="shared" si="30"/>
        <v>62191.39924</v>
      </c>
      <c r="I52" s="7">
        <f t="shared" si="30"/>
        <v>80968.98986</v>
      </c>
      <c r="J52" s="7">
        <f t="shared" si="30"/>
        <v>26767.02373</v>
      </c>
      <c r="K52" s="7">
        <f t="shared" si="30"/>
        <v>18110.28295</v>
      </c>
      <c r="L52" s="7">
        <f t="shared" si="30"/>
        <v>17415.41008</v>
      </c>
      <c r="M52" s="7">
        <f t="shared" si="30"/>
        <v>12019.15943</v>
      </c>
      <c r="N52" s="7">
        <f t="shared" si="30"/>
        <v>8511.053555</v>
      </c>
      <c r="O52" s="70"/>
    </row>
    <row r="53" ht="14.25" customHeight="1">
      <c r="C53" s="80"/>
      <c r="D53" s="80"/>
      <c r="E53" s="80"/>
      <c r="F53" s="80"/>
      <c r="G53" s="80"/>
      <c r="H53" s="80"/>
      <c r="I53" s="80"/>
      <c r="J53" s="80"/>
      <c r="K53" s="80"/>
      <c r="L53" s="80"/>
      <c r="M53" s="80"/>
      <c r="N53" s="80"/>
      <c r="O53" s="70"/>
    </row>
    <row r="54" ht="14.25" customHeight="1">
      <c r="A54" s="71" t="s">
        <v>59</v>
      </c>
      <c r="B54" s="76" t="s">
        <v>60</v>
      </c>
      <c r="C54" s="32" t="s">
        <v>1</v>
      </c>
      <c r="D54" s="32" t="s">
        <v>2</v>
      </c>
      <c r="E54" s="32" t="s">
        <v>3</v>
      </c>
      <c r="F54" s="32" t="s">
        <v>4</v>
      </c>
      <c r="G54" s="32" t="s">
        <v>5</v>
      </c>
      <c r="H54" s="32" t="s">
        <v>6</v>
      </c>
      <c r="I54" s="32" t="s">
        <v>7</v>
      </c>
      <c r="J54" s="32" t="s">
        <v>8</v>
      </c>
      <c r="K54" s="32" t="s">
        <v>9</v>
      </c>
      <c r="L54" s="32" t="s">
        <v>10</v>
      </c>
      <c r="M54" s="32" t="s">
        <v>11</v>
      </c>
      <c r="N54" s="32" t="s">
        <v>12</v>
      </c>
      <c r="O54" s="32" t="s">
        <v>61</v>
      </c>
      <c r="Q54" s="81" t="s">
        <v>62</v>
      </c>
      <c r="R54" s="9" t="s">
        <v>63</v>
      </c>
    </row>
    <row r="55" ht="14.25" customHeight="1">
      <c r="A55" s="23"/>
      <c r="B55" s="60" t="s">
        <v>32</v>
      </c>
      <c r="C55" s="36">
        <f t="shared" ref="C55:N55" si="31">+C21</f>
        <v>39.8</v>
      </c>
      <c r="D55" s="36">
        <f t="shared" si="31"/>
        <v>32.15</v>
      </c>
      <c r="E55" s="36">
        <f t="shared" si="31"/>
        <v>32.15</v>
      </c>
      <c r="F55" s="36">
        <f t="shared" si="31"/>
        <v>31.92</v>
      </c>
      <c r="G55" s="36">
        <f t="shared" si="31"/>
        <v>31.92</v>
      </c>
      <c r="H55" s="36">
        <f t="shared" si="31"/>
        <v>32.03</v>
      </c>
      <c r="I55" s="36">
        <f t="shared" si="31"/>
        <v>30.49</v>
      </c>
      <c r="J55" s="36">
        <f t="shared" si="31"/>
        <v>25.3</v>
      </c>
      <c r="K55" s="36">
        <f t="shared" si="31"/>
        <v>24.77</v>
      </c>
      <c r="L55" s="36">
        <f t="shared" si="31"/>
        <v>20.96</v>
      </c>
      <c r="M55" s="36">
        <f t="shared" si="31"/>
        <v>12.66</v>
      </c>
      <c r="N55" s="36">
        <f t="shared" si="31"/>
        <v>3.73</v>
      </c>
      <c r="O55" s="7">
        <f t="shared" ref="O55:O60" si="33">SUM(C55:N55)*1000000</f>
        <v>317880000</v>
      </c>
      <c r="Q55" s="82">
        <f t="shared" ref="Q55:Q60" si="34">+O55/$O$5</f>
        <v>14.34083714</v>
      </c>
      <c r="R55" s="82">
        <f t="shared" ref="R55:R59" si="35">+O55/$O$10</f>
        <v>87.40075255</v>
      </c>
    </row>
    <row r="56" ht="14.25" customHeight="1">
      <c r="A56" s="23"/>
      <c r="B56" s="60" t="s">
        <v>33</v>
      </c>
      <c r="C56" s="36">
        <f t="shared" ref="C56:N56" si="32">+C22</f>
        <v>82.57</v>
      </c>
      <c r="D56" s="36">
        <f t="shared" si="32"/>
        <v>94.09</v>
      </c>
      <c r="E56" s="36">
        <f t="shared" si="32"/>
        <v>100.27</v>
      </c>
      <c r="F56" s="36">
        <f t="shared" si="32"/>
        <v>106.94</v>
      </c>
      <c r="G56" s="36">
        <f t="shared" si="32"/>
        <v>106.79</v>
      </c>
      <c r="H56" s="36">
        <f t="shared" si="32"/>
        <v>101.06</v>
      </c>
      <c r="I56" s="36">
        <f t="shared" si="32"/>
        <v>71.57</v>
      </c>
      <c r="J56" s="36">
        <f t="shared" si="32"/>
        <v>0</v>
      </c>
      <c r="K56" s="36">
        <f t="shared" si="32"/>
        <v>0</v>
      </c>
      <c r="L56" s="36">
        <f t="shared" si="32"/>
        <v>0</v>
      </c>
      <c r="M56" s="36">
        <f t="shared" si="32"/>
        <v>0</v>
      </c>
      <c r="N56" s="36">
        <f t="shared" si="32"/>
        <v>0</v>
      </c>
      <c r="O56" s="7">
        <f t="shared" si="33"/>
        <v>663290000</v>
      </c>
      <c r="Q56" s="82">
        <f t="shared" si="34"/>
        <v>29.92366261</v>
      </c>
      <c r="R56" s="82">
        <f t="shared" si="35"/>
        <v>182.370848</v>
      </c>
    </row>
    <row r="57" ht="14.25" customHeight="1">
      <c r="A57" s="23"/>
      <c r="B57" s="60" t="s">
        <v>34</v>
      </c>
      <c r="C57" s="36">
        <f t="shared" ref="C57:N57" si="36">+C23</f>
        <v>0.94</v>
      </c>
      <c r="D57" s="36">
        <f t="shared" si="36"/>
        <v>1.56</v>
      </c>
      <c r="E57" s="36">
        <f t="shared" si="36"/>
        <v>1.59</v>
      </c>
      <c r="F57" s="36">
        <f t="shared" si="36"/>
        <v>1.64</v>
      </c>
      <c r="G57" s="36">
        <f t="shared" si="36"/>
        <v>1.82</v>
      </c>
      <c r="H57" s="36">
        <f t="shared" si="36"/>
        <v>1.42</v>
      </c>
      <c r="I57" s="36">
        <f t="shared" si="36"/>
        <v>1.63</v>
      </c>
      <c r="J57" s="36">
        <f t="shared" si="36"/>
        <v>6.42</v>
      </c>
      <c r="K57" s="36">
        <f t="shared" si="36"/>
        <v>6.34</v>
      </c>
      <c r="L57" s="36">
        <f t="shared" si="36"/>
        <v>6.34</v>
      </c>
      <c r="M57" s="36">
        <f t="shared" si="36"/>
        <v>6.21</v>
      </c>
      <c r="N57" s="36">
        <f t="shared" si="36"/>
        <v>3.17</v>
      </c>
      <c r="O57" s="7">
        <f t="shared" si="33"/>
        <v>39080000</v>
      </c>
      <c r="Q57" s="82">
        <f t="shared" si="34"/>
        <v>1.763054975</v>
      </c>
      <c r="R57" s="82">
        <f t="shared" si="35"/>
        <v>10.74500255</v>
      </c>
    </row>
    <row r="58" ht="14.25" customHeight="1">
      <c r="A58" s="23"/>
      <c r="B58" s="60" t="s">
        <v>35</v>
      </c>
      <c r="C58" s="36">
        <f>+C24-13.4</f>
        <v>30.8</v>
      </c>
      <c r="D58" s="36">
        <f>+D24-22.2</f>
        <v>37.28</v>
      </c>
      <c r="E58" s="36">
        <f>+E24-22.4</f>
        <v>37.3</v>
      </c>
      <c r="F58" s="36">
        <f>+F24-22.9</f>
        <v>37.04</v>
      </c>
      <c r="G58" s="36">
        <f>+G24-25</f>
        <v>36.71</v>
      </c>
      <c r="H58" s="36">
        <f>+H24-21.1</f>
        <v>36.67</v>
      </c>
      <c r="I58" s="36">
        <f>+I24-21.2</f>
        <v>36.72</v>
      </c>
      <c r="J58" s="36">
        <f>+J24-23</f>
        <v>35.77</v>
      </c>
      <c r="K58" s="36">
        <f>+K24-18.6</f>
        <v>35.72</v>
      </c>
      <c r="L58" s="36">
        <f>+L24-20.2</f>
        <v>35.71</v>
      </c>
      <c r="M58" s="36">
        <f>+M24-18.7</f>
        <v>35.22</v>
      </c>
      <c r="N58" s="36">
        <f>+N24-7.9</f>
        <v>18.47</v>
      </c>
      <c r="O58" s="7">
        <f t="shared" si="33"/>
        <v>413410000</v>
      </c>
      <c r="Q58" s="82">
        <f t="shared" si="34"/>
        <v>18.65057721</v>
      </c>
      <c r="R58" s="82">
        <f t="shared" si="35"/>
        <v>113.6666198</v>
      </c>
    </row>
    <row r="59" ht="14.25" customHeight="1">
      <c r="A59" s="23"/>
      <c r="B59" s="60" t="s">
        <v>36</v>
      </c>
      <c r="C59" s="36">
        <f t="shared" ref="C59:N59" si="37">+C25</f>
        <v>1.9</v>
      </c>
      <c r="D59" s="36">
        <f t="shared" si="37"/>
        <v>2.65</v>
      </c>
      <c r="E59" s="36">
        <f t="shared" si="37"/>
        <v>2.7</v>
      </c>
      <c r="F59" s="36">
        <f t="shared" si="37"/>
        <v>2.75</v>
      </c>
      <c r="G59" s="36">
        <f t="shared" si="37"/>
        <v>2.99</v>
      </c>
      <c r="H59" s="36">
        <f t="shared" si="37"/>
        <v>2.55</v>
      </c>
      <c r="I59" s="36">
        <f t="shared" si="37"/>
        <v>2.78</v>
      </c>
      <c r="J59" s="36">
        <f t="shared" si="37"/>
        <v>4.6</v>
      </c>
      <c r="K59" s="36">
        <f t="shared" si="37"/>
        <v>4.5</v>
      </c>
      <c r="L59" s="36">
        <f t="shared" si="37"/>
        <v>4.6</v>
      </c>
      <c r="M59" s="36">
        <f t="shared" si="37"/>
        <v>4.45</v>
      </c>
      <c r="N59" s="36">
        <f t="shared" si="37"/>
        <v>2.22</v>
      </c>
      <c r="O59" s="7">
        <f t="shared" si="33"/>
        <v>38690000</v>
      </c>
      <c r="Q59" s="82">
        <f t="shared" si="34"/>
        <v>1.745460517</v>
      </c>
      <c r="R59" s="82">
        <f t="shared" si="35"/>
        <v>10.63777248</v>
      </c>
    </row>
    <row r="60" ht="14.25" customHeight="1">
      <c r="A60" s="23"/>
      <c r="B60" s="60" t="s">
        <v>29</v>
      </c>
      <c r="C60" s="36">
        <f t="shared" ref="C60:N60" si="38">SUM(C55:C59)</f>
        <v>156.01</v>
      </c>
      <c r="D60" s="36">
        <f t="shared" si="38"/>
        <v>167.73</v>
      </c>
      <c r="E60" s="36">
        <f t="shared" si="38"/>
        <v>174.01</v>
      </c>
      <c r="F60" s="36">
        <f t="shared" si="38"/>
        <v>180.29</v>
      </c>
      <c r="G60" s="36">
        <f t="shared" si="38"/>
        <v>180.23</v>
      </c>
      <c r="H60" s="36">
        <f t="shared" si="38"/>
        <v>173.73</v>
      </c>
      <c r="I60" s="36">
        <f t="shared" si="38"/>
        <v>143.19</v>
      </c>
      <c r="J60" s="36">
        <f t="shared" si="38"/>
        <v>72.09</v>
      </c>
      <c r="K60" s="36">
        <f t="shared" si="38"/>
        <v>71.33</v>
      </c>
      <c r="L60" s="36">
        <f t="shared" si="38"/>
        <v>67.61</v>
      </c>
      <c r="M60" s="36">
        <f t="shared" si="38"/>
        <v>58.54</v>
      </c>
      <c r="N60" s="36">
        <f t="shared" si="38"/>
        <v>27.59</v>
      </c>
      <c r="O60" s="7">
        <f t="shared" si="33"/>
        <v>1472350000</v>
      </c>
      <c r="Q60" s="83">
        <f t="shared" si="34"/>
        <v>66.42359245</v>
      </c>
      <c r="R60" s="84"/>
    </row>
    <row r="61" ht="14.25" customHeight="1">
      <c r="A61" s="26"/>
      <c r="B61" s="85" t="s">
        <v>37</v>
      </c>
      <c r="C61" s="36">
        <f t="shared" ref="C61:N61" si="39">+C60*1000000/C10</f>
        <v>443.4506963</v>
      </c>
      <c r="D61" s="36">
        <f t="shared" si="39"/>
        <v>281.8395879</v>
      </c>
      <c r="E61" s="36">
        <f t="shared" si="39"/>
        <v>292.2661748</v>
      </c>
      <c r="F61" s="36">
        <f t="shared" si="39"/>
        <v>426.340812</v>
      </c>
      <c r="G61" s="36">
        <f t="shared" si="39"/>
        <v>447.773021</v>
      </c>
      <c r="H61" s="36">
        <f t="shared" si="39"/>
        <v>497.3271659</v>
      </c>
      <c r="I61" s="36">
        <f t="shared" si="39"/>
        <v>314.8412725</v>
      </c>
      <c r="J61" s="36">
        <f t="shared" si="39"/>
        <v>479.4823583</v>
      </c>
      <c r="K61" s="36">
        <f t="shared" si="39"/>
        <v>701.2044758</v>
      </c>
      <c r="L61" s="36">
        <f t="shared" si="39"/>
        <v>691.1541528</v>
      </c>
      <c r="M61" s="36">
        <f t="shared" si="39"/>
        <v>867.1142299</v>
      </c>
      <c r="N61" s="36">
        <f t="shared" si="39"/>
        <v>577.1199246</v>
      </c>
      <c r="O61" s="7">
        <f>+O60/O10</f>
        <v>404.8209954</v>
      </c>
      <c r="Q61" s="86"/>
      <c r="R61" s="87">
        <f>SUM(R55:R60)</f>
        <v>404.8209954</v>
      </c>
    </row>
    <row r="62" ht="14.25" customHeight="1">
      <c r="B62" s="88"/>
      <c r="C62" s="64"/>
      <c r="D62" s="64"/>
      <c r="E62" s="64"/>
      <c r="F62" s="64"/>
      <c r="G62" s="64"/>
      <c r="H62" s="64"/>
      <c r="I62" s="64"/>
      <c r="J62" s="64"/>
      <c r="K62" s="64"/>
      <c r="L62" s="64"/>
      <c r="M62" s="64"/>
      <c r="N62" s="64"/>
      <c r="O62" s="89"/>
      <c r="P62" s="90"/>
      <c r="Q62" s="90"/>
      <c r="R62" s="90"/>
    </row>
    <row r="63" ht="14.25" customHeight="1">
      <c r="A63" s="71" t="s">
        <v>64</v>
      </c>
      <c r="B63" s="91" t="s">
        <v>65</v>
      </c>
      <c r="C63" s="32" t="s">
        <v>1</v>
      </c>
      <c r="D63" s="32" t="s">
        <v>2</v>
      </c>
      <c r="E63" s="32" t="s">
        <v>3</v>
      </c>
      <c r="F63" s="32" t="s">
        <v>4</v>
      </c>
      <c r="G63" s="32" t="s">
        <v>5</v>
      </c>
      <c r="H63" s="32" t="s">
        <v>6</v>
      </c>
      <c r="I63" s="32" t="s">
        <v>7</v>
      </c>
      <c r="J63" s="32" t="s">
        <v>8</v>
      </c>
      <c r="K63" s="32" t="s">
        <v>9</v>
      </c>
      <c r="L63" s="32" t="s">
        <v>10</v>
      </c>
      <c r="M63" s="32" t="s">
        <v>11</v>
      </c>
      <c r="N63" s="32" t="s">
        <v>12</v>
      </c>
      <c r="O63" s="89"/>
      <c r="P63" s="92"/>
      <c r="Q63" s="92"/>
      <c r="R63" s="92"/>
    </row>
    <row r="64" ht="14.25" customHeight="1">
      <c r="A64" s="23"/>
      <c r="O64" s="70"/>
    </row>
    <row r="65" ht="14.25" customHeight="1">
      <c r="A65" s="23"/>
      <c r="B65" s="60" t="s">
        <v>66</v>
      </c>
      <c r="C65" s="7">
        <f t="shared" ref="C65:N65" si="40">+C61*C51</f>
        <v>21365.1908</v>
      </c>
      <c r="D65" s="7">
        <f t="shared" si="40"/>
        <v>22970.21635</v>
      </c>
      <c r="E65" s="7">
        <f t="shared" si="40"/>
        <v>23830.24711</v>
      </c>
      <c r="F65" s="7">
        <f t="shared" si="40"/>
        <v>24690.27786</v>
      </c>
      <c r="G65" s="7">
        <f t="shared" si="40"/>
        <v>24682.06101</v>
      </c>
      <c r="H65" s="7">
        <f t="shared" si="40"/>
        <v>23791.90179</v>
      </c>
      <c r="I65" s="7">
        <f t="shared" si="40"/>
        <v>19609.52292</v>
      </c>
      <c r="J65" s="7">
        <f t="shared" si="40"/>
        <v>9872.550508</v>
      </c>
      <c r="K65" s="7">
        <f t="shared" si="40"/>
        <v>9768.470353</v>
      </c>
      <c r="L65" s="7">
        <f t="shared" si="40"/>
        <v>9259.025383</v>
      </c>
      <c r="M65" s="7">
        <f t="shared" si="40"/>
        <v>8016.9109</v>
      </c>
      <c r="N65" s="7">
        <f t="shared" si="40"/>
        <v>3778.383528</v>
      </c>
      <c r="O65" s="70"/>
    </row>
    <row r="66" ht="14.25" customHeight="1">
      <c r="A66" s="23"/>
      <c r="B66" s="60" t="s">
        <v>67</v>
      </c>
      <c r="C66" s="7">
        <f t="shared" ref="C66:N66" si="41">+C52</f>
        <v>62633.22682</v>
      </c>
      <c r="D66" s="7">
        <f t="shared" si="41"/>
        <v>105951.3374</v>
      </c>
      <c r="E66" s="7">
        <f t="shared" si="41"/>
        <v>105996.9436</v>
      </c>
      <c r="F66" s="7">
        <f t="shared" si="41"/>
        <v>75285.68769</v>
      </c>
      <c r="G66" s="7">
        <f t="shared" si="41"/>
        <v>71658.3577</v>
      </c>
      <c r="H66" s="7">
        <f t="shared" si="41"/>
        <v>62191.39924</v>
      </c>
      <c r="I66" s="7">
        <f t="shared" si="41"/>
        <v>80968.98986</v>
      </c>
      <c r="J66" s="7">
        <f t="shared" si="41"/>
        <v>26767.02373</v>
      </c>
      <c r="K66" s="7">
        <f t="shared" si="41"/>
        <v>18110.28295</v>
      </c>
      <c r="L66" s="7">
        <f t="shared" si="41"/>
        <v>17415.41008</v>
      </c>
      <c r="M66" s="7">
        <f t="shared" si="41"/>
        <v>12019.15943</v>
      </c>
      <c r="N66" s="7">
        <f t="shared" si="41"/>
        <v>8511.053555</v>
      </c>
      <c r="O66" s="70"/>
    </row>
    <row r="67" ht="14.25" customHeight="1">
      <c r="A67" s="23"/>
      <c r="O67" s="70"/>
    </row>
    <row r="68" ht="14.25" customHeight="1">
      <c r="A68" s="26"/>
      <c r="B68" s="60" t="s">
        <v>68</v>
      </c>
      <c r="C68" s="7">
        <f t="shared" ref="C68:N68" si="42">+C66-C65</f>
        <v>41268.03602</v>
      </c>
      <c r="D68" s="7">
        <f t="shared" si="42"/>
        <v>82981.121</v>
      </c>
      <c r="E68" s="7">
        <f t="shared" si="42"/>
        <v>82166.69647</v>
      </c>
      <c r="F68" s="7">
        <f t="shared" si="42"/>
        <v>50595.40983</v>
      </c>
      <c r="G68" s="7">
        <f t="shared" si="42"/>
        <v>46976.29669</v>
      </c>
      <c r="H68" s="7">
        <f t="shared" si="42"/>
        <v>38399.49745</v>
      </c>
      <c r="I68" s="7">
        <f t="shared" si="42"/>
        <v>61359.46694</v>
      </c>
      <c r="J68" s="7">
        <f t="shared" si="42"/>
        <v>16894.47322</v>
      </c>
      <c r="K68" s="7">
        <f t="shared" si="42"/>
        <v>8341.812593</v>
      </c>
      <c r="L68" s="7">
        <f t="shared" si="42"/>
        <v>8156.384695</v>
      </c>
      <c r="M68" s="7">
        <f t="shared" si="42"/>
        <v>4002.248526</v>
      </c>
      <c r="N68" s="7">
        <f t="shared" si="42"/>
        <v>4732.670028</v>
      </c>
      <c r="O68" s="70"/>
    </row>
    <row r="69" ht="14.25" customHeight="1">
      <c r="B69" s="70"/>
      <c r="C69" s="70"/>
      <c r="D69" s="70"/>
      <c r="E69" s="70"/>
      <c r="F69" s="70"/>
      <c r="G69" s="70"/>
      <c r="H69" s="70"/>
      <c r="I69" s="70"/>
      <c r="J69" s="70"/>
      <c r="K69" s="70"/>
      <c r="L69" s="70"/>
      <c r="M69" s="70"/>
      <c r="N69" s="70"/>
      <c r="O69" s="70"/>
    </row>
    <row r="70" ht="14.25" customHeight="1">
      <c r="B70" s="70"/>
      <c r="C70" s="70"/>
      <c r="D70" s="70"/>
      <c r="E70" s="70"/>
      <c r="F70" s="70"/>
      <c r="G70" s="70"/>
      <c r="H70" s="70"/>
      <c r="I70" s="70"/>
      <c r="J70" s="70"/>
      <c r="K70" s="70"/>
      <c r="L70" s="70"/>
      <c r="M70" s="70"/>
      <c r="N70" s="70"/>
      <c r="O70" s="70"/>
      <c r="P70" s="93"/>
    </row>
    <row r="71" ht="14.25" customHeight="1">
      <c r="B71" s="70"/>
      <c r="C71" s="70"/>
      <c r="D71" s="70"/>
      <c r="E71" s="70"/>
      <c r="F71" s="94">
        <f>+MAX(C68:I68)</f>
        <v>82981.121</v>
      </c>
      <c r="G71" s="95" t="s">
        <v>69</v>
      </c>
      <c r="H71" s="70"/>
      <c r="I71" s="70"/>
      <c r="J71" s="70"/>
      <c r="K71" s="70"/>
      <c r="L71" s="94">
        <f>+MAX(J68:N68)</f>
        <v>16894.47322</v>
      </c>
      <c r="M71" s="95" t="s">
        <v>69</v>
      </c>
      <c r="N71" s="70"/>
      <c r="O71" s="70"/>
    </row>
    <row r="72" ht="14.25" customHeight="1">
      <c r="B72" s="70"/>
      <c r="C72" s="70"/>
      <c r="D72" s="70"/>
      <c r="E72" s="70"/>
      <c r="F72" s="94">
        <f>+AVERAGE(C68:I68)</f>
        <v>57678.07491</v>
      </c>
      <c r="G72" s="95" t="s">
        <v>70</v>
      </c>
      <c r="H72" s="70"/>
      <c r="I72" s="70"/>
      <c r="J72" s="70"/>
      <c r="K72" s="70"/>
      <c r="L72" s="94">
        <f>+AVERAGE(J68:N68)</f>
        <v>8425.517812</v>
      </c>
      <c r="M72" s="95" t="s">
        <v>70</v>
      </c>
      <c r="N72" s="70"/>
      <c r="O72" s="70"/>
    </row>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54:A61"/>
    <mergeCell ref="A63:A68"/>
    <mergeCell ref="B2:O2"/>
    <mergeCell ref="A12:A16"/>
    <mergeCell ref="A19:A30"/>
    <mergeCell ref="A32:A33"/>
    <mergeCell ref="B37:N37"/>
    <mergeCell ref="A39:A44"/>
    <mergeCell ref="A45:A52"/>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19.0"/>
    <col customWidth="1" min="3" max="3" width="16.71"/>
    <col customWidth="1" min="4" max="4" width="14.14"/>
    <col customWidth="1" min="5" max="5" width="42.71"/>
    <col customWidth="1" min="6" max="6" width="32.0"/>
    <col customWidth="1" min="7" max="7" width="15.86"/>
    <col customWidth="1" min="8" max="8" width="29.14"/>
    <col customWidth="1" min="9" max="9" width="11.57"/>
    <col customWidth="1" min="10" max="10" width="11.43"/>
    <col customWidth="1" min="11" max="11" width="12.0"/>
    <col customWidth="1" min="12" max="12" width="11.43"/>
    <col customWidth="1" min="13" max="13" width="12.57"/>
    <col customWidth="1" min="14" max="14" width="13.29"/>
    <col customWidth="1" min="15" max="15" width="14.29"/>
    <col customWidth="1" min="16" max="16" width="15.0"/>
    <col customWidth="1" min="17" max="17" width="15.14"/>
    <col customWidth="1" min="18" max="18" width="17.71"/>
    <col customWidth="1" min="19" max="19" width="11.14"/>
    <col customWidth="1" min="20" max="20" width="19.14"/>
    <col customWidth="1" min="21" max="21" width="11.86"/>
    <col customWidth="1" min="22" max="22" width="12.29"/>
    <col customWidth="1" min="23" max="23" width="10.43"/>
    <col customWidth="1" min="24" max="24" width="9.71"/>
    <col customWidth="1" min="25" max="25" width="17.86"/>
    <col customWidth="1" min="26" max="26" width="14.14"/>
    <col customWidth="1" min="27" max="27" width="13.14"/>
    <col customWidth="1" min="28" max="29" width="11.57"/>
    <col customWidth="1" min="30" max="30" width="19.0"/>
    <col customWidth="1" min="31" max="32" width="11.43"/>
    <col customWidth="1" min="33" max="33" width="13.71"/>
    <col customWidth="1" hidden="1" min="34" max="34" width="13.0"/>
    <col customWidth="1" hidden="1" min="35" max="35" width="9.71"/>
    <col customWidth="1" hidden="1" min="36" max="36" width="4.29"/>
  </cols>
  <sheetData>
    <row r="1" ht="48.75" customHeight="1">
      <c r="A1" s="96" t="s">
        <v>71</v>
      </c>
      <c r="B1" s="97"/>
      <c r="C1" s="97"/>
      <c r="D1" s="97"/>
      <c r="E1" s="97"/>
      <c r="F1" s="97"/>
      <c r="G1" s="97"/>
      <c r="H1" s="97"/>
      <c r="I1" s="97"/>
      <c r="J1" s="97"/>
      <c r="K1" s="97"/>
      <c r="L1" s="97"/>
      <c r="M1" s="97"/>
      <c r="N1" s="97"/>
      <c r="O1" s="97"/>
      <c r="P1" s="97"/>
      <c r="Q1" s="97"/>
      <c r="R1" s="97"/>
      <c r="S1" s="97"/>
      <c r="T1" s="97"/>
      <c r="U1" s="97"/>
      <c r="V1" s="97"/>
      <c r="W1" s="97"/>
      <c r="X1" s="97"/>
      <c r="Y1" s="97"/>
      <c r="Z1" s="97"/>
      <c r="AA1" s="97"/>
      <c r="AB1" s="97"/>
      <c r="AC1" s="98"/>
    </row>
    <row r="2" ht="24.75" customHeight="1">
      <c r="A2" s="99" t="s">
        <v>72</v>
      </c>
      <c r="B2" s="100" t="s">
        <v>73</v>
      </c>
      <c r="C2" s="100" t="s">
        <v>74</v>
      </c>
      <c r="D2" s="100" t="s">
        <v>75</v>
      </c>
      <c r="E2" s="100" t="s">
        <v>74</v>
      </c>
      <c r="F2" s="100" t="s">
        <v>76</v>
      </c>
      <c r="G2" s="100" t="s">
        <v>77</v>
      </c>
      <c r="H2" s="100" t="s">
        <v>78</v>
      </c>
      <c r="I2" s="100" t="s">
        <v>79</v>
      </c>
      <c r="J2" s="100" t="s">
        <v>80</v>
      </c>
      <c r="K2" s="100" t="s">
        <v>81</v>
      </c>
      <c r="L2" s="100" t="s">
        <v>82</v>
      </c>
      <c r="M2" s="100" t="s">
        <v>83</v>
      </c>
      <c r="N2" s="100" t="s">
        <v>84</v>
      </c>
      <c r="O2" s="100" t="s">
        <v>85</v>
      </c>
      <c r="P2" s="100" t="s">
        <v>86</v>
      </c>
      <c r="Q2" s="100" t="s">
        <v>87</v>
      </c>
      <c r="R2" s="100" t="s">
        <v>88</v>
      </c>
      <c r="S2" s="100" t="s">
        <v>89</v>
      </c>
      <c r="T2" s="101" t="s">
        <v>90</v>
      </c>
      <c r="U2" s="102"/>
      <c r="V2" s="102"/>
      <c r="W2" s="102"/>
      <c r="X2" s="102"/>
      <c r="Y2" s="102"/>
      <c r="Z2" s="102"/>
      <c r="AA2" s="102"/>
      <c r="AB2" s="102"/>
      <c r="AC2" s="103"/>
      <c r="AG2" s="104"/>
      <c r="AH2" s="104" t="s">
        <v>91</v>
      </c>
      <c r="AI2" s="105" t="s">
        <v>92</v>
      </c>
      <c r="AJ2" s="106"/>
    </row>
    <row r="3" ht="15.0" customHeight="1">
      <c r="A3" s="107"/>
      <c r="B3" s="108"/>
      <c r="C3" s="108"/>
      <c r="D3" s="108"/>
      <c r="E3" s="108"/>
      <c r="F3" s="108"/>
      <c r="G3" s="108"/>
      <c r="H3" s="108"/>
      <c r="I3" s="108"/>
      <c r="J3" s="108"/>
      <c r="K3" s="108"/>
      <c r="L3" s="108"/>
      <c r="M3" s="108"/>
      <c r="N3" s="108"/>
      <c r="O3" s="108"/>
      <c r="P3" s="108"/>
      <c r="Q3" s="108"/>
      <c r="R3" s="108"/>
      <c r="S3" s="108"/>
      <c r="T3" s="100" t="s">
        <v>93</v>
      </c>
      <c r="U3" s="109" t="s">
        <v>94</v>
      </c>
      <c r="V3" s="102"/>
      <c r="W3" s="102"/>
      <c r="X3" s="102"/>
      <c r="Y3" s="110"/>
      <c r="Z3" s="100" t="s">
        <v>95</v>
      </c>
      <c r="AA3" s="100" t="s">
        <v>96</v>
      </c>
      <c r="AB3" s="100" t="s">
        <v>97</v>
      </c>
      <c r="AC3" s="111" t="s">
        <v>98</v>
      </c>
      <c r="AG3" s="112"/>
      <c r="AH3" s="70" t="s">
        <v>99</v>
      </c>
      <c r="AI3" s="113" t="s">
        <v>100</v>
      </c>
      <c r="AJ3" s="106">
        <v>5.0</v>
      </c>
    </row>
    <row r="4" ht="14.25" customHeight="1">
      <c r="A4" s="107"/>
      <c r="B4" s="108"/>
      <c r="C4" s="108"/>
      <c r="D4" s="108"/>
      <c r="E4" s="108"/>
      <c r="F4" s="108"/>
      <c r="G4" s="108"/>
      <c r="H4" s="108"/>
      <c r="I4" s="108"/>
      <c r="J4" s="108"/>
      <c r="K4" s="108"/>
      <c r="L4" s="108" t="s">
        <v>82</v>
      </c>
      <c r="M4" s="108" t="s">
        <v>83</v>
      </c>
      <c r="N4" s="108" t="s">
        <v>84</v>
      </c>
      <c r="O4" s="108" t="s">
        <v>85</v>
      </c>
      <c r="P4" s="108" t="s">
        <v>86</v>
      </c>
      <c r="Q4" s="108" t="s">
        <v>87</v>
      </c>
      <c r="R4" s="108" t="s">
        <v>88</v>
      </c>
      <c r="S4" s="108"/>
      <c r="T4" s="108"/>
      <c r="U4" s="114" t="s">
        <v>101</v>
      </c>
      <c r="V4" s="114" t="s">
        <v>102</v>
      </c>
      <c r="W4" s="114" t="s">
        <v>103</v>
      </c>
      <c r="X4" s="114" t="s">
        <v>104</v>
      </c>
      <c r="Y4" s="114" t="s">
        <v>105</v>
      </c>
      <c r="Z4" s="108"/>
      <c r="AA4" s="108"/>
      <c r="AB4" s="108"/>
      <c r="AC4" s="115"/>
      <c r="AG4" s="112"/>
      <c r="AH4" s="70" t="s">
        <v>106</v>
      </c>
      <c r="AI4" s="113" t="s">
        <v>107</v>
      </c>
      <c r="AJ4" s="106">
        <v>4.0</v>
      </c>
    </row>
    <row r="5" ht="14.25" hidden="1" customHeight="1">
      <c r="A5" s="116" t="s">
        <v>108</v>
      </c>
      <c r="B5" s="117" t="s">
        <v>109</v>
      </c>
      <c r="C5" s="117" t="s">
        <v>110</v>
      </c>
      <c r="D5" s="117" t="s">
        <v>111</v>
      </c>
      <c r="E5" s="117" t="s">
        <v>112</v>
      </c>
      <c r="F5" s="117" t="s">
        <v>113</v>
      </c>
      <c r="G5" s="117" t="s">
        <v>114</v>
      </c>
      <c r="H5" s="117" t="s">
        <v>115</v>
      </c>
      <c r="I5" s="117">
        <v>1.0</v>
      </c>
      <c r="J5" s="117">
        <v>1.0</v>
      </c>
      <c r="K5" s="117" t="str">
        <f t="shared" ref="K5:K1243" si="1">+IF(I5="","",IF((I5-J5)&gt;0,"Si","No"))</f>
        <v>No</v>
      </c>
      <c r="L5" s="118" t="s">
        <v>116</v>
      </c>
      <c r="M5" s="119">
        <v>0.25</v>
      </c>
      <c r="N5" s="120">
        <v>0.0</v>
      </c>
      <c r="O5" s="121">
        <v>70.0</v>
      </c>
      <c r="P5" s="117">
        <v>10.0</v>
      </c>
      <c r="Q5" s="117">
        <f t="shared" ref="Q5:Q1243" si="2">+IF(M5="","",(IF(((M5*24)-P5)&lt;0,0,(M5*24)-P5)*N5))</f>
        <v>0</v>
      </c>
      <c r="R5" s="122">
        <f>+(IF(((M5*24)-P5)&lt;0,0,((M5*24)-P5)*'Estimación de pérdidas'!$F$72))*N5</f>
        <v>0</v>
      </c>
      <c r="S5" s="123" t="s">
        <v>117</v>
      </c>
      <c r="T5" s="124" t="s">
        <v>118</v>
      </c>
      <c r="U5" s="124">
        <f t="shared" ref="U5:U1243" si="3">+IF(R5="","",IF(R5&lt;50001,1,IF(R5&lt;200001,2,IF(R5&lt;500001,3,IF(R5&lt;1000001,4,5)))))</f>
        <v>1</v>
      </c>
      <c r="V5" s="124">
        <v>1.0</v>
      </c>
      <c r="W5" s="124"/>
      <c r="X5" s="125"/>
      <c r="Y5" s="126"/>
      <c r="Z5" s="125">
        <f t="shared" ref="Z5:Z1243" si="4">MAX(U5:Y5)</f>
        <v>1</v>
      </c>
      <c r="AA5" s="127" t="str">
        <f t="shared" ref="AA5:AA1243" si="5">IF(Z5=1,VLOOKUP(T5,$AH$3:$AI$7,2,FALSE),IF(Z5=2,VLOOKUP(T5,$AH$8:$AI$12,2, FALSE),IF(Z5=3,VLOOKUP(T5,$AH$13:$AI$17,2,FALSE),IF(Z5=4,VLOOKUP(T5,$AH$18:$AI$22,2,FALSE),IF(Z5=5,VLOOKUP(T5,$AH$23:$AI$27,2,FALSE),"")))))</f>
        <v>Bajo</v>
      </c>
      <c r="AB5" s="128">
        <f t="shared" ref="AB5:AB1243" si="6">IF(T5="1-Raro",IF(Z5=1,1,IF(Z5=2,3,IF(Z5=3,6,IF(Z5=4,10,15)))),IF(T5="2-Improbable",IF(Z5=1,2,IF(Z5=2,5,IF(Z5=3,9,IF(Z5=4,14,19)))),IF(T5="3-Posible",IF(Z5=1,4,IF(Z5=2,8,IF(Z5=3,13,IF(Z5=4,18,21)))),IF(T5="4-Probable",IF(Z5=1,7,IF(Z5=2,12,IF(Z5=3,17,IF(Z5=4,22,23)))),IF(T5="5-Casi Seguro",IF(Z5=1,11,IF(Z5=2,16,IF(Z5=3,20,IF(Z5=4,24,25)))))))))</f>
        <v>2</v>
      </c>
      <c r="AC5" s="129">
        <f t="shared" ref="AC5:AC1243" si="7">((VLOOKUP(T5,$AH$3:$AJ$7,3,FALSE)*SQRT(U5^2+V5^2+W5^2+X5^2+Y5^2))/(5*SQRT((5)*5^2)))</f>
        <v>0.05059644256</v>
      </c>
      <c r="AG5" s="112"/>
      <c r="AH5" s="70" t="s">
        <v>119</v>
      </c>
      <c r="AI5" s="113" t="s">
        <v>107</v>
      </c>
      <c r="AJ5" s="106">
        <v>3.0</v>
      </c>
    </row>
    <row r="6" ht="14.25" hidden="1" customHeight="1">
      <c r="A6" s="116" t="s">
        <v>108</v>
      </c>
      <c r="B6" s="117" t="s">
        <v>109</v>
      </c>
      <c r="C6" s="117" t="s">
        <v>120</v>
      </c>
      <c r="D6" s="117" t="s">
        <v>121</v>
      </c>
      <c r="E6" s="117" t="s">
        <v>122</v>
      </c>
      <c r="F6" s="117" t="s">
        <v>123</v>
      </c>
      <c r="G6" s="117" t="s">
        <v>124</v>
      </c>
      <c r="H6" s="117" t="s">
        <v>125</v>
      </c>
      <c r="I6" s="117">
        <v>1.0</v>
      </c>
      <c r="J6" s="117">
        <v>1.0</v>
      </c>
      <c r="K6" s="117" t="str">
        <f t="shared" si="1"/>
        <v>No</v>
      </c>
      <c r="L6" s="118" t="s">
        <v>116</v>
      </c>
      <c r="M6" s="119">
        <v>1.0</v>
      </c>
      <c r="N6" s="120">
        <v>1.0</v>
      </c>
      <c r="O6" s="121">
        <v>70.0</v>
      </c>
      <c r="P6" s="117">
        <v>10.0</v>
      </c>
      <c r="Q6" s="117">
        <f t="shared" si="2"/>
        <v>14</v>
      </c>
      <c r="R6" s="122">
        <f>+(IF(((M6*24)-P6)&lt;0,0,((M6*24)-P6)*'Estimación de pérdidas'!$F$72))*N6</f>
        <v>807493.0488</v>
      </c>
      <c r="S6" s="123" t="s">
        <v>117</v>
      </c>
      <c r="T6" s="124" t="s">
        <v>106</v>
      </c>
      <c r="U6" s="124">
        <f t="shared" si="3"/>
        <v>4</v>
      </c>
      <c r="V6" s="124">
        <v>1.0</v>
      </c>
      <c r="W6" s="124"/>
      <c r="X6" s="125"/>
      <c r="Y6" s="126"/>
      <c r="Z6" s="125">
        <f t="shared" si="4"/>
        <v>4</v>
      </c>
      <c r="AA6" s="127" t="str">
        <f t="shared" si="5"/>
        <v>Alto</v>
      </c>
      <c r="AB6" s="128">
        <f t="shared" si="6"/>
        <v>22</v>
      </c>
      <c r="AC6" s="129">
        <f t="shared" si="7"/>
        <v>0.2950254226</v>
      </c>
      <c r="AD6" s="130"/>
      <c r="AG6" s="112"/>
      <c r="AH6" s="70" t="s">
        <v>118</v>
      </c>
      <c r="AI6" s="113" t="s">
        <v>107</v>
      </c>
      <c r="AJ6" s="106">
        <v>2.0</v>
      </c>
    </row>
    <row r="7" ht="14.25" hidden="1" customHeight="1">
      <c r="A7" s="116" t="s">
        <v>108</v>
      </c>
      <c r="B7" s="117" t="s">
        <v>109</v>
      </c>
      <c r="C7" s="117" t="s">
        <v>126</v>
      </c>
      <c r="D7" s="117" t="s">
        <v>127</v>
      </c>
      <c r="E7" s="117" t="s">
        <v>128</v>
      </c>
      <c r="F7" s="117" t="s">
        <v>129</v>
      </c>
      <c r="G7" s="117" t="s">
        <v>130</v>
      </c>
      <c r="H7" s="117" t="s">
        <v>131</v>
      </c>
      <c r="I7" s="117">
        <v>1.0</v>
      </c>
      <c r="J7" s="117">
        <v>1.0</v>
      </c>
      <c r="K7" s="117" t="str">
        <f t="shared" si="1"/>
        <v>No</v>
      </c>
      <c r="L7" s="118" t="s">
        <v>116</v>
      </c>
      <c r="M7" s="119">
        <v>0.25</v>
      </c>
      <c r="N7" s="120">
        <v>1.0</v>
      </c>
      <c r="O7" s="121">
        <v>70.0</v>
      </c>
      <c r="P7" s="117">
        <v>10.0</v>
      </c>
      <c r="Q7" s="117">
        <f t="shared" si="2"/>
        <v>0</v>
      </c>
      <c r="R7" s="122">
        <f>+(IF(((M7*24)-P7)&lt;0,0,((M7*24)-P7)*'Estimación de pérdidas'!$F$72))*N7</f>
        <v>0</v>
      </c>
      <c r="S7" s="123" t="s">
        <v>117</v>
      </c>
      <c r="T7" s="124" t="s">
        <v>106</v>
      </c>
      <c r="U7" s="124">
        <f t="shared" si="3"/>
        <v>1</v>
      </c>
      <c r="V7" s="124">
        <v>1.0</v>
      </c>
      <c r="W7" s="124"/>
      <c r="X7" s="125"/>
      <c r="Y7" s="126"/>
      <c r="Z7" s="125">
        <f t="shared" si="4"/>
        <v>1</v>
      </c>
      <c r="AA7" s="127" t="str">
        <f t="shared" si="5"/>
        <v>Bajo</v>
      </c>
      <c r="AB7" s="128">
        <f t="shared" si="6"/>
        <v>7</v>
      </c>
      <c r="AC7" s="129">
        <f t="shared" si="7"/>
        <v>0.1011928851</v>
      </c>
      <c r="AG7" s="112"/>
      <c r="AH7" s="70" t="s">
        <v>132</v>
      </c>
      <c r="AI7" s="113" t="s">
        <v>107</v>
      </c>
      <c r="AJ7" s="106">
        <v>1.0</v>
      </c>
    </row>
    <row r="8" ht="14.25" hidden="1" customHeight="1">
      <c r="A8" s="116" t="s">
        <v>108</v>
      </c>
      <c r="B8" s="117" t="s">
        <v>109</v>
      </c>
      <c r="C8" s="117" t="s">
        <v>133</v>
      </c>
      <c r="D8" s="117" t="s">
        <v>134</v>
      </c>
      <c r="E8" s="117" t="s">
        <v>133</v>
      </c>
      <c r="F8" s="117" t="s">
        <v>135</v>
      </c>
      <c r="G8" s="117" t="s">
        <v>136</v>
      </c>
      <c r="H8" s="117" t="s">
        <v>137</v>
      </c>
      <c r="I8" s="117">
        <v>1.0</v>
      </c>
      <c r="J8" s="117">
        <v>1.0</v>
      </c>
      <c r="K8" s="117" t="str">
        <f t="shared" si="1"/>
        <v>No</v>
      </c>
      <c r="L8" s="118" t="s">
        <v>116</v>
      </c>
      <c r="M8" s="119">
        <v>1.0</v>
      </c>
      <c r="N8" s="120">
        <v>1.0</v>
      </c>
      <c r="O8" s="121">
        <v>70.0</v>
      </c>
      <c r="P8" s="117">
        <v>10.0</v>
      </c>
      <c r="Q8" s="117">
        <f t="shared" si="2"/>
        <v>14</v>
      </c>
      <c r="R8" s="122">
        <f>+(IF(((M8*24)-P8)&lt;0,0,((M8*24)-P8)*'Estimación de pérdidas'!$F$72))*N8</f>
        <v>807493.0488</v>
      </c>
      <c r="S8" s="123" t="s">
        <v>117</v>
      </c>
      <c r="T8" s="124" t="s">
        <v>106</v>
      </c>
      <c r="U8" s="124">
        <f t="shared" si="3"/>
        <v>4</v>
      </c>
      <c r="V8" s="124">
        <v>1.0</v>
      </c>
      <c r="W8" s="124"/>
      <c r="X8" s="125"/>
      <c r="Y8" s="126"/>
      <c r="Z8" s="125">
        <f t="shared" si="4"/>
        <v>4</v>
      </c>
      <c r="AA8" s="127" t="str">
        <f t="shared" si="5"/>
        <v>Alto</v>
      </c>
      <c r="AB8" s="128">
        <f t="shared" si="6"/>
        <v>22</v>
      </c>
      <c r="AC8" s="129">
        <f t="shared" si="7"/>
        <v>0.2950254226</v>
      </c>
      <c r="AD8" s="130"/>
      <c r="AG8" s="112"/>
      <c r="AH8" s="70" t="s">
        <v>99</v>
      </c>
      <c r="AI8" s="113" t="s">
        <v>100</v>
      </c>
      <c r="AJ8" s="106"/>
    </row>
    <row r="9" ht="14.25" hidden="1" customHeight="1">
      <c r="A9" s="116" t="s">
        <v>108</v>
      </c>
      <c r="B9" s="117" t="s">
        <v>109</v>
      </c>
      <c r="C9" s="117" t="s">
        <v>138</v>
      </c>
      <c r="D9" s="117" t="s">
        <v>139</v>
      </c>
      <c r="E9" s="117" t="s">
        <v>138</v>
      </c>
      <c r="F9" s="117" t="s">
        <v>140</v>
      </c>
      <c r="G9" s="117" t="s">
        <v>141</v>
      </c>
      <c r="H9" s="117" t="s">
        <v>142</v>
      </c>
      <c r="I9" s="117">
        <v>1.0</v>
      </c>
      <c r="J9" s="117">
        <v>1.0</v>
      </c>
      <c r="K9" s="117" t="str">
        <f t="shared" si="1"/>
        <v>No</v>
      </c>
      <c r="L9" s="118" t="s">
        <v>116</v>
      </c>
      <c r="M9" s="119">
        <v>0.4166666666666667</v>
      </c>
      <c r="N9" s="120">
        <v>0.0</v>
      </c>
      <c r="O9" s="121"/>
      <c r="P9" s="117">
        <v>0.0</v>
      </c>
      <c r="Q9" s="117">
        <f t="shared" si="2"/>
        <v>0</v>
      </c>
      <c r="R9" s="122">
        <f>+(IF(((M9*24)-P9)&lt;0,0,((M9*24)-P9)*'Estimación de pérdidas'!$F$72))*N9</f>
        <v>0</v>
      </c>
      <c r="S9" s="123" t="s">
        <v>117</v>
      </c>
      <c r="T9" s="124" t="s">
        <v>119</v>
      </c>
      <c r="U9" s="124">
        <f t="shared" si="3"/>
        <v>1</v>
      </c>
      <c r="V9" s="124">
        <v>1.0</v>
      </c>
      <c r="W9" s="124"/>
      <c r="X9" s="125"/>
      <c r="Y9" s="126"/>
      <c r="Z9" s="125">
        <f t="shared" si="4"/>
        <v>1</v>
      </c>
      <c r="AA9" s="127" t="str">
        <f t="shared" si="5"/>
        <v>Bajo</v>
      </c>
      <c r="AB9" s="128">
        <f t="shared" si="6"/>
        <v>4</v>
      </c>
      <c r="AC9" s="129">
        <f t="shared" si="7"/>
        <v>0.07589466384</v>
      </c>
      <c r="AG9" s="112"/>
      <c r="AH9" s="70" t="s">
        <v>106</v>
      </c>
      <c r="AI9" s="113" t="s">
        <v>100</v>
      </c>
      <c r="AJ9" s="106"/>
    </row>
    <row r="10" ht="14.25" hidden="1" customHeight="1">
      <c r="A10" s="116" t="s">
        <v>108</v>
      </c>
      <c r="B10" s="117" t="s">
        <v>109</v>
      </c>
      <c r="C10" s="117" t="s">
        <v>143</v>
      </c>
      <c r="D10" s="117" t="s">
        <v>144</v>
      </c>
      <c r="E10" s="117" t="s">
        <v>143</v>
      </c>
      <c r="F10" s="117" t="s">
        <v>145</v>
      </c>
      <c r="G10" s="117" t="s">
        <v>146</v>
      </c>
      <c r="H10" s="117" t="s">
        <v>147</v>
      </c>
      <c r="I10" s="117">
        <v>1.0</v>
      </c>
      <c r="J10" s="117">
        <v>1.0</v>
      </c>
      <c r="K10" s="117" t="str">
        <f t="shared" si="1"/>
        <v>No</v>
      </c>
      <c r="L10" s="118" t="s">
        <v>116</v>
      </c>
      <c r="M10" s="119">
        <v>1.5</v>
      </c>
      <c r="N10" s="120">
        <v>1.0</v>
      </c>
      <c r="O10" s="121">
        <v>70.0</v>
      </c>
      <c r="P10" s="117">
        <v>10.0</v>
      </c>
      <c r="Q10" s="117">
        <f t="shared" si="2"/>
        <v>26</v>
      </c>
      <c r="R10" s="122">
        <f>+(IF(((M10*24)-P10)&lt;0,0,((M10*24)-P10)*'Estimación de pérdidas'!$F$72))*N10</f>
        <v>1499629.948</v>
      </c>
      <c r="S10" s="123" t="s">
        <v>117</v>
      </c>
      <c r="T10" s="124" t="s">
        <v>119</v>
      </c>
      <c r="U10" s="124">
        <f t="shared" si="3"/>
        <v>5</v>
      </c>
      <c r="V10" s="124">
        <v>1.0</v>
      </c>
      <c r="W10" s="124"/>
      <c r="X10" s="125"/>
      <c r="Y10" s="126"/>
      <c r="Z10" s="125">
        <f t="shared" si="4"/>
        <v>5</v>
      </c>
      <c r="AA10" s="127" t="str">
        <f t="shared" si="5"/>
        <v>Alto</v>
      </c>
      <c r="AB10" s="128">
        <f t="shared" si="6"/>
        <v>21</v>
      </c>
      <c r="AC10" s="129">
        <f t="shared" si="7"/>
        <v>0.273642102</v>
      </c>
      <c r="AD10" s="130"/>
      <c r="AG10" s="112"/>
      <c r="AH10" s="70" t="s">
        <v>119</v>
      </c>
      <c r="AI10" s="113" t="s">
        <v>100</v>
      </c>
      <c r="AJ10" s="106"/>
    </row>
    <row r="11" ht="14.25" hidden="1" customHeight="1">
      <c r="A11" s="116" t="s">
        <v>108</v>
      </c>
      <c r="B11" s="117" t="s">
        <v>148</v>
      </c>
      <c r="C11" s="117" t="s">
        <v>149</v>
      </c>
      <c r="D11" s="117" t="s">
        <v>150</v>
      </c>
      <c r="E11" s="117" t="s">
        <v>149</v>
      </c>
      <c r="F11" s="117" t="s">
        <v>151</v>
      </c>
      <c r="G11" s="117" t="s">
        <v>152</v>
      </c>
      <c r="H11" s="117" t="s">
        <v>147</v>
      </c>
      <c r="I11" s="117">
        <v>1.0</v>
      </c>
      <c r="J11" s="117">
        <v>1.0</v>
      </c>
      <c r="K11" s="117" t="str">
        <f t="shared" si="1"/>
        <v>No</v>
      </c>
      <c r="L11" s="118" t="s">
        <v>116</v>
      </c>
      <c r="M11" s="119">
        <v>3.0</v>
      </c>
      <c r="N11" s="120">
        <v>1.0</v>
      </c>
      <c r="O11" s="121">
        <v>70.0</v>
      </c>
      <c r="P11" s="117">
        <v>10.0</v>
      </c>
      <c r="Q11" s="117">
        <f t="shared" si="2"/>
        <v>62</v>
      </c>
      <c r="R11" s="122">
        <f>+(IF(((M11*24)-P11)&lt;0,0,((M11*24)-P11)*'Estimación de pérdidas'!$F$72))*N11</f>
        <v>3576040.645</v>
      </c>
      <c r="S11" s="123" t="s">
        <v>117</v>
      </c>
      <c r="T11" s="124" t="s">
        <v>118</v>
      </c>
      <c r="U11" s="124">
        <f t="shared" si="3"/>
        <v>5</v>
      </c>
      <c r="V11" s="124">
        <v>2.0</v>
      </c>
      <c r="W11" s="124"/>
      <c r="X11" s="125"/>
      <c r="Y11" s="126"/>
      <c r="Z11" s="125">
        <f t="shared" si="4"/>
        <v>5</v>
      </c>
      <c r="AA11" s="127" t="str">
        <f t="shared" si="5"/>
        <v>Alto</v>
      </c>
      <c r="AB11" s="128">
        <f t="shared" si="6"/>
        <v>19</v>
      </c>
      <c r="AC11" s="129">
        <f t="shared" si="7"/>
        <v>0.1926655133</v>
      </c>
      <c r="AD11" s="130"/>
      <c r="AG11" s="112"/>
      <c r="AH11" s="70" t="s">
        <v>118</v>
      </c>
      <c r="AI11" s="113" t="s">
        <v>107</v>
      </c>
      <c r="AJ11" s="106"/>
    </row>
    <row r="12" ht="14.25" hidden="1" customHeight="1">
      <c r="A12" s="116" t="s">
        <v>108</v>
      </c>
      <c r="B12" s="117" t="s">
        <v>109</v>
      </c>
      <c r="C12" s="117" t="s">
        <v>153</v>
      </c>
      <c r="D12" s="117" t="s">
        <v>154</v>
      </c>
      <c r="E12" s="117" t="s">
        <v>155</v>
      </c>
      <c r="F12" s="117" t="s">
        <v>156</v>
      </c>
      <c r="G12" s="117" t="s">
        <v>157</v>
      </c>
      <c r="H12" s="117" t="s">
        <v>158</v>
      </c>
      <c r="I12" s="117">
        <v>1.0</v>
      </c>
      <c r="J12" s="117">
        <v>1.0</v>
      </c>
      <c r="K12" s="117" t="str">
        <f t="shared" si="1"/>
        <v>No</v>
      </c>
      <c r="L12" s="118" t="s">
        <v>116</v>
      </c>
      <c r="M12" s="119">
        <v>0.25</v>
      </c>
      <c r="N12" s="120">
        <v>0.0</v>
      </c>
      <c r="O12" s="121">
        <v>70.0</v>
      </c>
      <c r="P12" s="117">
        <v>10.0</v>
      </c>
      <c r="Q12" s="117">
        <f t="shared" si="2"/>
        <v>0</v>
      </c>
      <c r="R12" s="122">
        <f>+(IF(((M12*24)-P12)&lt;0,0,((M12*24)-P12)*'Estimación de pérdidas'!$F$72))*N12</f>
        <v>0</v>
      </c>
      <c r="S12" s="123" t="s">
        <v>117</v>
      </c>
      <c r="T12" s="124" t="s">
        <v>119</v>
      </c>
      <c r="U12" s="124">
        <f t="shared" si="3"/>
        <v>1</v>
      </c>
      <c r="V12" s="124">
        <v>1.0</v>
      </c>
      <c r="W12" s="124"/>
      <c r="X12" s="125"/>
      <c r="Y12" s="126"/>
      <c r="Z12" s="125">
        <f t="shared" si="4"/>
        <v>1</v>
      </c>
      <c r="AA12" s="127" t="str">
        <f t="shared" si="5"/>
        <v>Bajo</v>
      </c>
      <c r="AB12" s="128">
        <f t="shared" si="6"/>
        <v>4</v>
      </c>
      <c r="AC12" s="129">
        <f t="shared" si="7"/>
        <v>0.07589466384</v>
      </c>
      <c r="AG12" s="112"/>
      <c r="AH12" s="70" t="s">
        <v>132</v>
      </c>
      <c r="AI12" s="113" t="s">
        <v>107</v>
      </c>
      <c r="AJ12" s="106"/>
    </row>
    <row r="13" ht="14.25" hidden="1" customHeight="1">
      <c r="A13" s="116" t="s">
        <v>108</v>
      </c>
      <c r="B13" s="117" t="s">
        <v>109</v>
      </c>
      <c r="C13" s="117" t="s">
        <v>153</v>
      </c>
      <c r="D13" s="117" t="s">
        <v>159</v>
      </c>
      <c r="E13" s="117" t="s">
        <v>155</v>
      </c>
      <c r="F13" s="117" t="s">
        <v>160</v>
      </c>
      <c r="G13" s="117" t="s">
        <v>157</v>
      </c>
      <c r="H13" s="117" t="s">
        <v>158</v>
      </c>
      <c r="I13" s="117">
        <v>1.0</v>
      </c>
      <c r="J13" s="117">
        <v>1.0</v>
      </c>
      <c r="K13" s="117" t="str">
        <f t="shared" si="1"/>
        <v>No</v>
      </c>
      <c r="L13" s="118" t="s">
        <v>116</v>
      </c>
      <c r="M13" s="119">
        <v>0.25</v>
      </c>
      <c r="N13" s="120">
        <v>0.0</v>
      </c>
      <c r="O13" s="121">
        <v>70.0</v>
      </c>
      <c r="P13" s="117">
        <v>10.0</v>
      </c>
      <c r="Q13" s="117">
        <f t="shared" si="2"/>
        <v>0</v>
      </c>
      <c r="R13" s="122">
        <f>+(IF(((M13*24)-P13)&lt;0,0,((M13*24)-P13)*'Estimación de pérdidas'!$F$72))*N13</f>
        <v>0</v>
      </c>
      <c r="S13" s="123" t="s">
        <v>117</v>
      </c>
      <c r="T13" s="124" t="s">
        <v>119</v>
      </c>
      <c r="U13" s="124">
        <f t="shared" si="3"/>
        <v>1</v>
      </c>
      <c r="V13" s="124">
        <v>1.0</v>
      </c>
      <c r="W13" s="124"/>
      <c r="X13" s="125"/>
      <c r="Y13" s="126"/>
      <c r="Z13" s="125">
        <f t="shared" si="4"/>
        <v>1</v>
      </c>
      <c r="AA13" s="127" t="str">
        <f t="shared" si="5"/>
        <v>Bajo</v>
      </c>
      <c r="AB13" s="128">
        <f t="shared" si="6"/>
        <v>4</v>
      </c>
      <c r="AC13" s="129">
        <f t="shared" si="7"/>
        <v>0.07589466384</v>
      </c>
      <c r="AG13" s="112"/>
      <c r="AH13" s="70" t="s">
        <v>99</v>
      </c>
      <c r="AI13" s="113" t="s">
        <v>161</v>
      </c>
      <c r="AJ13" s="106"/>
    </row>
    <row r="14" ht="14.25" hidden="1" customHeight="1">
      <c r="A14" s="116" t="s">
        <v>108</v>
      </c>
      <c r="B14" s="117" t="s">
        <v>109</v>
      </c>
      <c r="C14" s="117" t="s">
        <v>162</v>
      </c>
      <c r="D14" s="117" t="s">
        <v>163</v>
      </c>
      <c r="E14" s="117" t="s">
        <v>162</v>
      </c>
      <c r="F14" s="117" t="s">
        <v>164</v>
      </c>
      <c r="G14" s="117" t="s">
        <v>165</v>
      </c>
      <c r="H14" s="117" t="s">
        <v>166</v>
      </c>
      <c r="I14" s="117">
        <v>1.0</v>
      </c>
      <c r="J14" s="117">
        <v>1.0</v>
      </c>
      <c r="K14" s="117" t="str">
        <f t="shared" si="1"/>
        <v>No</v>
      </c>
      <c r="L14" s="118" t="s">
        <v>116</v>
      </c>
      <c r="M14" s="119">
        <v>0.3333333333333333</v>
      </c>
      <c r="N14" s="120">
        <v>0.0</v>
      </c>
      <c r="O14" s="121">
        <v>70.0</v>
      </c>
      <c r="P14" s="117">
        <v>10.0</v>
      </c>
      <c r="Q14" s="117">
        <f t="shared" si="2"/>
        <v>0</v>
      </c>
      <c r="R14" s="122">
        <f>+(IF(((M14*24)-P14)&lt;0,0,((M14*24)-P14)*'Estimación de pérdidas'!$F$72))*N14</f>
        <v>0</v>
      </c>
      <c r="S14" s="123" t="s">
        <v>117</v>
      </c>
      <c r="T14" s="124" t="s">
        <v>118</v>
      </c>
      <c r="U14" s="124">
        <f t="shared" si="3"/>
        <v>1</v>
      </c>
      <c r="V14" s="124">
        <v>1.0</v>
      </c>
      <c r="W14" s="124"/>
      <c r="X14" s="125"/>
      <c r="Y14" s="126"/>
      <c r="Z14" s="125">
        <f t="shared" si="4"/>
        <v>1</v>
      </c>
      <c r="AA14" s="127" t="str">
        <f t="shared" si="5"/>
        <v>Bajo</v>
      </c>
      <c r="AB14" s="128">
        <f t="shared" si="6"/>
        <v>2</v>
      </c>
      <c r="AC14" s="129">
        <f t="shared" si="7"/>
        <v>0.05059644256</v>
      </c>
      <c r="AG14" s="112"/>
      <c r="AH14" s="70" t="s">
        <v>106</v>
      </c>
      <c r="AI14" s="113" t="s">
        <v>100</v>
      </c>
      <c r="AJ14" s="106"/>
    </row>
    <row r="15" ht="14.25" hidden="1" customHeight="1">
      <c r="A15" s="116" t="s">
        <v>108</v>
      </c>
      <c r="B15" s="117" t="s">
        <v>109</v>
      </c>
      <c r="C15" s="117" t="s">
        <v>167</v>
      </c>
      <c r="D15" s="117" t="s">
        <v>168</v>
      </c>
      <c r="E15" s="117" t="s">
        <v>169</v>
      </c>
      <c r="F15" s="117" t="s">
        <v>170</v>
      </c>
      <c r="G15" s="117" t="s">
        <v>171</v>
      </c>
      <c r="H15" s="117" t="s">
        <v>172</v>
      </c>
      <c r="I15" s="117">
        <v>1.0</v>
      </c>
      <c r="J15" s="117">
        <v>1.0</v>
      </c>
      <c r="K15" s="117" t="str">
        <f t="shared" si="1"/>
        <v>No</v>
      </c>
      <c r="L15" s="118" t="s">
        <v>116</v>
      </c>
      <c r="M15" s="119">
        <v>0.3333333333333333</v>
      </c>
      <c r="N15" s="120">
        <v>0.0</v>
      </c>
      <c r="O15" s="121"/>
      <c r="P15" s="117">
        <v>0.0</v>
      </c>
      <c r="Q15" s="117">
        <f t="shared" si="2"/>
        <v>0</v>
      </c>
      <c r="R15" s="122">
        <f>+(IF(((M15*24)-P15)&lt;0,0,((M15*24)-P15)*'Estimación de pérdidas'!$F$72))*N15</f>
        <v>0</v>
      </c>
      <c r="S15" s="123" t="s">
        <v>117</v>
      </c>
      <c r="T15" s="124" t="s">
        <v>119</v>
      </c>
      <c r="U15" s="124">
        <f t="shared" si="3"/>
        <v>1</v>
      </c>
      <c r="V15" s="124">
        <v>1.0</v>
      </c>
      <c r="W15" s="124"/>
      <c r="X15" s="125"/>
      <c r="Y15" s="126"/>
      <c r="Z15" s="125">
        <f t="shared" si="4"/>
        <v>1</v>
      </c>
      <c r="AA15" s="127" t="str">
        <f t="shared" si="5"/>
        <v>Bajo</v>
      </c>
      <c r="AB15" s="128">
        <f t="shared" si="6"/>
        <v>4</v>
      </c>
      <c r="AC15" s="129">
        <f t="shared" si="7"/>
        <v>0.07589466384</v>
      </c>
      <c r="AG15" s="112"/>
      <c r="AH15" s="70" t="s">
        <v>119</v>
      </c>
      <c r="AI15" s="113" t="s">
        <v>100</v>
      </c>
      <c r="AJ15" s="106"/>
    </row>
    <row r="16" ht="14.25" hidden="1" customHeight="1">
      <c r="A16" s="116" t="s">
        <v>108</v>
      </c>
      <c r="B16" s="117" t="s">
        <v>109</v>
      </c>
      <c r="C16" s="117" t="s">
        <v>173</v>
      </c>
      <c r="D16" s="117" t="s">
        <v>174</v>
      </c>
      <c r="E16" s="117" t="s">
        <v>173</v>
      </c>
      <c r="F16" s="117" t="s">
        <v>175</v>
      </c>
      <c r="G16" s="117" t="s">
        <v>171</v>
      </c>
      <c r="H16" s="117" t="s">
        <v>172</v>
      </c>
      <c r="I16" s="117">
        <v>1.0</v>
      </c>
      <c r="J16" s="117">
        <v>1.0</v>
      </c>
      <c r="K16" s="117" t="str">
        <f t="shared" si="1"/>
        <v>No</v>
      </c>
      <c r="L16" s="118" t="s">
        <v>116</v>
      </c>
      <c r="M16" s="119">
        <v>0.3333333333333333</v>
      </c>
      <c r="N16" s="120">
        <v>0.0</v>
      </c>
      <c r="O16" s="121"/>
      <c r="P16" s="117">
        <v>0.0</v>
      </c>
      <c r="Q16" s="117">
        <f t="shared" si="2"/>
        <v>0</v>
      </c>
      <c r="R16" s="122">
        <f>+(IF(((M16*24)-P16)&lt;0,0,((M16*24)-P16)*'Estimación de pérdidas'!$F$72))*N16</f>
        <v>0</v>
      </c>
      <c r="S16" s="123" t="s">
        <v>117</v>
      </c>
      <c r="T16" s="124" t="s">
        <v>119</v>
      </c>
      <c r="U16" s="124">
        <f t="shared" si="3"/>
        <v>1</v>
      </c>
      <c r="V16" s="124">
        <v>1.0</v>
      </c>
      <c r="W16" s="124"/>
      <c r="X16" s="125"/>
      <c r="Y16" s="126"/>
      <c r="Z16" s="125">
        <f t="shared" si="4"/>
        <v>1</v>
      </c>
      <c r="AA16" s="127" t="str">
        <f t="shared" si="5"/>
        <v>Bajo</v>
      </c>
      <c r="AB16" s="128">
        <f t="shared" si="6"/>
        <v>4</v>
      </c>
      <c r="AC16" s="129">
        <f t="shared" si="7"/>
        <v>0.07589466384</v>
      </c>
      <c r="AG16" s="112"/>
      <c r="AH16" s="70" t="s">
        <v>118</v>
      </c>
      <c r="AI16" s="113" t="s">
        <v>100</v>
      </c>
      <c r="AJ16" s="106"/>
    </row>
    <row r="17" ht="14.25" hidden="1" customHeight="1">
      <c r="A17" s="116" t="s">
        <v>108</v>
      </c>
      <c r="B17" s="117" t="s">
        <v>109</v>
      </c>
      <c r="C17" s="117" t="s">
        <v>176</v>
      </c>
      <c r="D17" s="117" t="s">
        <v>177</v>
      </c>
      <c r="E17" s="117" t="s">
        <v>176</v>
      </c>
      <c r="F17" s="117" t="s">
        <v>178</v>
      </c>
      <c r="G17" s="117" t="s">
        <v>179</v>
      </c>
      <c r="H17" s="117" t="s">
        <v>180</v>
      </c>
      <c r="I17" s="117">
        <v>1.0</v>
      </c>
      <c r="J17" s="117">
        <v>1.0</v>
      </c>
      <c r="K17" s="117" t="str">
        <f t="shared" si="1"/>
        <v>No</v>
      </c>
      <c r="L17" s="118" t="s">
        <v>116</v>
      </c>
      <c r="M17" s="119">
        <v>0.4166666666666667</v>
      </c>
      <c r="N17" s="120">
        <v>1.0</v>
      </c>
      <c r="O17" s="121">
        <v>70.0</v>
      </c>
      <c r="P17" s="117">
        <v>10.0</v>
      </c>
      <c r="Q17" s="117">
        <f t="shared" si="2"/>
        <v>0</v>
      </c>
      <c r="R17" s="122">
        <f>+(IF(((M17*24)-P17)&lt;0,0,((M17*24)-P17)*'Estimación de pérdidas'!$F$72))*N17</f>
        <v>0</v>
      </c>
      <c r="S17" s="123" t="s">
        <v>117</v>
      </c>
      <c r="T17" s="124" t="s">
        <v>119</v>
      </c>
      <c r="U17" s="124">
        <f t="shared" si="3"/>
        <v>1</v>
      </c>
      <c r="V17" s="124">
        <v>1.0</v>
      </c>
      <c r="W17" s="124"/>
      <c r="X17" s="125"/>
      <c r="Y17" s="126"/>
      <c r="Z17" s="125">
        <f t="shared" si="4"/>
        <v>1</v>
      </c>
      <c r="AA17" s="127" t="str">
        <f t="shared" si="5"/>
        <v>Bajo</v>
      </c>
      <c r="AB17" s="128">
        <f t="shared" si="6"/>
        <v>4</v>
      </c>
      <c r="AC17" s="129">
        <f t="shared" si="7"/>
        <v>0.07589466384</v>
      </c>
      <c r="AG17" s="112"/>
      <c r="AH17" s="70" t="s">
        <v>132</v>
      </c>
      <c r="AI17" s="113" t="s">
        <v>107</v>
      </c>
      <c r="AJ17" s="106"/>
    </row>
    <row r="18" ht="14.25" hidden="1" customHeight="1">
      <c r="A18" s="116" t="s">
        <v>108</v>
      </c>
      <c r="B18" s="117" t="s">
        <v>109</v>
      </c>
      <c r="C18" s="117" t="s">
        <v>181</v>
      </c>
      <c r="D18" s="117" t="s">
        <v>182</v>
      </c>
      <c r="E18" s="117" t="s">
        <v>181</v>
      </c>
      <c r="F18" s="117" t="s">
        <v>183</v>
      </c>
      <c r="G18" s="117" t="s">
        <v>179</v>
      </c>
      <c r="H18" s="117" t="s">
        <v>184</v>
      </c>
      <c r="I18" s="117">
        <v>1.0</v>
      </c>
      <c r="J18" s="117">
        <v>1.0</v>
      </c>
      <c r="K18" s="117" t="str">
        <f t="shared" si="1"/>
        <v>No</v>
      </c>
      <c r="L18" s="118" t="s">
        <v>116</v>
      </c>
      <c r="M18" s="119">
        <v>0.4166666666666667</v>
      </c>
      <c r="N18" s="120">
        <v>1.0</v>
      </c>
      <c r="O18" s="121">
        <v>70.0</v>
      </c>
      <c r="P18" s="117">
        <v>10.0</v>
      </c>
      <c r="Q18" s="117">
        <f t="shared" si="2"/>
        <v>0</v>
      </c>
      <c r="R18" s="122">
        <f>+(IF(((M18*24)-P18)&lt;0,0,((M18*24)-P18)*'Estimación de pérdidas'!$F$72))*N18</f>
        <v>0</v>
      </c>
      <c r="S18" s="123" t="s">
        <v>117</v>
      </c>
      <c r="T18" s="124" t="s">
        <v>119</v>
      </c>
      <c r="U18" s="124">
        <f t="shared" si="3"/>
        <v>1</v>
      </c>
      <c r="V18" s="124">
        <v>1.0</v>
      </c>
      <c r="W18" s="124"/>
      <c r="X18" s="125"/>
      <c r="Y18" s="126"/>
      <c r="Z18" s="125">
        <f t="shared" si="4"/>
        <v>1</v>
      </c>
      <c r="AA18" s="127" t="str">
        <f t="shared" si="5"/>
        <v>Bajo</v>
      </c>
      <c r="AB18" s="128">
        <f t="shared" si="6"/>
        <v>4</v>
      </c>
      <c r="AC18" s="129">
        <f t="shared" si="7"/>
        <v>0.07589466384</v>
      </c>
      <c r="AG18" s="112"/>
      <c r="AH18" s="70" t="s">
        <v>99</v>
      </c>
      <c r="AI18" s="113" t="s">
        <v>161</v>
      </c>
      <c r="AJ18" s="106"/>
    </row>
    <row r="19" ht="14.25" hidden="1" customHeight="1">
      <c r="A19" s="116" t="s">
        <v>108</v>
      </c>
      <c r="B19" s="117" t="s">
        <v>109</v>
      </c>
      <c r="C19" s="117" t="s">
        <v>185</v>
      </c>
      <c r="D19" s="117" t="s">
        <v>186</v>
      </c>
      <c r="E19" s="117" t="s">
        <v>187</v>
      </c>
      <c r="F19" s="117" t="s">
        <v>170</v>
      </c>
      <c r="G19" s="117" t="s">
        <v>188</v>
      </c>
      <c r="H19" s="117" t="s">
        <v>189</v>
      </c>
      <c r="I19" s="117">
        <v>1.0</v>
      </c>
      <c r="J19" s="117">
        <v>1.0</v>
      </c>
      <c r="K19" s="117" t="str">
        <f t="shared" si="1"/>
        <v>No</v>
      </c>
      <c r="L19" s="118" t="s">
        <v>116</v>
      </c>
      <c r="M19" s="119">
        <v>0.5</v>
      </c>
      <c r="N19" s="120">
        <v>0.0</v>
      </c>
      <c r="O19" s="121"/>
      <c r="P19" s="117">
        <v>0.0</v>
      </c>
      <c r="Q19" s="117">
        <f t="shared" si="2"/>
        <v>0</v>
      </c>
      <c r="R19" s="122">
        <f>+(IF(((M19*24)-P19)&lt;0,0,((M19*24)-P19)*'Estimación de pérdidas'!$F$72))*N19</f>
        <v>0</v>
      </c>
      <c r="S19" s="123" t="s">
        <v>117</v>
      </c>
      <c r="T19" s="124" t="s">
        <v>118</v>
      </c>
      <c r="U19" s="124">
        <f t="shared" si="3"/>
        <v>1</v>
      </c>
      <c r="V19" s="124">
        <v>2.0</v>
      </c>
      <c r="W19" s="124">
        <v>4.0</v>
      </c>
      <c r="X19" s="125"/>
      <c r="Y19" s="126"/>
      <c r="Z19" s="125">
        <f t="shared" si="4"/>
        <v>4</v>
      </c>
      <c r="AA19" s="127" t="str">
        <f t="shared" si="5"/>
        <v>Moderado</v>
      </c>
      <c r="AB19" s="128">
        <f t="shared" si="6"/>
        <v>14</v>
      </c>
      <c r="AC19" s="129">
        <f t="shared" si="7"/>
        <v>0.1639512123</v>
      </c>
      <c r="AD19" s="130"/>
      <c r="AG19" s="112"/>
      <c r="AH19" s="70" t="s">
        <v>106</v>
      </c>
      <c r="AI19" s="113" t="s">
        <v>161</v>
      </c>
      <c r="AJ19" s="106"/>
    </row>
    <row r="20" ht="14.25" hidden="1" customHeight="1">
      <c r="A20" s="116" t="s">
        <v>108</v>
      </c>
      <c r="B20" s="117" t="s">
        <v>109</v>
      </c>
      <c r="C20" s="117" t="s">
        <v>190</v>
      </c>
      <c r="D20" s="117" t="s">
        <v>191</v>
      </c>
      <c r="E20" s="117" t="s">
        <v>190</v>
      </c>
      <c r="F20" s="117" t="s">
        <v>192</v>
      </c>
      <c r="G20" s="117" t="s">
        <v>188</v>
      </c>
      <c r="H20" s="117" t="s">
        <v>189</v>
      </c>
      <c r="I20" s="117">
        <v>1.0</v>
      </c>
      <c r="J20" s="117">
        <v>1.0</v>
      </c>
      <c r="K20" s="117" t="str">
        <f t="shared" si="1"/>
        <v>No</v>
      </c>
      <c r="L20" s="118" t="s">
        <v>116</v>
      </c>
      <c r="M20" s="119">
        <v>0.5</v>
      </c>
      <c r="N20" s="120">
        <v>0.0</v>
      </c>
      <c r="O20" s="121"/>
      <c r="P20" s="117">
        <v>0.0</v>
      </c>
      <c r="Q20" s="117">
        <f t="shared" si="2"/>
        <v>0</v>
      </c>
      <c r="R20" s="122">
        <f>+(IF(((M20*24)-P20)&lt;0,0,((M20*24)-P20)*'Estimación de pérdidas'!$F$72))*N20</f>
        <v>0</v>
      </c>
      <c r="S20" s="123" t="s">
        <v>117</v>
      </c>
      <c r="T20" s="124" t="s">
        <v>118</v>
      </c>
      <c r="U20" s="124">
        <f t="shared" si="3"/>
        <v>1</v>
      </c>
      <c r="V20" s="124">
        <v>2.0</v>
      </c>
      <c r="W20" s="124">
        <v>4.0</v>
      </c>
      <c r="X20" s="125"/>
      <c r="Y20" s="126"/>
      <c r="Z20" s="125">
        <f t="shared" si="4"/>
        <v>4</v>
      </c>
      <c r="AA20" s="127" t="str">
        <f t="shared" si="5"/>
        <v>Moderado</v>
      </c>
      <c r="AB20" s="128">
        <f t="shared" si="6"/>
        <v>14</v>
      </c>
      <c r="AC20" s="129">
        <f t="shared" si="7"/>
        <v>0.1639512123</v>
      </c>
      <c r="AD20" s="130"/>
      <c r="AG20" s="112"/>
      <c r="AH20" s="70" t="s">
        <v>119</v>
      </c>
      <c r="AI20" s="113" t="s">
        <v>100</v>
      </c>
      <c r="AJ20" s="106"/>
    </row>
    <row r="21" ht="14.25" hidden="1" customHeight="1">
      <c r="A21" s="116" t="s">
        <v>108</v>
      </c>
      <c r="B21" s="117" t="s">
        <v>109</v>
      </c>
      <c r="C21" s="117" t="s">
        <v>193</v>
      </c>
      <c r="D21" s="117" t="s">
        <v>194</v>
      </c>
      <c r="E21" s="117" t="s">
        <v>195</v>
      </c>
      <c r="F21" s="117" t="s">
        <v>196</v>
      </c>
      <c r="G21" s="117" t="s">
        <v>197</v>
      </c>
      <c r="H21" s="117" t="s">
        <v>198</v>
      </c>
      <c r="I21" s="117">
        <v>1.0</v>
      </c>
      <c r="J21" s="117">
        <v>1.0</v>
      </c>
      <c r="K21" s="117" t="str">
        <f t="shared" si="1"/>
        <v>No</v>
      </c>
      <c r="L21" s="118" t="s">
        <v>116</v>
      </c>
      <c r="M21" s="119">
        <v>1.0</v>
      </c>
      <c r="N21" s="120">
        <v>0.0</v>
      </c>
      <c r="O21" s="121">
        <v>70.0</v>
      </c>
      <c r="P21" s="117">
        <v>10.0</v>
      </c>
      <c r="Q21" s="117">
        <f t="shared" si="2"/>
        <v>0</v>
      </c>
      <c r="R21" s="122">
        <f>+(IF(((M21*24)-P21)&lt;0,0,((M21*24)-P21)*'Estimación de pérdidas'!$F$72))*N21</f>
        <v>0</v>
      </c>
      <c r="S21" s="123" t="s">
        <v>117</v>
      </c>
      <c r="T21" s="124" t="s">
        <v>118</v>
      </c>
      <c r="U21" s="124">
        <f t="shared" si="3"/>
        <v>1</v>
      </c>
      <c r="V21" s="124">
        <v>1.0</v>
      </c>
      <c r="W21" s="124"/>
      <c r="X21" s="125"/>
      <c r="Y21" s="126"/>
      <c r="Z21" s="125">
        <f t="shared" si="4"/>
        <v>1</v>
      </c>
      <c r="AA21" s="127" t="str">
        <f t="shared" si="5"/>
        <v>Bajo</v>
      </c>
      <c r="AB21" s="128">
        <f t="shared" si="6"/>
        <v>2</v>
      </c>
      <c r="AC21" s="129">
        <f t="shared" si="7"/>
        <v>0.05059644256</v>
      </c>
      <c r="AG21" s="112"/>
      <c r="AH21" s="70" t="s">
        <v>118</v>
      </c>
      <c r="AI21" s="113" t="s">
        <v>100</v>
      </c>
      <c r="AJ21" s="106"/>
    </row>
    <row r="22" ht="14.25" hidden="1" customHeight="1">
      <c r="A22" s="116" t="s">
        <v>108</v>
      </c>
      <c r="B22" s="117" t="s">
        <v>109</v>
      </c>
      <c r="C22" s="117" t="s">
        <v>199</v>
      </c>
      <c r="D22" s="117" t="s">
        <v>200</v>
      </c>
      <c r="E22" s="117" t="s">
        <v>199</v>
      </c>
      <c r="F22" s="117" t="s">
        <v>170</v>
      </c>
      <c r="G22" s="117" t="s">
        <v>171</v>
      </c>
      <c r="H22" s="117" t="s">
        <v>172</v>
      </c>
      <c r="I22" s="117">
        <v>1.0</v>
      </c>
      <c r="J22" s="117">
        <v>1.0</v>
      </c>
      <c r="K22" s="117" t="str">
        <f t="shared" si="1"/>
        <v>No</v>
      </c>
      <c r="L22" s="118" t="s">
        <v>116</v>
      </c>
      <c r="M22" s="119">
        <v>0.3333333333333333</v>
      </c>
      <c r="N22" s="120">
        <v>0.0</v>
      </c>
      <c r="O22" s="121"/>
      <c r="P22" s="117">
        <v>0.0</v>
      </c>
      <c r="Q22" s="117">
        <f t="shared" si="2"/>
        <v>0</v>
      </c>
      <c r="R22" s="122">
        <f>+(IF(((M22*24)-P22)&lt;0,0,((M22*24)-P22)*'Estimación de pérdidas'!$F$72))*N22</f>
        <v>0</v>
      </c>
      <c r="S22" s="123" t="s">
        <v>117</v>
      </c>
      <c r="T22" s="124" t="s">
        <v>119</v>
      </c>
      <c r="U22" s="124">
        <f t="shared" si="3"/>
        <v>1</v>
      </c>
      <c r="V22" s="124">
        <v>1.0</v>
      </c>
      <c r="W22" s="124"/>
      <c r="X22" s="125"/>
      <c r="Y22" s="126"/>
      <c r="Z22" s="125">
        <f t="shared" si="4"/>
        <v>1</v>
      </c>
      <c r="AA22" s="127" t="str">
        <f t="shared" si="5"/>
        <v>Bajo</v>
      </c>
      <c r="AB22" s="128">
        <f t="shared" si="6"/>
        <v>4</v>
      </c>
      <c r="AC22" s="129">
        <f t="shared" si="7"/>
        <v>0.07589466384</v>
      </c>
      <c r="AG22" s="112"/>
      <c r="AH22" s="70" t="s">
        <v>132</v>
      </c>
      <c r="AI22" s="113" t="s">
        <v>100</v>
      </c>
      <c r="AJ22" s="106"/>
    </row>
    <row r="23" ht="14.25" hidden="1" customHeight="1">
      <c r="A23" s="116" t="s">
        <v>108</v>
      </c>
      <c r="B23" s="117" t="s">
        <v>109</v>
      </c>
      <c r="C23" s="117" t="s">
        <v>201</v>
      </c>
      <c r="D23" s="117" t="s">
        <v>202</v>
      </c>
      <c r="E23" s="117" t="s">
        <v>203</v>
      </c>
      <c r="F23" s="117" t="s">
        <v>204</v>
      </c>
      <c r="G23" s="117" t="s">
        <v>205</v>
      </c>
      <c r="H23" s="117" t="s">
        <v>206</v>
      </c>
      <c r="I23" s="117">
        <v>1.0</v>
      </c>
      <c r="J23" s="117">
        <v>1.0</v>
      </c>
      <c r="K23" s="117" t="str">
        <f t="shared" si="1"/>
        <v>No</v>
      </c>
      <c r="L23" s="118" t="s">
        <v>116</v>
      </c>
      <c r="M23" s="119">
        <v>0.25</v>
      </c>
      <c r="N23" s="120">
        <v>0.0</v>
      </c>
      <c r="O23" s="121">
        <v>70.0</v>
      </c>
      <c r="P23" s="117">
        <v>10.0</v>
      </c>
      <c r="Q23" s="117">
        <f t="shared" si="2"/>
        <v>0</v>
      </c>
      <c r="R23" s="122">
        <f>+(IF(((M23*24)-P23)&lt;0,0,((M23*24)-P23)*'Estimación de pérdidas'!$F$72))*N23</f>
        <v>0</v>
      </c>
      <c r="S23" s="123" t="s">
        <v>117</v>
      </c>
      <c r="T23" s="124" t="s">
        <v>106</v>
      </c>
      <c r="U23" s="124">
        <f t="shared" si="3"/>
        <v>1</v>
      </c>
      <c r="V23" s="124">
        <v>1.0</v>
      </c>
      <c r="W23" s="124"/>
      <c r="X23" s="125"/>
      <c r="Y23" s="126"/>
      <c r="Z23" s="125">
        <f t="shared" si="4"/>
        <v>1</v>
      </c>
      <c r="AA23" s="127" t="str">
        <f t="shared" si="5"/>
        <v>Bajo</v>
      </c>
      <c r="AB23" s="128">
        <f t="shared" si="6"/>
        <v>7</v>
      </c>
      <c r="AC23" s="129">
        <f t="shared" si="7"/>
        <v>0.1011928851</v>
      </c>
      <c r="AG23" s="112"/>
      <c r="AH23" s="70" t="s">
        <v>99</v>
      </c>
      <c r="AI23" s="113" t="s">
        <v>161</v>
      </c>
      <c r="AJ23" s="106"/>
    </row>
    <row r="24" ht="14.25" hidden="1" customHeight="1">
      <c r="A24" s="116" t="s">
        <v>108</v>
      </c>
      <c r="B24" s="117" t="s">
        <v>109</v>
      </c>
      <c r="C24" s="117" t="s">
        <v>207</v>
      </c>
      <c r="D24" s="117" t="s">
        <v>208</v>
      </c>
      <c r="E24" s="117" t="s">
        <v>209</v>
      </c>
      <c r="F24" s="117" t="s">
        <v>210</v>
      </c>
      <c r="G24" s="117" t="s">
        <v>211</v>
      </c>
      <c r="H24" s="117" t="s">
        <v>212</v>
      </c>
      <c r="I24" s="117">
        <v>1.0</v>
      </c>
      <c r="J24" s="117">
        <v>1.0</v>
      </c>
      <c r="K24" s="117" t="str">
        <f t="shared" si="1"/>
        <v>No</v>
      </c>
      <c r="L24" s="118" t="s">
        <v>116</v>
      </c>
      <c r="M24" s="119">
        <v>1.0</v>
      </c>
      <c r="N24" s="120">
        <v>0.0</v>
      </c>
      <c r="O24" s="121">
        <v>70.0</v>
      </c>
      <c r="P24" s="117">
        <v>10.0</v>
      </c>
      <c r="Q24" s="117">
        <f t="shared" si="2"/>
        <v>0</v>
      </c>
      <c r="R24" s="122">
        <f>+(IF(((M24*24)-P24)&lt;0,0,((M24*24)-P24)*'Estimación de pérdidas'!$F$72))*N24</f>
        <v>0</v>
      </c>
      <c r="S24" s="123" t="s">
        <v>117</v>
      </c>
      <c r="T24" s="124" t="s">
        <v>118</v>
      </c>
      <c r="U24" s="124">
        <f t="shared" si="3"/>
        <v>1</v>
      </c>
      <c r="V24" s="124">
        <v>1.0</v>
      </c>
      <c r="W24" s="124"/>
      <c r="X24" s="125"/>
      <c r="Y24" s="126"/>
      <c r="Z24" s="125">
        <f t="shared" si="4"/>
        <v>1</v>
      </c>
      <c r="AA24" s="127" t="str">
        <f t="shared" si="5"/>
        <v>Bajo</v>
      </c>
      <c r="AB24" s="128">
        <f t="shared" si="6"/>
        <v>2</v>
      </c>
      <c r="AC24" s="129">
        <f t="shared" si="7"/>
        <v>0.05059644256</v>
      </c>
      <c r="AG24" s="112"/>
      <c r="AH24" s="70" t="s">
        <v>106</v>
      </c>
      <c r="AI24" s="113" t="s">
        <v>161</v>
      </c>
      <c r="AJ24" s="106"/>
    </row>
    <row r="25" ht="14.25" hidden="1" customHeight="1">
      <c r="A25" s="116" t="s">
        <v>108</v>
      </c>
      <c r="B25" s="117" t="s">
        <v>148</v>
      </c>
      <c r="C25" s="117" t="s">
        <v>213</v>
      </c>
      <c r="D25" s="117" t="s">
        <v>214</v>
      </c>
      <c r="E25" s="117" t="s">
        <v>213</v>
      </c>
      <c r="F25" s="117" t="s">
        <v>215</v>
      </c>
      <c r="G25" s="117" t="s">
        <v>179</v>
      </c>
      <c r="H25" s="117" t="s">
        <v>216</v>
      </c>
      <c r="I25" s="117">
        <v>1.0</v>
      </c>
      <c r="J25" s="117">
        <v>1.0</v>
      </c>
      <c r="K25" s="117" t="str">
        <f t="shared" si="1"/>
        <v>No</v>
      </c>
      <c r="L25" s="118" t="s">
        <v>116</v>
      </c>
      <c r="M25" s="119">
        <v>0.4166666666666667</v>
      </c>
      <c r="N25" s="120">
        <v>1.0</v>
      </c>
      <c r="O25" s="121">
        <v>70.0</v>
      </c>
      <c r="P25" s="117">
        <v>10.0</v>
      </c>
      <c r="Q25" s="117">
        <f t="shared" si="2"/>
        <v>0</v>
      </c>
      <c r="R25" s="122">
        <f>+(IF(((M25*24)-P25)&lt;0,0,((M25*24)-P25)*'Estimación de pérdidas'!$F$72))*N25</f>
        <v>0</v>
      </c>
      <c r="S25" s="123" t="s">
        <v>117</v>
      </c>
      <c r="T25" s="124" t="s">
        <v>119</v>
      </c>
      <c r="U25" s="124">
        <f t="shared" si="3"/>
        <v>1</v>
      </c>
      <c r="V25" s="124">
        <v>1.0</v>
      </c>
      <c r="W25" s="124"/>
      <c r="X25" s="125"/>
      <c r="Y25" s="126"/>
      <c r="Z25" s="125">
        <f t="shared" si="4"/>
        <v>1</v>
      </c>
      <c r="AA25" s="127" t="str">
        <f t="shared" si="5"/>
        <v>Bajo</v>
      </c>
      <c r="AB25" s="128">
        <f t="shared" si="6"/>
        <v>4</v>
      </c>
      <c r="AC25" s="129">
        <f t="shared" si="7"/>
        <v>0.07589466384</v>
      </c>
      <c r="AG25" s="112"/>
      <c r="AH25" s="70" t="s">
        <v>119</v>
      </c>
      <c r="AI25" s="113" t="s">
        <v>161</v>
      </c>
      <c r="AJ25" s="106"/>
    </row>
    <row r="26" ht="14.25" hidden="1" customHeight="1">
      <c r="A26" s="116" t="s">
        <v>108</v>
      </c>
      <c r="B26" s="117" t="s">
        <v>148</v>
      </c>
      <c r="C26" s="117" t="s">
        <v>217</v>
      </c>
      <c r="D26" s="117" t="s">
        <v>218</v>
      </c>
      <c r="E26" s="117" t="s">
        <v>219</v>
      </c>
      <c r="F26" s="117" t="s">
        <v>220</v>
      </c>
      <c r="G26" s="117" t="s">
        <v>171</v>
      </c>
      <c r="H26" s="117" t="s">
        <v>172</v>
      </c>
      <c r="I26" s="117">
        <v>1.0</v>
      </c>
      <c r="J26" s="117">
        <v>1.0</v>
      </c>
      <c r="K26" s="117" t="str">
        <f t="shared" si="1"/>
        <v>No</v>
      </c>
      <c r="L26" s="118" t="s">
        <v>116</v>
      </c>
      <c r="M26" s="119">
        <v>0.25</v>
      </c>
      <c r="N26" s="120">
        <v>0.0</v>
      </c>
      <c r="O26" s="121"/>
      <c r="P26" s="117">
        <v>0.0</v>
      </c>
      <c r="Q26" s="117">
        <f t="shared" si="2"/>
        <v>0</v>
      </c>
      <c r="R26" s="122">
        <f>+(IF(((M26*24)-P26)&lt;0,0,((M26*24)-P26)*'Estimación de pérdidas'!$F$72))*N26</f>
        <v>0</v>
      </c>
      <c r="S26" s="123" t="s">
        <v>117</v>
      </c>
      <c r="T26" s="124" t="s">
        <v>119</v>
      </c>
      <c r="U26" s="124">
        <f t="shared" si="3"/>
        <v>1</v>
      </c>
      <c r="V26" s="124">
        <v>1.0</v>
      </c>
      <c r="W26" s="124"/>
      <c r="X26" s="125"/>
      <c r="Y26" s="126"/>
      <c r="Z26" s="125">
        <f t="shared" si="4"/>
        <v>1</v>
      </c>
      <c r="AA26" s="127" t="str">
        <f t="shared" si="5"/>
        <v>Bajo</v>
      </c>
      <c r="AB26" s="128">
        <f t="shared" si="6"/>
        <v>4</v>
      </c>
      <c r="AC26" s="129">
        <f t="shared" si="7"/>
        <v>0.07589466384</v>
      </c>
      <c r="AG26" s="112"/>
      <c r="AH26" s="70" t="s">
        <v>118</v>
      </c>
      <c r="AI26" s="113" t="s">
        <v>161</v>
      </c>
      <c r="AJ26" s="106"/>
    </row>
    <row r="27" ht="14.25" hidden="1" customHeight="1">
      <c r="A27" s="116" t="s">
        <v>221</v>
      </c>
      <c r="B27" s="117" t="s">
        <v>222</v>
      </c>
      <c r="C27" s="117" t="s">
        <v>223</v>
      </c>
      <c r="D27" s="117" t="s">
        <v>224</v>
      </c>
      <c r="E27" s="117" t="s">
        <v>223</v>
      </c>
      <c r="F27" s="117" t="s">
        <v>225</v>
      </c>
      <c r="G27" s="117" t="s">
        <v>179</v>
      </c>
      <c r="H27" s="117" t="s">
        <v>226</v>
      </c>
      <c r="I27" s="117">
        <v>1.0</v>
      </c>
      <c r="J27" s="117">
        <v>1.0</v>
      </c>
      <c r="K27" s="117" t="str">
        <f t="shared" si="1"/>
        <v>No</v>
      </c>
      <c r="L27" s="118" t="s">
        <v>116</v>
      </c>
      <c r="M27" s="119">
        <v>0.4166666666666667</v>
      </c>
      <c r="N27" s="120">
        <v>0.2</v>
      </c>
      <c r="O27" s="121">
        <v>91.32</v>
      </c>
      <c r="P27" s="117">
        <v>1.0</v>
      </c>
      <c r="Q27" s="117">
        <f t="shared" si="2"/>
        <v>1.8</v>
      </c>
      <c r="R27" s="122">
        <f>+(IF(((M27*24)-P27)&lt;0,0,((M27*24)-P27)*'Estimación de pérdidas'!$F$72))*N27</f>
        <v>103820.5348</v>
      </c>
      <c r="S27" s="123" t="s">
        <v>117</v>
      </c>
      <c r="T27" s="124" t="s">
        <v>119</v>
      </c>
      <c r="U27" s="124">
        <f t="shared" si="3"/>
        <v>2</v>
      </c>
      <c r="V27" s="124">
        <v>1.0</v>
      </c>
      <c r="W27" s="124"/>
      <c r="X27" s="125"/>
      <c r="Y27" s="126"/>
      <c r="Z27" s="125">
        <f t="shared" si="4"/>
        <v>2</v>
      </c>
      <c r="AA27" s="127" t="str">
        <f t="shared" si="5"/>
        <v>Moderado</v>
      </c>
      <c r="AB27" s="128">
        <f t="shared" si="6"/>
        <v>8</v>
      </c>
      <c r="AC27" s="129">
        <f t="shared" si="7"/>
        <v>0.12</v>
      </c>
      <c r="AD27" s="131"/>
      <c r="AG27" s="112"/>
      <c r="AH27" s="70" t="s">
        <v>132</v>
      </c>
      <c r="AI27" s="113" t="s">
        <v>100</v>
      </c>
      <c r="AJ27" s="106"/>
    </row>
    <row r="28" ht="14.25" hidden="1" customHeight="1">
      <c r="A28" s="116" t="s">
        <v>221</v>
      </c>
      <c r="B28" s="117" t="s">
        <v>222</v>
      </c>
      <c r="C28" s="117" t="s">
        <v>223</v>
      </c>
      <c r="D28" s="117" t="s">
        <v>227</v>
      </c>
      <c r="E28" s="117" t="s">
        <v>223</v>
      </c>
      <c r="F28" s="117" t="s">
        <v>228</v>
      </c>
      <c r="G28" s="117" t="s">
        <v>179</v>
      </c>
      <c r="H28" s="117" t="s">
        <v>229</v>
      </c>
      <c r="I28" s="117">
        <v>1.0</v>
      </c>
      <c r="J28" s="117">
        <v>1.0</v>
      </c>
      <c r="K28" s="117" t="str">
        <f t="shared" si="1"/>
        <v>No</v>
      </c>
      <c r="L28" s="118" t="s">
        <v>116</v>
      </c>
      <c r="M28" s="119">
        <v>0.4166666666666667</v>
      </c>
      <c r="N28" s="120">
        <v>0.2</v>
      </c>
      <c r="O28" s="121">
        <v>91.32</v>
      </c>
      <c r="P28" s="117">
        <v>1.0</v>
      </c>
      <c r="Q28" s="117">
        <f t="shared" si="2"/>
        <v>1.8</v>
      </c>
      <c r="R28" s="122">
        <f>+(IF(((M28*24)-P28)&lt;0,0,((M28*24)-P28)*'Estimación de pérdidas'!$F$72))*N28</f>
        <v>103820.5348</v>
      </c>
      <c r="S28" s="123" t="s">
        <v>117</v>
      </c>
      <c r="T28" s="124" t="s">
        <v>119</v>
      </c>
      <c r="U28" s="124">
        <f t="shared" si="3"/>
        <v>2</v>
      </c>
      <c r="V28" s="124">
        <v>1.0</v>
      </c>
      <c r="W28" s="124"/>
      <c r="X28" s="125"/>
      <c r="Y28" s="126"/>
      <c r="Z28" s="125">
        <f t="shared" si="4"/>
        <v>2</v>
      </c>
      <c r="AA28" s="127" t="str">
        <f t="shared" si="5"/>
        <v>Moderado</v>
      </c>
      <c r="AB28" s="128">
        <f t="shared" si="6"/>
        <v>8</v>
      </c>
      <c r="AC28" s="129">
        <f t="shared" si="7"/>
        <v>0.12</v>
      </c>
      <c r="AD28" s="131"/>
    </row>
    <row r="29" ht="14.25" hidden="1" customHeight="1">
      <c r="A29" s="116" t="s">
        <v>221</v>
      </c>
      <c r="B29" s="117" t="s">
        <v>222</v>
      </c>
      <c r="C29" s="117" t="s">
        <v>230</v>
      </c>
      <c r="D29" s="117" t="s">
        <v>231</v>
      </c>
      <c r="E29" s="117" t="s">
        <v>230</v>
      </c>
      <c r="F29" s="117" t="s">
        <v>232</v>
      </c>
      <c r="G29" s="117" t="s">
        <v>233</v>
      </c>
      <c r="H29" s="117" t="s">
        <v>234</v>
      </c>
      <c r="I29" s="117">
        <v>1.0</v>
      </c>
      <c r="J29" s="117">
        <v>1.0</v>
      </c>
      <c r="K29" s="117" t="str">
        <f t="shared" si="1"/>
        <v>No</v>
      </c>
      <c r="L29" s="118" t="s">
        <v>116</v>
      </c>
      <c r="M29" s="119">
        <v>0.25</v>
      </c>
      <c r="N29" s="120">
        <v>0.5</v>
      </c>
      <c r="O29" s="121">
        <v>91.32</v>
      </c>
      <c r="P29" s="117">
        <v>1.0</v>
      </c>
      <c r="Q29" s="117">
        <f t="shared" si="2"/>
        <v>2.5</v>
      </c>
      <c r="R29" s="122">
        <f>+(IF(((M29*24)-P29)&lt;0,0,((M29*24)-P29)*'Estimación de pérdidas'!$F$72))*N29</f>
        <v>144195.1873</v>
      </c>
      <c r="S29" s="123" t="s">
        <v>117</v>
      </c>
      <c r="T29" s="124" t="s">
        <v>119</v>
      </c>
      <c r="U29" s="124">
        <f t="shared" si="3"/>
        <v>2</v>
      </c>
      <c r="V29" s="124">
        <v>1.0</v>
      </c>
      <c r="W29" s="124"/>
      <c r="X29" s="125"/>
      <c r="Y29" s="126"/>
      <c r="Z29" s="125">
        <f t="shared" si="4"/>
        <v>2</v>
      </c>
      <c r="AA29" s="127" t="str">
        <f t="shared" si="5"/>
        <v>Moderado</v>
      </c>
      <c r="AB29" s="128">
        <f t="shared" si="6"/>
        <v>8</v>
      </c>
      <c r="AC29" s="129">
        <f t="shared" si="7"/>
        <v>0.12</v>
      </c>
      <c r="AD29" s="131"/>
    </row>
    <row r="30" ht="14.25" hidden="1" customHeight="1">
      <c r="A30" s="116" t="s">
        <v>221</v>
      </c>
      <c r="B30" s="117" t="s">
        <v>222</v>
      </c>
      <c r="C30" s="117" t="s">
        <v>230</v>
      </c>
      <c r="D30" s="117" t="s">
        <v>235</v>
      </c>
      <c r="E30" s="117" t="s">
        <v>230</v>
      </c>
      <c r="F30" s="117" t="s">
        <v>236</v>
      </c>
      <c r="G30" s="117" t="s">
        <v>233</v>
      </c>
      <c r="H30" s="117" t="s">
        <v>234</v>
      </c>
      <c r="I30" s="117">
        <v>1.0</v>
      </c>
      <c r="J30" s="117">
        <v>1.0</v>
      </c>
      <c r="K30" s="117" t="str">
        <f t="shared" si="1"/>
        <v>No</v>
      </c>
      <c r="L30" s="118" t="s">
        <v>116</v>
      </c>
      <c r="M30" s="119">
        <v>0.25</v>
      </c>
      <c r="N30" s="120">
        <v>0.5</v>
      </c>
      <c r="O30" s="121">
        <v>91.32</v>
      </c>
      <c r="P30" s="117">
        <v>1.0</v>
      </c>
      <c r="Q30" s="117">
        <f t="shared" si="2"/>
        <v>2.5</v>
      </c>
      <c r="R30" s="122">
        <f>+(IF(((M30*24)-P30)&lt;0,0,((M30*24)-P30)*'Estimación de pérdidas'!$F$72))*N30</f>
        <v>144195.1873</v>
      </c>
      <c r="S30" s="123" t="s">
        <v>117</v>
      </c>
      <c r="T30" s="124" t="s">
        <v>119</v>
      </c>
      <c r="U30" s="124">
        <f t="shared" si="3"/>
        <v>2</v>
      </c>
      <c r="V30" s="124">
        <v>1.0</v>
      </c>
      <c r="W30" s="124"/>
      <c r="X30" s="125"/>
      <c r="Y30" s="126"/>
      <c r="Z30" s="125">
        <f t="shared" si="4"/>
        <v>2</v>
      </c>
      <c r="AA30" s="127" t="str">
        <f t="shared" si="5"/>
        <v>Moderado</v>
      </c>
      <c r="AB30" s="128">
        <f t="shared" si="6"/>
        <v>8</v>
      </c>
      <c r="AC30" s="129">
        <f t="shared" si="7"/>
        <v>0.12</v>
      </c>
      <c r="AD30" s="131"/>
    </row>
    <row r="31" ht="14.25" hidden="1" customHeight="1">
      <c r="A31" s="116" t="s">
        <v>221</v>
      </c>
      <c r="B31" s="117" t="s">
        <v>222</v>
      </c>
      <c r="C31" s="117" t="s">
        <v>237</v>
      </c>
      <c r="D31" s="117" t="s">
        <v>238</v>
      </c>
      <c r="E31" s="117" t="s">
        <v>237</v>
      </c>
      <c r="F31" s="117" t="s">
        <v>239</v>
      </c>
      <c r="G31" s="117" t="s">
        <v>179</v>
      </c>
      <c r="H31" s="117" t="s">
        <v>240</v>
      </c>
      <c r="I31" s="117">
        <v>1.0</v>
      </c>
      <c r="J31" s="117">
        <v>1.0</v>
      </c>
      <c r="K31" s="117" t="str">
        <f t="shared" si="1"/>
        <v>No</v>
      </c>
      <c r="L31" s="118" t="s">
        <v>116</v>
      </c>
      <c r="M31" s="119">
        <v>0.4166666666666667</v>
      </c>
      <c r="N31" s="120">
        <v>0.2</v>
      </c>
      <c r="O31" s="121">
        <v>91.32</v>
      </c>
      <c r="P31" s="117">
        <v>1.0</v>
      </c>
      <c r="Q31" s="117">
        <f t="shared" si="2"/>
        <v>1.8</v>
      </c>
      <c r="R31" s="122">
        <f>+(IF(((M31*24)-P31)&lt;0,0,((M31*24)-P31)*'Estimación de pérdidas'!$F$72))*N31</f>
        <v>103820.5348</v>
      </c>
      <c r="S31" s="123" t="s">
        <v>117</v>
      </c>
      <c r="T31" s="124" t="s">
        <v>119</v>
      </c>
      <c r="U31" s="124">
        <f t="shared" si="3"/>
        <v>2</v>
      </c>
      <c r="V31" s="124">
        <v>1.0</v>
      </c>
      <c r="W31" s="124"/>
      <c r="X31" s="125"/>
      <c r="Y31" s="126"/>
      <c r="Z31" s="125">
        <f t="shared" si="4"/>
        <v>2</v>
      </c>
      <c r="AA31" s="127" t="str">
        <f t="shared" si="5"/>
        <v>Moderado</v>
      </c>
      <c r="AB31" s="128">
        <f t="shared" si="6"/>
        <v>8</v>
      </c>
      <c r="AC31" s="129">
        <f t="shared" si="7"/>
        <v>0.12</v>
      </c>
      <c r="AD31" s="131"/>
    </row>
    <row r="32" ht="14.25" hidden="1" customHeight="1">
      <c r="A32" s="116" t="s">
        <v>221</v>
      </c>
      <c r="B32" s="117" t="s">
        <v>222</v>
      </c>
      <c r="C32" s="117" t="s">
        <v>237</v>
      </c>
      <c r="D32" s="117" t="s">
        <v>241</v>
      </c>
      <c r="E32" s="117" t="s">
        <v>237</v>
      </c>
      <c r="F32" s="117" t="s">
        <v>242</v>
      </c>
      <c r="G32" s="117" t="s">
        <v>179</v>
      </c>
      <c r="H32" s="117" t="s">
        <v>243</v>
      </c>
      <c r="I32" s="117">
        <v>1.0</v>
      </c>
      <c r="J32" s="117">
        <v>1.0</v>
      </c>
      <c r="K32" s="117" t="str">
        <f t="shared" si="1"/>
        <v>No</v>
      </c>
      <c r="L32" s="118" t="s">
        <v>116</v>
      </c>
      <c r="M32" s="119">
        <v>0.4166666666666667</v>
      </c>
      <c r="N32" s="120">
        <v>0.2</v>
      </c>
      <c r="O32" s="121">
        <v>91.32</v>
      </c>
      <c r="P32" s="117">
        <v>1.0</v>
      </c>
      <c r="Q32" s="117">
        <f t="shared" si="2"/>
        <v>1.8</v>
      </c>
      <c r="R32" s="122">
        <f>+(IF(((M32*24)-P32)&lt;0,0,((M32*24)-P32)*'Estimación de pérdidas'!$F$72))*N32</f>
        <v>103820.5348</v>
      </c>
      <c r="S32" s="123" t="s">
        <v>117</v>
      </c>
      <c r="T32" s="124" t="s">
        <v>119</v>
      </c>
      <c r="U32" s="124">
        <f t="shared" si="3"/>
        <v>2</v>
      </c>
      <c r="V32" s="124">
        <v>1.0</v>
      </c>
      <c r="W32" s="124"/>
      <c r="X32" s="125"/>
      <c r="Y32" s="126"/>
      <c r="Z32" s="125">
        <f t="shared" si="4"/>
        <v>2</v>
      </c>
      <c r="AA32" s="127" t="str">
        <f t="shared" si="5"/>
        <v>Moderado</v>
      </c>
      <c r="AB32" s="128">
        <f t="shared" si="6"/>
        <v>8</v>
      </c>
      <c r="AC32" s="129">
        <f t="shared" si="7"/>
        <v>0.12</v>
      </c>
      <c r="AD32" s="131"/>
    </row>
    <row r="33" ht="14.25" hidden="1" customHeight="1">
      <c r="A33" s="116" t="s">
        <v>221</v>
      </c>
      <c r="B33" s="117" t="s">
        <v>222</v>
      </c>
      <c r="C33" s="117" t="s">
        <v>181</v>
      </c>
      <c r="D33" s="117" t="s">
        <v>244</v>
      </c>
      <c r="E33" s="117" t="s">
        <v>181</v>
      </c>
      <c r="F33" s="117" t="s">
        <v>245</v>
      </c>
      <c r="G33" s="117" t="s">
        <v>179</v>
      </c>
      <c r="H33" s="117" t="s">
        <v>246</v>
      </c>
      <c r="I33" s="117">
        <v>1.0</v>
      </c>
      <c r="J33" s="117">
        <v>1.0</v>
      </c>
      <c r="K33" s="117" t="str">
        <f t="shared" si="1"/>
        <v>No</v>
      </c>
      <c r="L33" s="118" t="s">
        <v>116</v>
      </c>
      <c r="M33" s="119">
        <v>0.4166666666666667</v>
      </c>
      <c r="N33" s="120">
        <v>1.0</v>
      </c>
      <c r="O33" s="121">
        <v>91.32</v>
      </c>
      <c r="P33" s="117">
        <v>1.0</v>
      </c>
      <c r="Q33" s="117">
        <f t="shared" si="2"/>
        <v>9</v>
      </c>
      <c r="R33" s="122">
        <f>+(IF(((M33*24)-P33)&lt;0,0,((M33*24)-P33)*'Estimación de pérdidas'!$F$72))*N33</f>
        <v>519102.6742</v>
      </c>
      <c r="S33" s="123" t="s">
        <v>117</v>
      </c>
      <c r="T33" s="124" t="s">
        <v>119</v>
      </c>
      <c r="U33" s="124">
        <f t="shared" si="3"/>
        <v>4</v>
      </c>
      <c r="V33" s="124">
        <v>1.0</v>
      </c>
      <c r="W33" s="124"/>
      <c r="X33" s="125"/>
      <c r="Y33" s="126"/>
      <c r="Z33" s="125">
        <f t="shared" si="4"/>
        <v>4</v>
      </c>
      <c r="AA33" s="127" t="str">
        <f t="shared" si="5"/>
        <v>Moderado</v>
      </c>
      <c r="AB33" s="128">
        <f t="shared" si="6"/>
        <v>18</v>
      </c>
      <c r="AC33" s="129">
        <f t="shared" si="7"/>
        <v>0.221269067</v>
      </c>
      <c r="AD33" s="130"/>
    </row>
    <row r="34" ht="14.25" hidden="1" customHeight="1">
      <c r="A34" s="116" t="s">
        <v>221</v>
      </c>
      <c r="B34" s="117" t="s">
        <v>222</v>
      </c>
      <c r="C34" s="117" t="s">
        <v>247</v>
      </c>
      <c r="D34" s="117" t="s">
        <v>248</v>
      </c>
      <c r="E34" s="117" t="s">
        <v>247</v>
      </c>
      <c r="F34" s="117" t="s">
        <v>249</v>
      </c>
      <c r="G34" s="117" t="s">
        <v>179</v>
      </c>
      <c r="H34" s="117" t="s">
        <v>250</v>
      </c>
      <c r="I34" s="117">
        <v>1.0</v>
      </c>
      <c r="J34" s="117">
        <v>1.0</v>
      </c>
      <c r="K34" s="117" t="str">
        <f t="shared" si="1"/>
        <v>No</v>
      </c>
      <c r="L34" s="118" t="s">
        <v>116</v>
      </c>
      <c r="M34" s="119">
        <v>0.4166666666666667</v>
      </c>
      <c r="N34" s="120">
        <v>0.2</v>
      </c>
      <c r="O34" s="121">
        <v>91.32</v>
      </c>
      <c r="P34" s="117">
        <v>1.0</v>
      </c>
      <c r="Q34" s="117">
        <f t="shared" si="2"/>
        <v>1.8</v>
      </c>
      <c r="R34" s="122">
        <f>+(IF(((M34*24)-P34)&lt;0,0,((M34*24)-P34)*'Estimación de pérdidas'!$F$72))*N34</f>
        <v>103820.5348</v>
      </c>
      <c r="S34" s="123" t="s">
        <v>117</v>
      </c>
      <c r="T34" s="124" t="s">
        <v>119</v>
      </c>
      <c r="U34" s="124">
        <f t="shared" si="3"/>
        <v>2</v>
      </c>
      <c r="V34" s="124">
        <v>1.0</v>
      </c>
      <c r="W34" s="124"/>
      <c r="X34" s="125"/>
      <c r="Y34" s="126"/>
      <c r="Z34" s="125">
        <f t="shared" si="4"/>
        <v>2</v>
      </c>
      <c r="AA34" s="127" t="str">
        <f t="shared" si="5"/>
        <v>Moderado</v>
      </c>
      <c r="AB34" s="128">
        <f t="shared" si="6"/>
        <v>8</v>
      </c>
      <c r="AC34" s="129">
        <f t="shared" si="7"/>
        <v>0.12</v>
      </c>
      <c r="AD34" s="131"/>
    </row>
    <row r="35" ht="14.25" hidden="1" customHeight="1">
      <c r="A35" s="116" t="s">
        <v>221</v>
      </c>
      <c r="B35" s="117" t="s">
        <v>222</v>
      </c>
      <c r="C35" s="117" t="s">
        <v>247</v>
      </c>
      <c r="D35" s="117" t="s">
        <v>251</v>
      </c>
      <c r="E35" s="117" t="s">
        <v>247</v>
      </c>
      <c r="F35" s="117" t="s">
        <v>252</v>
      </c>
      <c r="G35" s="117" t="s">
        <v>179</v>
      </c>
      <c r="H35" s="117" t="s">
        <v>253</v>
      </c>
      <c r="I35" s="117">
        <v>1.0</v>
      </c>
      <c r="J35" s="117">
        <v>1.0</v>
      </c>
      <c r="K35" s="117" t="str">
        <f t="shared" si="1"/>
        <v>No</v>
      </c>
      <c r="L35" s="118" t="s">
        <v>116</v>
      </c>
      <c r="M35" s="119">
        <v>0.4166666666666667</v>
      </c>
      <c r="N35" s="120">
        <v>0.2</v>
      </c>
      <c r="O35" s="121">
        <v>91.32</v>
      </c>
      <c r="P35" s="117">
        <v>1.0</v>
      </c>
      <c r="Q35" s="117">
        <f t="shared" si="2"/>
        <v>1.8</v>
      </c>
      <c r="R35" s="122">
        <f>+(IF(((M35*24)-P35)&lt;0,0,((M35*24)-P35)*'Estimación de pérdidas'!$F$72))*N35</f>
        <v>103820.5348</v>
      </c>
      <c r="S35" s="123" t="s">
        <v>117</v>
      </c>
      <c r="T35" s="124" t="s">
        <v>119</v>
      </c>
      <c r="U35" s="124">
        <f t="shared" si="3"/>
        <v>2</v>
      </c>
      <c r="V35" s="124">
        <v>1.0</v>
      </c>
      <c r="W35" s="124"/>
      <c r="X35" s="125"/>
      <c r="Y35" s="126"/>
      <c r="Z35" s="125">
        <f t="shared" si="4"/>
        <v>2</v>
      </c>
      <c r="AA35" s="127" t="str">
        <f t="shared" si="5"/>
        <v>Moderado</v>
      </c>
      <c r="AB35" s="128">
        <f t="shared" si="6"/>
        <v>8</v>
      </c>
      <c r="AC35" s="129">
        <f t="shared" si="7"/>
        <v>0.12</v>
      </c>
      <c r="AD35" s="131"/>
    </row>
    <row r="36" ht="14.25" hidden="1" customHeight="1">
      <c r="A36" s="116" t="s">
        <v>221</v>
      </c>
      <c r="B36" s="117" t="s">
        <v>222</v>
      </c>
      <c r="C36" s="117" t="s">
        <v>254</v>
      </c>
      <c r="D36" s="117" t="s">
        <v>255</v>
      </c>
      <c r="E36" s="117" t="s">
        <v>254</v>
      </c>
      <c r="F36" s="117" t="s">
        <v>256</v>
      </c>
      <c r="G36" s="117" t="s">
        <v>179</v>
      </c>
      <c r="H36" s="117" t="s">
        <v>250</v>
      </c>
      <c r="I36" s="117">
        <v>1.0</v>
      </c>
      <c r="J36" s="117">
        <v>1.0</v>
      </c>
      <c r="K36" s="117" t="str">
        <f t="shared" si="1"/>
        <v>No</v>
      </c>
      <c r="L36" s="118" t="s">
        <v>116</v>
      </c>
      <c r="M36" s="119">
        <v>0.4166666666666667</v>
      </c>
      <c r="N36" s="120">
        <v>0.2</v>
      </c>
      <c r="O36" s="121">
        <v>91.32</v>
      </c>
      <c r="P36" s="117">
        <v>1.0</v>
      </c>
      <c r="Q36" s="117">
        <f t="shared" si="2"/>
        <v>1.8</v>
      </c>
      <c r="R36" s="122">
        <f>+(IF(((M36*24)-P36)&lt;0,0,((M36*24)-P36)*'Estimación de pérdidas'!$F$72))*N36</f>
        <v>103820.5348</v>
      </c>
      <c r="S36" s="123" t="s">
        <v>117</v>
      </c>
      <c r="T36" s="124" t="s">
        <v>119</v>
      </c>
      <c r="U36" s="124">
        <f t="shared" si="3"/>
        <v>2</v>
      </c>
      <c r="V36" s="124">
        <v>1.0</v>
      </c>
      <c r="W36" s="124"/>
      <c r="X36" s="125"/>
      <c r="Y36" s="126"/>
      <c r="Z36" s="125">
        <f t="shared" si="4"/>
        <v>2</v>
      </c>
      <c r="AA36" s="127" t="str">
        <f t="shared" si="5"/>
        <v>Moderado</v>
      </c>
      <c r="AB36" s="128">
        <f t="shared" si="6"/>
        <v>8</v>
      </c>
      <c r="AC36" s="129">
        <f t="shared" si="7"/>
        <v>0.12</v>
      </c>
      <c r="AD36" s="131"/>
    </row>
    <row r="37" ht="14.25" hidden="1" customHeight="1">
      <c r="A37" s="116" t="s">
        <v>221</v>
      </c>
      <c r="B37" s="117" t="s">
        <v>222</v>
      </c>
      <c r="C37" s="117" t="s">
        <v>254</v>
      </c>
      <c r="D37" s="117" t="s">
        <v>257</v>
      </c>
      <c r="E37" s="117" t="s">
        <v>254</v>
      </c>
      <c r="F37" s="117" t="s">
        <v>258</v>
      </c>
      <c r="G37" s="117" t="s">
        <v>179</v>
      </c>
      <c r="H37" s="117" t="s">
        <v>253</v>
      </c>
      <c r="I37" s="117">
        <v>1.0</v>
      </c>
      <c r="J37" s="117">
        <v>1.0</v>
      </c>
      <c r="K37" s="117" t="str">
        <f t="shared" si="1"/>
        <v>No</v>
      </c>
      <c r="L37" s="118" t="s">
        <v>116</v>
      </c>
      <c r="M37" s="119">
        <v>0.4166666666666667</v>
      </c>
      <c r="N37" s="120">
        <v>0.2</v>
      </c>
      <c r="O37" s="121">
        <v>91.32</v>
      </c>
      <c r="P37" s="117">
        <v>1.0</v>
      </c>
      <c r="Q37" s="117">
        <f t="shared" si="2"/>
        <v>1.8</v>
      </c>
      <c r="R37" s="122">
        <f>+(IF(((M37*24)-P37)&lt;0,0,((M37*24)-P37)*'Estimación de pérdidas'!$F$72))*N37</f>
        <v>103820.5348</v>
      </c>
      <c r="S37" s="123" t="s">
        <v>117</v>
      </c>
      <c r="T37" s="124" t="s">
        <v>119</v>
      </c>
      <c r="U37" s="124">
        <f t="shared" si="3"/>
        <v>2</v>
      </c>
      <c r="V37" s="124">
        <v>1.0</v>
      </c>
      <c r="W37" s="124"/>
      <c r="X37" s="125"/>
      <c r="Y37" s="126"/>
      <c r="Z37" s="125">
        <f t="shared" si="4"/>
        <v>2</v>
      </c>
      <c r="AA37" s="127" t="str">
        <f t="shared" si="5"/>
        <v>Moderado</v>
      </c>
      <c r="AB37" s="128">
        <f t="shared" si="6"/>
        <v>8</v>
      </c>
      <c r="AC37" s="129">
        <f t="shared" si="7"/>
        <v>0.12</v>
      </c>
      <c r="AD37" s="131"/>
    </row>
    <row r="38" ht="14.25" hidden="1" customHeight="1">
      <c r="A38" s="116" t="s">
        <v>221</v>
      </c>
      <c r="B38" s="117" t="s">
        <v>222</v>
      </c>
      <c r="C38" s="117" t="s">
        <v>259</v>
      </c>
      <c r="D38" s="117" t="s">
        <v>260</v>
      </c>
      <c r="E38" s="117" t="s">
        <v>259</v>
      </c>
      <c r="F38" s="117" t="s">
        <v>261</v>
      </c>
      <c r="G38" s="117" t="s">
        <v>262</v>
      </c>
      <c r="H38" s="117" t="s">
        <v>263</v>
      </c>
      <c r="I38" s="117">
        <v>1.0</v>
      </c>
      <c r="J38" s="117">
        <v>1.0</v>
      </c>
      <c r="K38" s="117" t="str">
        <f t="shared" si="1"/>
        <v>No</v>
      </c>
      <c r="L38" s="118" t="s">
        <v>116</v>
      </c>
      <c r="M38" s="119">
        <v>3.0</v>
      </c>
      <c r="N38" s="120">
        <v>1.0</v>
      </c>
      <c r="O38" s="121">
        <v>91.32</v>
      </c>
      <c r="P38" s="117">
        <v>1.0</v>
      </c>
      <c r="Q38" s="117">
        <f t="shared" si="2"/>
        <v>71</v>
      </c>
      <c r="R38" s="122">
        <f>+(IF(((M38*24)-P38)&lt;0,0,((M38*24)-P38)*'Estimación de pérdidas'!$F$72))*N38</f>
        <v>4095143.319</v>
      </c>
      <c r="S38" s="123" t="s">
        <v>117</v>
      </c>
      <c r="T38" s="124" t="s">
        <v>119</v>
      </c>
      <c r="U38" s="124">
        <f t="shared" si="3"/>
        <v>5</v>
      </c>
      <c r="V38" s="124">
        <v>2.0</v>
      </c>
      <c r="W38" s="124"/>
      <c r="X38" s="125"/>
      <c r="Y38" s="126"/>
      <c r="Z38" s="125">
        <f t="shared" si="4"/>
        <v>5</v>
      </c>
      <c r="AA38" s="127" t="str">
        <f t="shared" si="5"/>
        <v>Alto</v>
      </c>
      <c r="AB38" s="128">
        <f t="shared" si="6"/>
        <v>21</v>
      </c>
      <c r="AC38" s="129">
        <f t="shared" si="7"/>
        <v>0.2889982699</v>
      </c>
      <c r="AD38" s="130"/>
    </row>
    <row r="39" ht="14.25" hidden="1" customHeight="1">
      <c r="A39" s="116" t="s">
        <v>221</v>
      </c>
      <c r="B39" s="117" t="s">
        <v>222</v>
      </c>
      <c r="C39" s="117" t="s">
        <v>153</v>
      </c>
      <c r="D39" s="117" t="s">
        <v>264</v>
      </c>
      <c r="E39" s="117" t="s">
        <v>155</v>
      </c>
      <c r="F39" s="117" t="s">
        <v>265</v>
      </c>
      <c r="G39" s="117" t="s">
        <v>157</v>
      </c>
      <c r="H39" s="117" t="s">
        <v>266</v>
      </c>
      <c r="I39" s="117">
        <v>1.0</v>
      </c>
      <c r="J39" s="117">
        <v>1.0</v>
      </c>
      <c r="K39" s="117" t="str">
        <f t="shared" si="1"/>
        <v>No</v>
      </c>
      <c r="L39" s="118" t="s">
        <v>116</v>
      </c>
      <c r="M39" s="119">
        <v>0.25</v>
      </c>
      <c r="N39" s="120">
        <v>0.0</v>
      </c>
      <c r="O39" s="121">
        <v>70.0</v>
      </c>
      <c r="P39" s="117">
        <v>10.0</v>
      </c>
      <c r="Q39" s="117">
        <f t="shared" si="2"/>
        <v>0</v>
      </c>
      <c r="R39" s="122">
        <f>+(IF(((M39*24)-P39)&lt;0,0,((M39*24)-P39)*'Estimación de pérdidas'!$F$72))*N39</f>
        <v>0</v>
      </c>
      <c r="S39" s="123" t="s">
        <v>117</v>
      </c>
      <c r="T39" s="124" t="s">
        <v>119</v>
      </c>
      <c r="U39" s="124">
        <f t="shared" si="3"/>
        <v>1</v>
      </c>
      <c r="V39" s="124">
        <v>1.0</v>
      </c>
      <c r="W39" s="124"/>
      <c r="X39" s="125"/>
      <c r="Y39" s="126"/>
      <c r="Z39" s="125">
        <f t="shared" si="4"/>
        <v>1</v>
      </c>
      <c r="AA39" s="127" t="str">
        <f t="shared" si="5"/>
        <v>Bajo</v>
      </c>
      <c r="AB39" s="128">
        <f t="shared" si="6"/>
        <v>4</v>
      </c>
      <c r="AC39" s="129">
        <f t="shared" si="7"/>
        <v>0.07589466384</v>
      </c>
    </row>
    <row r="40" ht="14.25" hidden="1" customHeight="1">
      <c r="A40" s="116" t="s">
        <v>221</v>
      </c>
      <c r="B40" s="117" t="s">
        <v>222</v>
      </c>
      <c r="C40" s="117" t="s">
        <v>267</v>
      </c>
      <c r="D40" s="117" t="s">
        <v>268</v>
      </c>
      <c r="E40" s="117" t="s">
        <v>267</v>
      </c>
      <c r="F40" s="117" t="s">
        <v>269</v>
      </c>
      <c r="G40" s="117" t="s">
        <v>270</v>
      </c>
      <c r="H40" s="117" t="s">
        <v>271</v>
      </c>
      <c r="I40" s="117">
        <v>1.0</v>
      </c>
      <c r="J40" s="117">
        <v>1.0</v>
      </c>
      <c r="K40" s="117" t="str">
        <f t="shared" si="1"/>
        <v>No</v>
      </c>
      <c r="L40" s="118" t="s">
        <v>116</v>
      </c>
      <c r="M40" s="119">
        <v>0.3333333333333333</v>
      </c>
      <c r="N40" s="120">
        <v>0.0</v>
      </c>
      <c r="O40" s="121">
        <v>91.32</v>
      </c>
      <c r="P40" s="117">
        <v>1.0</v>
      </c>
      <c r="Q40" s="117">
        <f t="shared" si="2"/>
        <v>0</v>
      </c>
      <c r="R40" s="122">
        <f>+(IF(((M40*24)-P40)&lt;0,0,((M40*24)-P40)*'Estimación de pérdidas'!$F$72))*N40</f>
        <v>0</v>
      </c>
      <c r="S40" s="123" t="s">
        <v>272</v>
      </c>
      <c r="T40" s="124" t="s">
        <v>119</v>
      </c>
      <c r="U40" s="124">
        <f t="shared" si="3"/>
        <v>1</v>
      </c>
      <c r="V40" s="124">
        <v>1.0</v>
      </c>
      <c r="W40" s="124">
        <v>2.0</v>
      </c>
      <c r="X40" s="125"/>
      <c r="Y40" s="126"/>
      <c r="Z40" s="125">
        <f t="shared" si="4"/>
        <v>2</v>
      </c>
      <c r="AA40" s="127" t="str">
        <f t="shared" si="5"/>
        <v>Moderado</v>
      </c>
      <c r="AB40" s="128">
        <f t="shared" si="6"/>
        <v>8</v>
      </c>
      <c r="AC40" s="129">
        <f t="shared" si="7"/>
        <v>0.1314534138</v>
      </c>
      <c r="AD40" s="131"/>
    </row>
    <row r="41" ht="14.25" hidden="1" customHeight="1">
      <c r="A41" s="116" t="s">
        <v>221</v>
      </c>
      <c r="B41" s="117" t="s">
        <v>222</v>
      </c>
      <c r="C41" s="117" t="s">
        <v>273</v>
      </c>
      <c r="D41" s="117" t="s">
        <v>274</v>
      </c>
      <c r="E41" s="117" t="s">
        <v>273</v>
      </c>
      <c r="F41" s="117" t="s">
        <v>275</v>
      </c>
      <c r="G41" s="117" t="s">
        <v>276</v>
      </c>
      <c r="H41" s="117" t="s">
        <v>234</v>
      </c>
      <c r="I41" s="117">
        <v>1.0</v>
      </c>
      <c r="J41" s="117">
        <v>1.0</v>
      </c>
      <c r="K41" s="117" t="str">
        <f t="shared" si="1"/>
        <v>No</v>
      </c>
      <c r="L41" s="118" t="s">
        <v>116</v>
      </c>
      <c r="M41" s="119">
        <v>1.5</v>
      </c>
      <c r="N41" s="120">
        <v>0.2</v>
      </c>
      <c r="O41" s="121">
        <v>91.32</v>
      </c>
      <c r="P41" s="117">
        <v>1.0</v>
      </c>
      <c r="Q41" s="117">
        <f t="shared" si="2"/>
        <v>7</v>
      </c>
      <c r="R41" s="122">
        <f>+(IF(((M41*24)-P41)&lt;0,0,((M41*24)-P41)*'Estimación de pérdidas'!$F$72))*N41</f>
        <v>403746.5244</v>
      </c>
      <c r="S41" s="123" t="s">
        <v>117</v>
      </c>
      <c r="T41" s="124" t="s">
        <v>119</v>
      </c>
      <c r="U41" s="124">
        <f t="shared" si="3"/>
        <v>3</v>
      </c>
      <c r="V41" s="124">
        <v>2.0</v>
      </c>
      <c r="W41" s="124"/>
      <c r="X41" s="125"/>
      <c r="Y41" s="126"/>
      <c r="Z41" s="125">
        <f t="shared" si="4"/>
        <v>3</v>
      </c>
      <c r="AA41" s="127" t="str">
        <f t="shared" si="5"/>
        <v>Moderado</v>
      </c>
      <c r="AB41" s="128">
        <f t="shared" si="6"/>
        <v>13</v>
      </c>
      <c r="AC41" s="129">
        <f t="shared" si="7"/>
        <v>0.193494186</v>
      </c>
      <c r="AD41" s="131"/>
    </row>
    <row r="42" ht="14.25" hidden="1" customHeight="1">
      <c r="A42" s="116" t="s">
        <v>221</v>
      </c>
      <c r="B42" s="117" t="s">
        <v>222</v>
      </c>
      <c r="C42" s="117" t="s">
        <v>273</v>
      </c>
      <c r="D42" s="117" t="s">
        <v>277</v>
      </c>
      <c r="E42" s="117" t="s">
        <v>273</v>
      </c>
      <c r="F42" s="117" t="s">
        <v>275</v>
      </c>
      <c r="G42" s="117" t="s">
        <v>276</v>
      </c>
      <c r="H42" s="117" t="s">
        <v>234</v>
      </c>
      <c r="I42" s="117">
        <v>1.0</v>
      </c>
      <c r="J42" s="117">
        <v>1.0</v>
      </c>
      <c r="K42" s="117" t="str">
        <f t="shared" si="1"/>
        <v>No</v>
      </c>
      <c r="L42" s="118" t="s">
        <v>116</v>
      </c>
      <c r="M42" s="119">
        <v>1.5</v>
      </c>
      <c r="N42" s="120">
        <v>0.2</v>
      </c>
      <c r="O42" s="121">
        <v>91.32</v>
      </c>
      <c r="P42" s="117">
        <v>1.0</v>
      </c>
      <c r="Q42" s="117">
        <f t="shared" si="2"/>
        <v>7</v>
      </c>
      <c r="R42" s="122">
        <f>+(IF(((M42*24)-P42)&lt;0,0,((M42*24)-P42)*'Estimación de pérdidas'!$F$72))*N42</f>
        <v>403746.5244</v>
      </c>
      <c r="S42" s="123" t="s">
        <v>117</v>
      </c>
      <c r="T42" s="124" t="s">
        <v>119</v>
      </c>
      <c r="U42" s="124">
        <f t="shared" si="3"/>
        <v>3</v>
      </c>
      <c r="V42" s="124">
        <v>2.0</v>
      </c>
      <c r="W42" s="124"/>
      <c r="X42" s="125"/>
      <c r="Y42" s="126"/>
      <c r="Z42" s="125">
        <f t="shared" si="4"/>
        <v>3</v>
      </c>
      <c r="AA42" s="127" t="str">
        <f t="shared" si="5"/>
        <v>Moderado</v>
      </c>
      <c r="AB42" s="128">
        <f t="shared" si="6"/>
        <v>13</v>
      </c>
      <c r="AC42" s="129">
        <f t="shared" si="7"/>
        <v>0.193494186</v>
      </c>
      <c r="AD42" s="131"/>
    </row>
    <row r="43" ht="14.25" hidden="1" customHeight="1">
      <c r="A43" s="116" t="s">
        <v>221</v>
      </c>
      <c r="B43" s="117" t="s">
        <v>222</v>
      </c>
      <c r="C43" s="117" t="s">
        <v>278</v>
      </c>
      <c r="D43" s="117" t="s">
        <v>279</v>
      </c>
      <c r="E43" s="117" t="s">
        <v>278</v>
      </c>
      <c r="F43" s="117" t="s">
        <v>280</v>
      </c>
      <c r="G43" s="117" t="s">
        <v>171</v>
      </c>
      <c r="H43" s="117" t="s">
        <v>172</v>
      </c>
      <c r="I43" s="117">
        <v>1.0</v>
      </c>
      <c r="J43" s="117">
        <v>1.0</v>
      </c>
      <c r="K43" s="117" t="str">
        <f t="shared" si="1"/>
        <v>No</v>
      </c>
      <c r="L43" s="118" t="s">
        <v>116</v>
      </c>
      <c r="M43" s="119">
        <v>0.3333333333333333</v>
      </c>
      <c r="N43" s="120">
        <v>0.0</v>
      </c>
      <c r="O43" s="121"/>
      <c r="P43" s="117">
        <v>0.0</v>
      </c>
      <c r="Q43" s="117">
        <f t="shared" si="2"/>
        <v>0</v>
      </c>
      <c r="R43" s="122">
        <f>+(IF(((M43*24)-P43)&lt;0,0,((M43*24)-P43)*'Estimación de pérdidas'!$F$72))*N43</f>
        <v>0</v>
      </c>
      <c r="S43" s="123" t="s">
        <v>117</v>
      </c>
      <c r="T43" s="124" t="s">
        <v>119</v>
      </c>
      <c r="U43" s="124">
        <f t="shared" si="3"/>
        <v>1</v>
      </c>
      <c r="V43" s="124">
        <v>1.0</v>
      </c>
      <c r="W43" s="124"/>
      <c r="X43" s="125"/>
      <c r="Y43" s="126"/>
      <c r="Z43" s="125">
        <f t="shared" si="4"/>
        <v>1</v>
      </c>
      <c r="AA43" s="127" t="str">
        <f t="shared" si="5"/>
        <v>Bajo</v>
      </c>
      <c r="AB43" s="128">
        <f t="shared" si="6"/>
        <v>4</v>
      </c>
      <c r="AC43" s="129">
        <f t="shared" si="7"/>
        <v>0.07589466384</v>
      </c>
    </row>
    <row r="44" ht="14.25" hidden="1" customHeight="1">
      <c r="A44" s="116" t="s">
        <v>221</v>
      </c>
      <c r="B44" s="117" t="s">
        <v>222</v>
      </c>
      <c r="C44" s="117" t="s">
        <v>278</v>
      </c>
      <c r="D44" s="117" t="s">
        <v>281</v>
      </c>
      <c r="E44" s="117" t="s">
        <v>278</v>
      </c>
      <c r="F44" s="117" t="s">
        <v>280</v>
      </c>
      <c r="G44" s="117" t="s">
        <v>171</v>
      </c>
      <c r="H44" s="117" t="s">
        <v>172</v>
      </c>
      <c r="I44" s="117">
        <v>1.0</v>
      </c>
      <c r="J44" s="117">
        <v>1.0</v>
      </c>
      <c r="K44" s="117" t="str">
        <f t="shared" si="1"/>
        <v>No</v>
      </c>
      <c r="L44" s="118" t="s">
        <v>116</v>
      </c>
      <c r="M44" s="119">
        <v>0.3333333333333333</v>
      </c>
      <c r="N44" s="120">
        <v>0.0</v>
      </c>
      <c r="O44" s="121"/>
      <c r="P44" s="117">
        <v>0.0</v>
      </c>
      <c r="Q44" s="117">
        <f t="shared" si="2"/>
        <v>0</v>
      </c>
      <c r="R44" s="122">
        <f>+(IF(((M44*24)-P44)&lt;0,0,((M44*24)-P44)*'Estimación de pérdidas'!$F$72))*N44</f>
        <v>0</v>
      </c>
      <c r="S44" s="123" t="s">
        <v>117</v>
      </c>
      <c r="T44" s="124" t="s">
        <v>119</v>
      </c>
      <c r="U44" s="124">
        <f t="shared" si="3"/>
        <v>1</v>
      </c>
      <c r="V44" s="124">
        <v>1.0</v>
      </c>
      <c r="W44" s="124"/>
      <c r="X44" s="125"/>
      <c r="Y44" s="126"/>
      <c r="Z44" s="125">
        <f t="shared" si="4"/>
        <v>1</v>
      </c>
      <c r="AA44" s="127" t="str">
        <f t="shared" si="5"/>
        <v>Bajo</v>
      </c>
      <c r="AB44" s="128">
        <f t="shared" si="6"/>
        <v>4</v>
      </c>
      <c r="AC44" s="129">
        <f t="shared" si="7"/>
        <v>0.07589466384</v>
      </c>
    </row>
    <row r="45" ht="14.25" hidden="1" customHeight="1">
      <c r="A45" s="116" t="s">
        <v>221</v>
      </c>
      <c r="B45" s="117" t="s">
        <v>222</v>
      </c>
      <c r="C45" s="117" t="s">
        <v>278</v>
      </c>
      <c r="D45" s="117" t="s">
        <v>282</v>
      </c>
      <c r="E45" s="117" t="s">
        <v>278</v>
      </c>
      <c r="F45" s="117" t="s">
        <v>280</v>
      </c>
      <c r="G45" s="117" t="s">
        <v>171</v>
      </c>
      <c r="H45" s="117" t="s">
        <v>172</v>
      </c>
      <c r="I45" s="117">
        <v>1.0</v>
      </c>
      <c r="J45" s="117">
        <v>1.0</v>
      </c>
      <c r="K45" s="117" t="str">
        <f t="shared" si="1"/>
        <v>No</v>
      </c>
      <c r="L45" s="118" t="s">
        <v>116</v>
      </c>
      <c r="M45" s="119">
        <v>0.3333333333333333</v>
      </c>
      <c r="N45" s="120">
        <v>0.0</v>
      </c>
      <c r="O45" s="121"/>
      <c r="P45" s="117">
        <v>0.0</v>
      </c>
      <c r="Q45" s="117">
        <f t="shared" si="2"/>
        <v>0</v>
      </c>
      <c r="R45" s="122">
        <f>+(IF(((M45*24)-P45)&lt;0,0,((M45*24)-P45)*'Estimación de pérdidas'!$F$72))*N45</f>
        <v>0</v>
      </c>
      <c r="S45" s="123" t="s">
        <v>117</v>
      </c>
      <c r="T45" s="124" t="s">
        <v>119</v>
      </c>
      <c r="U45" s="124">
        <f t="shared" si="3"/>
        <v>1</v>
      </c>
      <c r="V45" s="124">
        <v>1.0</v>
      </c>
      <c r="W45" s="124"/>
      <c r="X45" s="125"/>
      <c r="Y45" s="126"/>
      <c r="Z45" s="125">
        <f t="shared" si="4"/>
        <v>1</v>
      </c>
      <c r="AA45" s="127" t="str">
        <f t="shared" si="5"/>
        <v>Bajo</v>
      </c>
      <c r="AB45" s="128">
        <f t="shared" si="6"/>
        <v>4</v>
      </c>
      <c r="AC45" s="129">
        <f t="shared" si="7"/>
        <v>0.07589466384</v>
      </c>
    </row>
    <row r="46" ht="14.25" hidden="1" customHeight="1">
      <c r="A46" s="116" t="s">
        <v>221</v>
      </c>
      <c r="B46" s="117" t="s">
        <v>222</v>
      </c>
      <c r="C46" s="117" t="s">
        <v>283</v>
      </c>
      <c r="D46" s="117" t="s">
        <v>284</v>
      </c>
      <c r="E46" s="117" t="s">
        <v>283</v>
      </c>
      <c r="F46" s="117" t="s">
        <v>285</v>
      </c>
      <c r="G46" s="117" t="s">
        <v>205</v>
      </c>
      <c r="H46" s="117" t="s">
        <v>286</v>
      </c>
      <c r="I46" s="117">
        <v>2.0</v>
      </c>
      <c r="J46" s="117">
        <v>1.0</v>
      </c>
      <c r="K46" s="117" t="str">
        <f t="shared" si="1"/>
        <v>Si</v>
      </c>
      <c r="L46" s="118" t="s">
        <v>287</v>
      </c>
      <c r="M46" s="119">
        <v>0.25</v>
      </c>
      <c r="N46" s="120">
        <v>0.0</v>
      </c>
      <c r="O46" s="121">
        <v>91.32</v>
      </c>
      <c r="P46" s="117">
        <v>1.0</v>
      </c>
      <c r="Q46" s="117">
        <f t="shared" si="2"/>
        <v>0</v>
      </c>
      <c r="R46" s="122">
        <f>+(IF(((M46*24)-P46)&lt;0,0,((M46*24)-P46)*'Estimación de pérdidas'!$F$72))*N46</f>
        <v>0</v>
      </c>
      <c r="S46" s="123" t="s">
        <v>117</v>
      </c>
      <c r="T46" s="124" t="s">
        <v>119</v>
      </c>
      <c r="U46" s="124">
        <f t="shared" si="3"/>
        <v>1</v>
      </c>
      <c r="V46" s="124">
        <v>1.0</v>
      </c>
      <c r="W46" s="124"/>
      <c r="X46" s="125"/>
      <c r="Y46" s="126"/>
      <c r="Z46" s="125">
        <f t="shared" si="4"/>
        <v>1</v>
      </c>
      <c r="AA46" s="127" t="str">
        <f t="shared" si="5"/>
        <v>Bajo</v>
      </c>
      <c r="AB46" s="128">
        <f t="shared" si="6"/>
        <v>4</v>
      </c>
      <c r="AC46" s="129">
        <f t="shared" si="7"/>
        <v>0.07589466384</v>
      </c>
    </row>
    <row r="47" ht="14.25" hidden="1" customHeight="1">
      <c r="A47" s="116" t="s">
        <v>221</v>
      </c>
      <c r="B47" s="117" t="s">
        <v>222</v>
      </c>
      <c r="C47" s="117" t="s">
        <v>283</v>
      </c>
      <c r="D47" s="117" t="s">
        <v>288</v>
      </c>
      <c r="E47" s="117" t="s">
        <v>283</v>
      </c>
      <c r="F47" s="117" t="s">
        <v>285</v>
      </c>
      <c r="G47" s="117" t="s">
        <v>205</v>
      </c>
      <c r="H47" s="117" t="s">
        <v>286</v>
      </c>
      <c r="I47" s="117">
        <v>2.0</v>
      </c>
      <c r="J47" s="117">
        <v>1.0</v>
      </c>
      <c r="K47" s="117" t="str">
        <f t="shared" si="1"/>
        <v>Si</v>
      </c>
      <c r="L47" s="118" t="s">
        <v>287</v>
      </c>
      <c r="M47" s="119">
        <v>0.25</v>
      </c>
      <c r="N47" s="120">
        <v>0.0</v>
      </c>
      <c r="O47" s="121">
        <v>91.32</v>
      </c>
      <c r="P47" s="117">
        <v>1.0</v>
      </c>
      <c r="Q47" s="117">
        <f t="shared" si="2"/>
        <v>0</v>
      </c>
      <c r="R47" s="122">
        <f>+(IF(((M47*24)-P47)&lt;0,0,((M47*24)-P47)*'Estimación de pérdidas'!$F$72))*N47</f>
        <v>0</v>
      </c>
      <c r="S47" s="123" t="s">
        <v>117</v>
      </c>
      <c r="T47" s="124" t="s">
        <v>119</v>
      </c>
      <c r="U47" s="124">
        <f t="shared" si="3"/>
        <v>1</v>
      </c>
      <c r="V47" s="124">
        <v>1.0</v>
      </c>
      <c r="W47" s="124"/>
      <c r="X47" s="125"/>
      <c r="Y47" s="126"/>
      <c r="Z47" s="125">
        <f t="shared" si="4"/>
        <v>1</v>
      </c>
      <c r="AA47" s="127" t="str">
        <f t="shared" si="5"/>
        <v>Bajo</v>
      </c>
      <c r="AB47" s="128">
        <f t="shared" si="6"/>
        <v>4</v>
      </c>
      <c r="AC47" s="129">
        <f t="shared" si="7"/>
        <v>0.07589466384</v>
      </c>
    </row>
    <row r="48" ht="14.25" hidden="1" customHeight="1">
      <c r="A48" s="116" t="s">
        <v>221</v>
      </c>
      <c r="B48" s="117" t="s">
        <v>222</v>
      </c>
      <c r="C48" s="117" t="s">
        <v>289</v>
      </c>
      <c r="D48" s="117" t="s">
        <v>290</v>
      </c>
      <c r="E48" s="117" t="s">
        <v>291</v>
      </c>
      <c r="F48" s="117" t="s">
        <v>292</v>
      </c>
      <c r="G48" s="117" t="s">
        <v>293</v>
      </c>
      <c r="H48" s="117" t="s">
        <v>294</v>
      </c>
      <c r="I48" s="117">
        <v>2.0</v>
      </c>
      <c r="J48" s="117">
        <v>1.0</v>
      </c>
      <c r="K48" s="117" t="str">
        <f t="shared" si="1"/>
        <v>Si</v>
      </c>
      <c r="L48" s="118" t="s">
        <v>116</v>
      </c>
      <c r="M48" s="119">
        <v>0.25</v>
      </c>
      <c r="N48" s="120">
        <v>0.0</v>
      </c>
      <c r="O48" s="121"/>
      <c r="P48" s="117">
        <v>0.0</v>
      </c>
      <c r="Q48" s="117">
        <f t="shared" si="2"/>
        <v>0</v>
      </c>
      <c r="R48" s="122">
        <f>+(IF(((M48*24)-P48)&lt;0,0,((M48*24)-P48)*'Estimación de pérdidas'!$F$72))*N48</f>
        <v>0</v>
      </c>
      <c r="S48" s="123" t="s">
        <v>117</v>
      </c>
      <c r="T48" s="124" t="s">
        <v>132</v>
      </c>
      <c r="U48" s="124">
        <f t="shared" si="3"/>
        <v>1</v>
      </c>
      <c r="V48" s="124">
        <v>1.0</v>
      </c>
      <c r="W48" s="124"/>
      <c r="X48" s="125"/>
      <c r="Y48" s="126"/>
      <c r="Z48" s="125">
        <f t="shared" si="4"/>
        <v>1</v>
      </c>
      <c r="AA48" s="127" t="str">
        <f t="shared" si="5"/>
        <v>Bajo</v>
      </c>
      <c r="AB48" s="128">
        <f t="shared" si="6"/>
        <v>1</v>
      </c>
      <c r="AC48" s="129">
        <f t="shared" si="7"/>
        <v>0.02529822128</v>
      </c>
    </row>
    <row r="49" ht="14.25" hidden="1" customHeight="1">
      <c r="A49" s="116" t="s">
        <v>221</v>
      </c>
      <c r="B49" s="117" t="s">
        <v>222</v>
      </c>
      <c r="C49" s="117" t="s">
        <v>289</v>
      </c>
      <c r="D49" s="117" t="s">
        <v>295</v>
      </c>
      <c r="E49" s="117" t="s">
        <v>291</v>
      </c>
      <c r="F49" s="117" t="s">
        <v>292</v>
      </c>
      <c r="G49" s="117" t="s">
        <v>293</v>
      </c>
      <c r="H49" s="117" t="s">
        <v>294</v>
      </c>
      <c r="I49" s="117">
        <v>2.0</v>
      </c>
      <c r="J49" s="117">
        <v>1.0</v>
      </c>
      <c r="K49" s="117" t="str">
        <f t="shared" si="1"/>
        <v>Si</v>
      </c>
      <c r="L49" s="118" t="s">
        <v>116</v>
      </c>
      <c r="M49" s="119">
        <v>0.25</v>
      </c>
      <c r="N49" s="120">
        <v>0.0</v>
      </c>
      <c r="O49" s="121"/>
      <c r="P49" s="117">
        <v>0.0</v>
      </c>
      <c r="Q49" s="117">
        <f t="shared" si="2"/>
        <v>0</v>
      </c>
      <c r="R49" s="122">
        <f>+(IF(((M49*24)-P49)&lt;0,0,((M49*24)-P49)*'Estimación de pérdidas'!$F$72))*N49</f>
        <v>0</v>
      </c>
      <c r="S49" s="123" t="s">
        <v>117</v>
      </c>
      <c r="T49" s="124" t="s">
        <v>132</v>
      </c>
      <c r="U49" s="124">
        <f t="shared" si="3"/>
        <v>1</v>
      </c>
      <c r="V49" s="124">
        <v>1.0</v>
      </c>
      <c r="W49" s="124"/>
      <c r="X49" s="125"/>
      <c r="Y49" s="126"/>
      <c r="Z49" s="125">
        <f t="shared" si="4"/>
        <v>1</v>
      </c>
      <c r="AA49" s="127" t="str">
        <f t="shared" si="5"/>
        <v>Bajo</v>
      </c>
      <c r="AB49" s="128">
        <f t="shared" si="6"/>
        <v>1</v>
      </c>
      <c r="AC49" s="129">
        <f t="shared" si="7"/>
        <v>0.02529822128</v>
      </c>
    </row>
    <row r="50" ht="14.25" hidden="1" customHeight="1">
      <c r="A50" s="116" t="s">
        <v>221</v>
      </c>
      <c r="B50" s="117" t="s">
        <v>222</v>
      </c>
      <c r="C50" s="117" t="s">
        <v>296</v>
      </c>
      <c r="D50" s="117" t="s">
        <v>297</v>
      </c>
      <c r="E50" s="117" t="s">
        <v>296</v>
      </c>
      <c r="F50" s="117" t="s">
        <v>298</v>
      </c>
      <c r="G50" s="117" t="s">
        <v>205</v>
      </c>
      <c r="H50" s="117" t="s">
        <v>299</v>
      </c>
      <c r="I50" s="117">
        <v>1.0</v>
      </c>
      <c r="J50" s="117">
        <v>1.0</v>
      </c>
      <c r="K50" s="117" t="str">
        <f t="shared" si="1"/>
        <v>No</v>
      </c>
      <c r="L50" s="118" t="s">
        <v>116</v>
      </c>
      <c r="M50" s="119">
        <v>0.33</v>
      </c>
      <c r="N50" s="120">
        <v>0.0</v>
      </c>
      <c r="O50" s="121"/>
      <c r="P50" s="117">
        <v>0.0</v>
      </c>
      <c r="Q50" s="117">
        <f t="shared" si="2"/>
        <v>0</v>
      </c>
      <c r="R50" s="122">
        <f>+(IF(((M50*24)-P50)&lt;0,0,((M50*24)-P50)*'Estimación de pérdidas'!$F$72))*N50</f>
        <v>0</v>
      </c>
      <c r="S50" s="123" t="s">
        <v>117</v>
      </c>
      <c r="T50" s="124" t="s">
        <v>119</v>
      </c>
      <c r="U50" s="124">
        <f t="shared" si="3"/>
        <v>1</v>
      </c>
      <c r="V50" s="124">
        <v>1.0</v>
      </c>
      <c r="W50" s="124"/>
      <c r="X50" s="125"/>
      <c r="Y50" s="126"/>
      <c r="Z50" s="125">
        <f t="shared" si="4"/>
        <v>1</v>
      </c>
      <c r="AA50" s="127" t="str">
        <f t="shared" si="5"/>
        <v>Bajo</v>
      </c>
      <c r="AB50" s="128">
        <f t="shared" si="6"/>
        <v>4</v>
      </c>
      <c r="AC50" s="129">
        <f t="shared" si="7"/>
        <v>0.07589466384</v>
      </c>
    </row>
    <row r="51" ht="14.25" hidden="1" customHeight="1">
      <c r="A51" s="116" t="s">
        <v>300</v>
      </c>
      <c r="B51" s="117" t="s">
        <v>301</v>
      </c>
      <c r="C51" s="117" t="s">
        <v>302</v>
      </c>
      <c r="D51" s="117" t="s">
        <v>303</v>
      </c>
      <c r="E51" s="117" t="s">
        <v>302</v>
      </c>
      <c r="F51" s="117" t="s">
        <v>304</v>
      </c>
      <c r="G51" s="117" t="s">
        <v>165</v>
      </c>
      <c r="H51" s="117" t="s">
        <v>305</v>
      </c>
      <c r="I51" s="117">
        <v>1.0</v>
      </c>
      <c r="J51" s="117">
        <v>1.0</v>
      </c>
      <c r="K51" s="117" t="str">
        <f t="shared" si="1"/>
        <v>No</v>
      </c>
      <c r="L51" s="118" t="s">
        <v>116</v>
      </c>
      <c r="M51" s="119">
        <v>0.3333333333333333</v>
      </c>
      <c r="N51" s="120">
        <v>0.0</v>
      </c>
      <c r="O51" s="121"/>
      <c r="P51" s="117">
        <v>0.0</v>
      </c>
      <c r="Q51" s="117">
        <f t="shared" si="2"/>
        <v>0</v>
      </c>
      <c r="R51" s="122">
        <f>+(IF(((M51*24)-P51)&lt;0,0,((M51*24)-P51)*'Estimación de pérdidas'!$F$72))*N51</f>
        <v>0</v>
      </c>
      <c r="S51" s="123" t="s">
        <v>117</v>
      </c>
      <c r="T51" s="124" t="s">
        <v>118</v>
      </c>
      <c r="U51" s="124">
        <f t="shared" si="3"/>
        <v>1</v>
      </c>
      <c r="V51" s="124">
        <v>1.0</v>
      </c>
      <c r="W51" s="124"/>
      <c r="X51" s="125"/>
      <c r="Y51" s="126"/>
      <c r="Z51" s="125">
        <f t="shared" si="4"/>
        <v>1</v>
      </c>
      <c r="AA51" s="127" t="str">
        <f t="shared" si="5"/>
        <v>Bajo</v>
      </c>
      <c r="AB51" s="128">
        <f t="shared" si="6"/>
        <v>2</v>
      </c>
      <c r="AC51" s="129">
        <f t="shared" si="7"/>
        <v>0.05059644256</v>
      </c>
    </row>
    <row r="52" ht="14.25" hidden="1" customHeight="1">
      <c r="A52" s="116" t="s">
        <v>300</v>
      </c>
      <c r="B52" s="117" t="s">
        <v>301</v>
      </c>
      <c r="C52" s="117" t="s">
        <v>306</v>
      </c>
      <c r="D52" s="117" t="s">
        <v>307</v>
      </c>
      <c r="E52" s="117" t="s">
        <v>306</v>
      </c>
      <c r="F52" s="117" t="s">
        <v>308</v>
      </c>
      <c r="G52" s="117" t="s">
        <v>165</v>
      </c>
      <c r="H52" s="117" t="s">
        <v>309</v>
      </c>
      <c r="I52" s="117">
        <v>1.0</v>
      </c>
      <c r="J52" s="117">
        <v>1.0</v>
      </c>
      <c r="K52" s="117" t="str">
        <f t="shared" si="1"/>
        <v>No</v>
      </c>
      <c r="L52" s="118" t="s">
        <v>116</v>
      </c>
      <c r="M52" s="119">
        <v>0.3333333333333333</v>
      </c>
      <c r="N52" s="120">
        <v>0.0</v>
      </c>
      <c r="O52" s="121"/>
      <c r="P52" s="117">
        <v>0.0</v>
      </c>
      <c r="Q52" s="117">
        <f t="shared" si="2"/>
        <v>0</v>
      </c>
      <c r="R52" s="122">
        <f>+(IF(((M52*24)-P52)&lt;0,0,((M52*24)-P52)*'Estimación de pérdidas'!$F$72))*N52</f>
        <v>0</v>
      </c>
      <c r="S52" s="123" t="s">
        <v>117</v>
      </c>
      <c r="T52" s="124" t="s">
        <v>118</v>
      </c>
      <c r="U52" s="124">
        <f t="shared" si="3"/>
        <v>1</v>
      </c>
      <c r="V52" s="124">
        <v>1.0</v>
      </c>
      <c r="W52" s="124"/>
      <c r="X52" s="125"/>
      <c r="Y52" s="126"/>
      <c r="Z52" s="125">
        <f t="shared" si="4"/>
        <v>1</v>
      </c>
      <c r="AA52" s="127" t="str">
        <f t="shared" si="5"/>
        <v>Bajo</v>
      </c>
      <c r="AB52" s="128">
        <f t="shared" si="6"/>
        <v>2</v>
      </c>
      <c r="AC52" s="129">
        <f t="shared" si="7"/>
        <v>0.05059644256</v>
      </c>
    </row>
    <row r="53" ht="14.25" hidden="1" customHeight="1">
      <c r="A53" s="116" t="s">
        <v>300</v>
      </c>
      <c r="B53" s="117" t="s">
        <v>301</v>
      </c>
      <c r="C53" s="117" t="s">
        <v>310</v>
      </c>
      <c r="D53" s="117" t="s">
        <v>311</v>
      </c>
      <c r="E53" s="117" t="s">
        <v>310</v>
      </c>
      <c r="F53" s="117" t="s">
        <v>312</v>
      </c>
      <c r="G53" s="117" t="s">
        <v>313</v>
      </c>
      <c r="H53" s="117" t="s">
        <v>314</v>
      </c>
      <c r="I53" s="117">
        <v>1.0</v>
      </c>
      <c r="J53" s="117">
        <v>1.0</v>
      </c>
      <c r="K53" s="117" t="str">
        <f t="shared" si="1"/>
        <v>No</v>
      </c>
      <c r="L53" s="118" t="s">
        <v>116</v>
      </c>
      <c r="M53" s="119">
        <v>0.3333333333333333</v>
      </c>
      <c r="N53" s="120">
        <v>1.0</v>
      </c>
      <c r="O53" s="121">
        <v>91.32</v>
      </c>
      <c r="P53" s="117">
        <v>1.0</v>
      </c>
      <c r="Q53" s="117">
        <f t="shared" si="2"/>
        <v>7</v>
      </c>
      <c r="R53" s="122">
        <f>+(IF(((M53*24)-P53)&lt;0,0,((M53*24)-P53)*'Estimación de pérdidas'!$F$72))*N53</f>
        <v>403746.5244</v>
      </c>
      <c r="S53" s="123" t="s">
        <v>117</v>
      </c>
      <c r="T53" s="124" t="s">
        <v>119</v>
      </c>
      <c r="U53" s="124">
        <f t="shared" si="3"/>
        <v>3</v>
      </c>
      <c r="V53" s="124">
        <v>1.0</v>
      </c>
      <c r="W53" s="124"/>
      <c r="X53" s="125"/>
      <c r="Y53" s="126"/>
      <c r="Z53" s="125">
        <f t="shared" si="4"/>
        <v>3</v>
      </c>
      <c r="AA53" s="127" t="str">
        <f t="shared" si="5"/>
        <v>Moderado</v>
      </c>
      <c r="AB53" s="128">
        <f t="shared" si="6"/>
        <v>13</v>
      </c>
      <c r="AC53" s="129">
        <f t="shared" si="7"/>
        <v>0.1697056275</v>
      </c>
      <c r="AD53" s="131"/>
    </row>
    <row r="54" ht="14.25" hidden="1" customHeight="1">
      <c r="A54" s="116" t="s">
        <v>300</v>
      </c>
      <c r="B54" s="117" t="s">
        <v>301</v>
      </c>
      <c r="C54" s="117" t="s">
        <v>315</v>
      </c>
      <c r="D54" s="117" t="s">
        <v>316</v>
      </c>
      <c r="E54" s="117" t="s">
        <v>315</v>
      </c>
      <c r="F54" s="117" t="s">
        <v>317</v>
      </c>
      <c r="G54" s="117" t="s">
        <v>179</v>
      </c>
      <c r="H54" s="117" t="s">
        <v>318</v>
      </c>
      <c r="I54" s="117">
        <v>1.0</v>
      </c>
      <c r="J54" s="117">
        <v>1.0</v>
      </c>
      <c r="K54" s="117" t="str">
        <f t="shared" si="1"/>
        <v>No</v>
      </c>
      <c r="L54" s="118" t="s">
        <v>116</v>
      </c>
      <c r="M54" s="119">
        <v>0.33</v>
      </c>
      <c r="N54" s="120">
        <v>1.0</v>
      </c>
      <c r="O54" s="121">
        <v>91.32</v>
      </c>
      <c r="P54" s="117">
        <v>1.0</v>
      </c>
      <c r="Q54" s="117">
        <f t="shared" si="2"/>
        <v>6.92</v>
      </c>
      <c r="R54" s="122">
        <f>+(IF(((M54*24)-P54)&lt;0,0,((M54*24)-P54)*'Estimación de pérdidas'!$F$72))*N54</f>
        <v>399132.2784</v>
      </c>
      <c r="S54" s="123" t="s">
        <v>117</v>
      </c>
      <c r="T54" s="124" t="s">
        <v>119</v>
      </c>
      <c r="U54" s="124">
        <f t="shared" si="3"/>
        <v>3</v>
      </c>
      <c r="V54" s="124">
        <v>1.0</v>
      </c>
      <c r="W54" s="124"/>
      <c r="X54" s="125"/>
      <c r="Y54" s="126"/>
      <c r="Z54" s="125">
        <f t="shared" si="4"/>
        <v>3</v>
      </c>
      <c r="AA54" s="127" t="str">
        <f t="shared" si="5"/>
        <v>Moderado</v>
      </c>
      <c r="AB54" s="128">
        <f t="shared" si="6"/>
        <v>13</v>
      </c>
      <c r="AC54" s="129">
        <f t="shared" si="7"/>
        <v>0.1697056275</v>
      </c>
      <c r="AD54" s="131"/>
    </row>
    <row r="55" ht="14.25" hidden="1" customHeight="1">
      <c r="A55" s="116" t="s">
        <v>300</v>
      </c>
      <c r="B55" s="117" t="s">
        <v>301</v>
      </c>
      <c r="C55" s="117" t="s">
        <v>319</v>
      </c>
      <c r="D55" s="117" t="s">
        <v>320</v>
      </c>
      <c r="E55" s="117" t="s">
        <v>319</v>
      </c>
      <c r="F55" s="117" t="s">
        <v>321</v>
      </c>
      <c r="G55" s="117" t="s">
        <v>179</v>
      </c>
      <c r="H55" s="117" t="s">
        <v>318</v>
      </c>
      <c r="I55" s="117">
        <v>1.0</v>
      </c>
      <c r="J55" s="117">
        <v>1.0</v>
      </c>
      <c r="K55" s="117" t="str">
        <f t="shared" si="1"/>
        <v>No</v>
      </c>
      <c r="L55" s="118" t="s">
        <v>116</v>
      </c>
      <c r="M55" s="119">
        <v>0.3333333333333333</v>
      </c>
      <c r="N55" s="120">
        <v>1.0</v>
      </c>
      <c r="O55" s="121">
        <v>91.32</v>
      </c>
      <c r="P55" s="117">
        <v>1.0</v>
      </c>
      <c r="Q55" s="117">
        <f t="shared" si="2"/>
        <v>7</v>
      </c>
      <c r="R55" s="122">
        <f>+(IF(((M55*24)-P55)&lt;0,0,((M55*24)-P55)*'Estimación de pérdidas'!$F$72))*N55</f>
        <v>403746.5244</v>
      </c>
      <c r="S55" s="123" t="s">
        <v>117</v>
      </c>
      <c r="T55" s="124" t="s">
        <v>119</v>
      </c>
      <c r="U55" s="124">
        <f t="shared" si="3"/>
        <v>3</v>
      </c>
      <c r="V55" s="124">
        <v>1.0</v>
      </c>
      <c r="W55" s="124"/>
      <c r="X55" s="125"/>
      <c r="Y55" s="126"/>
      <c r="Z55" s="125">
        <f t="shared" si="4"/>
        <v>3</v>
      </c>
      <c r="AA55" s="127" t="str">
        <f t="shared" si="5"/>
        <v>Moderado</v>
      </c>
      <c r="AB55" s="128">
        <f t="shared" si="6"/>
        <v>13</v>
      </c>
      <c r="AC55" s="129">
        <f t="shared" si="7"/>
        <v>0.1697056275</v>
      </c>
      <c r="AD55" s="131"/>
    </row>
    <row r="56" ht="14.25" hidden="1" customHeight="1">
      <c r="A56" s="116" t="s">
        <v>300</v>
      </c>
      <c r="B56" s="117" t="s">
        <v>301</v>
      </c>
      <c r="C56" s="117" t="s">
        <v>322</v>
      </c>
      <c r="D56" s="117" t="s">
        <v>323</v>
      </c>
      <c r="E56" s="117" t="s">
        <v>322</v>
      </c>
      <c r="F56" s="117" t="s">
        <v>324</v>
      </c>
      <c r="G56" s="117" t="s">
        <v>179</v>
      </c>
      <c r="H56" s="117" t="s">
        <v>318</v>
      </c>
      <c r="I56" s="117">
        <v>1.0</v>
      </c>
      <c r="J56" s="117">
        <v>1.0</v>
      </c>
      <c r="K56" s="117" t="str">
        <f t="shared" si="1"/>
        <v>No</v>
      </c>
      <c r="L56" s="118" t="s">
        <v>116</v>
      </c>
      <c r="M56" s="119">
        <v>0.4166666666666667</v>
      </c>
      <c r="N56" s="120">
        <v>1.0</v>
      </c>
      <c r="O56" s="121">
        <v>91.32</v>
      </c>
      <c r="P56" s="117">
        <v>1.0</v>
      </c>
      <c r="Q56" s="117">
        <f t="shared" si="2"/>
        <v>9</v>
      </c>
      <c r="R56" s="122">
        <f>+(IF(((M56*24)-P56)&lt;0,0,((M56*24)-P56)*'Estimación de pérdidas'!$F$72))*N56</f>
        <v>519102.6742</v>
      </c>
      <c r="S56" s="123" t="s">
        <v>117</v>
      </c>
      <c r="T56" s="124" t="s">
        <v>119</v>
      </c>
      <c r="U56" s="124">
        <f t="shared" si="3"/>
        <v>4</v>
      </c>
      <c r="V56" s="124">
        <v>1.0</v>
      </c>
      <c r="W56" s="124"/>
      <c r="X56" s="125"/>
      <c r="Y56" s="126"/>
      <c r="Z56" s="125">
        <f t="shared" si="4"/>
        <v>4</v>
      </c>
      <c r="AA56" s="127" t="str">
        <f t="shared" si="5"/>
        <v>Moderado</v>
      </c>
      <c r="AB56" s="128">
        <f t="shared" si="6"/>
        <v>18</v>
      </c>
      <c r="AC56" s="129">
        <f t="shared" si="7"/>
        <v>0.221269067</v>
      </c>
      <c r="AD56" s="130"/>
    </row>
    <row r="57" ht="14.25" hidden="1" customHeight="1">
      <c r="A57" s="116" t="s">
        <v>300</v>
      </c>
      <c r="B57" s="117" t="s">
        <v>301</v>
      </c>
      <c r="C57" s="117" t="s">
        <v>325</v>
      </c>
      <c r="D57" s="117" t="s">
        <v>326</v>
      </c>
      <c r="E57" s="117" t="s">
        <v>325</v>
      </c>
      <c r="F57" s="117" t="s">
        <v>327</v>
      </c>
      <c r="G57" s="117" t="s">
        <v>179</v>
      </c>
      <c r="H57" s="117" t="s">
        <v>318</v>
      </c>
      <c r="I57" s="117">
        <v>1.0</v>
      </c>
      <c r="J57" s="117">
        <v>1.0</v>
      </c>
      <c r="K57" s="117" t="str">
        <f t="shared" si="1"/>
        <v>No</v>
      </c>
      <c r="L57" s="118" t="s">
        <v>116</v>
      </c>
      <c r="M57" s="119">
        <v>0.33</v>
      </c>
      <c r="N57" s="120">
        <v>1.0</v>
      </c>
      <c r="O57" s="121">
        <v>91.32</v>
      </c>
      <c r="P57" s="117">
        <v>1.0</v>
      </c>
      <c r="Q57" s="117">
        <f t="shared" si="2"/>
        <v>6.92</v>
      </c>
      <c r="R57" s="122">
        <f>+(IF(((M57*24)-P57)&lt;0,0,((M57*24)-P57)*'Estimación de pérdidas'!$F$72))*N57</f>
        <v>399132.2784</v>
      </c>
      <c r="S57" s="123" t="s">
        <v>117</v>
      </c>
      <c r="T57" s="124" t="s">
        <v>119</v>
      </c>
      <c r="U57" s="124">
        <f t="shared" si="3"/>
        <v>3</v>
      </c>
      <c r="V57" s="124">
        <v>1.0</v>
      </c>
      <c r="W57" s="124"/>
      <c r="X57" s="125"/>
      <c r="Y57" s="126"/>
      <c r="Z57" s="125">
        <f t="shared" si="4"/>
        <v>3</v>
      </c>
      <c r="AA57" s="127" t="str">
        <f t="shared" si="5"/>
        <v>Moderado</v>
      </c>
      <c r="AB57" s="128">
        <f t="shared" si="6"/>
        <v>13</v>
      </c>
      <c r="AC57" s="129">
        <f t="shared" si="7"/>
        <v>0.1697056275</v>
      </c>
      <c r="AD57" s="131"/>
    </row>
    <row r="58" ht="14.25" hidden="1" customHeight="1">
      <c r="A58" s="116" t="s">
        <v>300</v>
      </c>
      <c r="B58" s="117" t="s">
        <v>301</v>
      </c>
      <c r="C58" s="117" t="s">
        <v>328</v>
      </c>
      <c r="D58" s="117" t="s">
        <v>329</v>
      </c>
      <c r="E58" s="117" t="s">
        <v>328</v>
      </c>
      <c r="F58" s="117" t="s">
        <v>330</v>
      </c>
      <c r="G58" s="117" t="s">
        <v>179</v>
      </c>
      <c r="H58" s="117" t="s">
        <v>318</v>
      </c>
      <c r="I58" s="117">
        <v>1.0</v>
      </c>
      <c r="J58" s="117">
        <v>1.0</v>
      </c>
      <c r="K58" s="117" t="str">
        <f t="shared" si="1"/>
        <v>No</v>
      </c>
      <c r="L58" s="118" t="s">
        <v>116</v>
      </c>
      <c r="M58" s="119">
        <v>0.33</v>
      </c>
      <c r="N58" s="120">
        <v>1.0</v>
      </c>
      <c r="O58" s="121">
        <v>91.32</v>
      </c>
      <c r="P58" s="117">
        <v>1.0</v>
      </c>
      <c r="Q58" s="117">
        <f t="shared" si="2"/>
        <v>6.92</v>
      </c>
      <c r="R58" s="122">
        <f>+(IF(((M58*24)-P58)&lt;0,0,((M58*24)-P58)*'Estimación de pérdidas'!$F$72))*N58</f>
        <v>399132.2784</v>
      </c>
      <c r="S58" s="123" t="s">
        <v>117</v>
      </c>
      <c r="T58" s="124" t="s">
        <v>119</v>
      </c>
      <c r="U58" s="124">
        <f t="shared" si="3"/>
        <v>3</v>
      </c>
      <c r="V58" s="124">
        <v>1.0</v>
      </c>
      <c r="W58" s="124"/>
      <c r="X58" s="125"/>
      <c r="Y58" s="126"/>
      <c r="Z58" s="125">
        <f t="shared" si="4"/>
        <v>3</v>
      </c>
      <c r="AA58" s="127" t="str">
        <f t="shared" si="5"/>
        <v>Moderado</v>
      </c>
      <c r="AB58" s="128">
        <f t="shared" si="6"/>
        <v>13</v>
      </c>
      <c r="AC58" s="129">
        <f t="shared" si="7"/>
        <v>0.1697056275</v>
      </c>
      <c r="AD58" s="131"/>
    </row>
    <row r="59" ht="14.25" hidden="1" customHeight="1">
      <c r="A59" s="116" t="s">
        <v>300</v>
      </c>
      <c r="B59" s="117" t="s">
        <v>331</v>
      </c>
      <c r="C59" s="117" t="s">
        <v>332</v>
      </c>
      <c r="D59" s="117" t="s">
        <v>333</v>
      </c>
      <c r="E59" s="117" t="s">
        <v>334</v>
      </c>
      <c r="F59" s="117" t="s">
        <v>335</v>
      </c>
      <c r="G59" s="117" t="s">
        <v>336</v>
      </c>
      <c r="H59" s="117" t="s">
        <v>337</v>
      </c>
      <c r="I59" s="117">
        <v>1.0</v>
      </c>
      <c r="J59" s="117">
        <v>1.0</v>
      </c>
      <c r="K59" s="117" t="str">
        <f t="shared" si="1"/>
        <v>No</v>
      </c>
      <c r="L59" s="118" t="s">
        <v>116</v>
      </c>
      <c r="M59" s="119">
        <v>0.3333333333333333</v>
      </c>
      <c r="N59" s="120">
        <v>0.0</v>
      </c>
      <c r="O59" s="121">
        <v>91.32</v>
      </c>
      <c r="P59" s="117">
        <v>1.0</v>
      </c>
      <c r="Q59" s="117">
        <f t="shared" si="2"/>
        <v>0</v>
      </c>
      <c r="R59" s="122">
        <f>+(IF(((M59*24)-P59)&lt;0,0,((M59*24)-P59)*'Estimación de pérdidas'!$F$72))*N59</f>
        <v>0</v>
      </c>
      <c r="S59" s="123" t="s">
        <v>117</v>
      </c>
      <c r="T59" s="124" t="s">
        <v>118</v>
      </c>
      <c r="U59" s="124">
        <f t="shared" si="3"/>
        <v>1</v>
      </c>
      <c r="V59" s="124">
        <v>2.0</v>
      </c>
      <c r="W59" s="124"/>
      <c r="X59" s="125"/>
      <c r="Y59" s="126"/>
      <c r="Z59" s="125">
        <f t="shared" si="4"/>
        <v>2</v>
      </c>
      <c r="AA59" s="127" t="str">
        <f t="shared" si="5"/>
        <v>Bajo</v>
      </c>
      <c r="AB59" s="128">
        <f t="shared" si="6"/>
        <v>5</v>
      </c>
      <c r="AC59" s="129">
        <f t="shared" si="7"/>
        <v>0.08</v>
      </c>
    </row>
    <row r="60" ht="14.25" hidden="1" customHeight="1">
      <c r="A60" s="116" t="s">
        <v>300</v>
      </c>
      <c r="B60" s="117" t="s">
        <v>301</v>
      </c>
      <c r="C60" s="117" t="s">
        <v>338</v>
      </c>
      <c r="D60" s="117" t="s">
        <v>339</v>
      </c>
      <c r="E60" s="117" t="s">
        <v>338</v>
      </c>
      <c r="F60" s="117" t="s">
        <v>340</v>
      </c>
      <c r="G60" s="117" t="s">
        <v>179</v>
      </c>
      <c r="H60" s="117" t="s">
        <v>318</v>
      </c>
      <c r="I60" s="117">
        <v>1.0</v>
      </c>
      <c r="J60" s="117">
        <v>1.0</v>
      </c>
      <c r="K60" s="117" t="str">
        <f t="shared" si="1"/>
        <v>No</v>
      </c>
      <c r="L60" s="118" t="s">
        <v>116</v>
      </c>
      <c r="M60" s="119">
        <v>0.33</v>
      </c>
      <c r="N60" s="120">
        <v>1.0</v>
      </c>
      <c r="O60" s="121">
        <v>91.32</v>
      </c>
      <c r="P60" s="117">
        <v>1.0</v>
      </c>
      <c r="Q60" s="117">
        <f t="shared" si="2"/>
        <v>6.92</v>
      </c>
      <c r="R60" s="122">
        <f>+(IF(((M60*24)-P60)&lt;0,0,((M60*24)-P60)*'Estimación de pérdidas'!$F$72))*N60</f>
        <v>399132.2784</v>
      </c>
      <c r="S60" s="123" t="s">
        <v>117</v>
      </c>
      <c r="T60" s="124" t="s">
        <v>119</v>
      </c>
      <c r="U60" s="124">
        <f t="shared" si="3"/>
        <v>3</v>
      </c>
      <c r="V60" s="124">
        <v>1.0</v>
      </c>
      <c r="W60" s="124"/>
      <c r="X60" s="125"/>
      <c r="Y60" s="126"/>
      <c r="Z60" s="125">
        <f t="shared" si="4"/>
        <v>3</v>
      </c>
      <c r="AA60" s="127" t="str">
        <f t="shared" si="5"/>
        <v>Moderado</v>
      </c>
      <c r="AB60" s="128">
        <f t="shared" si="6"/>
        <v>13</v>
      </c>
      <c r="AC60" s="129">
        <f t="shared" si="7"/>
        <v>0.1697056275</v>
      </c>
      <c r="AD60" s="131"/>
    </row>
    <row r="61" ht="14.25" hidden="1" customHeight="1">
      <c r="A61" s="116" t="s">
        <v>300</v>
      </c>
      <c r="B61" s="117" t="s">
        <v>301</v>
      </c>
      <c r="C61" s="117" t="s">
        <v>341</v>
      </c>
      <c r="D61" s="117" t="s">
        <v>342</v>
      </c>
      <c r="E61" s="117" t="s">
        <v>341</v>
      </c>
      <c r="F61" s="117" t="s">
        <v>343</v>
      </c>
      <c r="G61" s="117" t="s">
        <v>344</v>
      </c>
      <c r="H61" s="117" t="s">
        <v>345</v>
      </c>
      <c r="I61" s="117">
        <v>1.0</v>
      </c>
      <c r="J61" s="117">
        <v>1.0</v>
      </c>
      <c r="K61" s="117" t="str">
        <f t="shared" si="1"/>
        <v>No</v>
      </c>
      <c r="L61" s="118" t="s">
        <v>116</v>
      </c>
      <c r="M61" s="119">
        <v>1.5</v>
      </c>
      <c r="N61" s="120">
        <v>1.0</v>
      </c>
      <c r="O61" s="121">
        <v>91.32</v>
      </c>
      <c r="P61" s="117">
        <v>1.0</v>
      </c>
      <c r="Q61" s="117">
        <f t="shared" si="2"/>
        <v>35</v>
      </c>
      <c r="R61" s="122">
        <f>+(IF(((M61*24)-P61)&lt;0,0,((M61*24)-P61)*'Estimación de pérdidas'!$F$72))*N61</f>
        <v>2018732.622</v>
      </c>
      <c r="S61" s="123" t="s">
        <v>117</v>
      </c>
      <c r="T61" s="124" t="s">
        <v>119</v>
      </c>
      <c r="U61" s="124">
        <f t="shared" si="3"/>
        <v>5</v>
      </c>
      <c r="V61" s="124">
        <v>2.0</v>
      </c>
      <c r="W61" s="124"/>
      <c r="X61" s="125"/>
      <c r="Y61" s="126"/>
      <c r="Z61" s="125">
        <f t="shared" si="4"/>
        <v>5</v>
      </c>
      <c r="AA61" s="127" t="str">
        <f t="shared" si="5"/>
        <v>Alto</v>
      </c>
      <c r="AB61" s="128">
        <f t="shared" si="6"/>
        <v>21</v>
      </c>
      <c r="AC61" s="129">
        <f t="shared" si="7"/>
        <v>0.2889982699</v>
      </c>
      <c r="AD61" s="130"/>
    </row>
    <row r="62" ht="14.25" hidden="1" customHeight="1">
      <c r="A62" s="116" t="s">
        <v>300</v>
      </c>
      <c r="B62" s="117" t="s">
        <v>301</v>
      </c>
      <c r="C62" s="117" t="s">
        <v>346</v>
      </c>
      <c r="D62" s="117" t="s">
        <v>347</v>
      </c>
      <c r="E62" s="117" t="s">
        <v>346</v>
      </c>
      <c r="F62" s="117" t="s">
        <v>348</v>
      </c>
      <c r="G62" s="117" t="s">
        <v>349</v>
      </c>
      <c r="H62" s="117" t="s">
        <v>345</v>
      </c>
      <c r="I62" s="117">
        <v>1.0</v>
      </c>
      <c r="J62" s="117">
        <v>1.0</v>
      </c>
      <c r="K62" s="117" t="str">
        <f t="shared" si="1"/>
        <v>No</v>
      </c>
      <c r="L62" s="118" t="s">
        <v>116</v>
      </c>
      <c r="M62" s="119">
        <v>0.75</v>
      </c>
      <c r="N62" s="120">
        <v>1.0</v>
      </c>
      <c r="O62" s="121">
        <v>91.32</v>
      </c>
      <c r="P62" s="117">
        <v>1.0</v>
      </c>
      <c r="Q62" s="117">
        <f t="shared" si="2"/>
        <v>17</v>
      </c>
      <c r="R62" s="122">
        <f>+(IF(((M62*24)-P62)&lt;0,0,((M62*24)-P62)*'Estimación de pérdidas'!$F$72))*N62</f>
        <v>980527.2735</v>
      </c>
      <c r="S62" s="123" t="s">
        <v>117</v>
      </c>
      <c r="T62" s="124" t="s">
        <v>119</v>
      </c>
      <c r="U62" s="124">
        <f t="shared" si="3"/>
        <v>4</v>
      </c>
      <c r="V62" s="124">
        <v>1.0</v>
      </c>
      <c r="W62" s="124"/>
      <c r="X62" s="125"/>
      <c r="Y62" s="126"/>
      <c r="Z62" s="125">
        <f t="shared" si="4"/>
        <v>4</v>
      </c>
      <c r="AA62" s="127" t="str">
        <f t="shared" si="5"/>
        <v>Moderado</v>
      </c>
      <c r="AB62" s="128">
        <f t="shared" si="6"/>
        <v>18</v>
      </c>
      <c r="AC62" s="129">
        <f t="shared" si="7"/>
        <v>0.221269067</v>
      </c>
      <c r="AD62" s="130"/>
    </row>
    <row r="63" ht="14.25" hidden="1" customHeight="1">
      <c r="A63" s="116" t="s">
        <v>300</v>
      </c>
      <c r="B63" s="117" t="s">
        <v>301</v>
      </c>
      <c r="C63" s="117" t="s">
        <v>350</v>
      </c>
      <c r="D63" s="117" t="s">
        <v>351</v>
      </c>
      <c r="E63" s="117" t="s">
        <v>350</v>
      </c>
      <c r="F63" s="117" t="s">
        <v>352</v>
      </c>
      <c r="G63" s="117" t="s">
        <v>165</v>
      </c>
      <c r="H63" s="117" t="s">
        <v>353</v>
      </c>
      <c r="I63" s="117">
        <v>1.0</v>
      </c>
      <c r="J63" s="117">
        <v>1.0</v>
      </c>
      <c r="K63" s="117" t="str">
        <f t="shared" si="1"/>
        <v>No</v>
      </c>
      <c r="L63" s="118" t="s">
        <v>116</v>
      </c>
      <c r="M63" s="119">
        <v>0.3333333333333333</v>
      </c>
      <c r="N63" s="120">
        <v>0.0</v>
      </c>
      <c r="O63" s="121"/>
      <c r="P63" s="117">
        <v>0.0</v>
      </c>
      <c r="Q63" s="117">
        <f t="shared" si="2"/>
        <v>0</v>
      </c>
      <c r="R63" s="122">
        <f>+(IF(((M63*24)-P63)&lt;0,0,((M63*24)-P63)*'Estimación de pérdidas'!$F$72))*N63</f>
        <v>0</v>
      </c>
      <c r="S63" s="123" t="s">
        <v>117</v>
      </c>
      <c r="T63" s="124" t="s">
        <v>118</v>
      </c>
      <c r="U63" s="124">
        <f t="shared" si="3"/>
        <v>1</v>
      </c>
      <c r="V63" s="124">
        <v>1.0</v>
      </c>
      <c r="W63" s="124"/>
      <c r="X63" s="125"/>
      <c r="Y63" s="126"/>
      <c r="Z63" s="125">
        <f t="shared" si="4"/>
        <v>1</v>
      </c>
      <c r="AA63" s="127" t="str">
        <f t="shared" si="5"/>
        <v>Bajo</v>
      </c>
      <c r="AB63" s="128">
        <f t="shared" si="6"/>
        <v>2</v>
      </c>
      <c r="AC63" s="129">
        <f t="shared" si="7"/>
        <v>0.05059644256</v>
      </c>
    </row>
    <row r="64" ht="14.25" hidden="1" customHeight="1">
      <c r="A64" s="116" t="s">
        <v>300</v>
      </c>
      <c r="B64" s="117" t="s">
        <v>301</v>
      </c>
      <c r="C64" s="117" t="s">
        <v>354</v>
      </c>
      <c r="D64" s="117" t="s">
        <v>355</v>
      </c>
      <c r="E64" s="117" t="s">
        <v>354</v>
      </c>
      <c r="F64" s="117" t="s">
        <v>356</v>
      </c>
      <c r="G64" s="117" t="s">
        <v>171</v>
      </c>
      <c r="H64" s="117" t="s">
        <v>172</v>
      </c>
      <c r="I64" s="117">
        <v>1.0</v>
      </c>
      <c r="J64" s="117">
        <v>1.0</v>
      </c>
      <c r="K64" s="117" t="str">
        <f t="shared" si="1"/>
        <v>No</v>
      </c>
      <c r="L64" s="118" t="s">
        <v>116</v>
      </c>
      <c r="M64" s="119">
        <v>0.3333333333333333</v>
      </c>
      <c r="N64" s="120">
        <v>0.0</v>
      </c>
      <c r="O64" s="121"/>
      <c r="P64" s="117">
        <v>0.0</v>
      </c>
      <c r="Q64" s="117">
        <f t="shared" si="2"/>
        <v>0</v>
      </c>
      <c r="R64" s="122">
        <f>+(IF(((M64*24)-P64)&lt;0,0,((M64*24)-P64)*'Estimación de pérdidas'!$F$72))*N64</f>
        <v>0</v>
      </c>
      <c r="S64" s="123" t="s">
        <v>117</v>
      </c>
      <c r="T64" s="124" t="s">
        <v>119</v>
      </c>
      <c r="U64" s="124">
        <f t="shared" si="3"/>
        <v>1</v>
      </c>
      <c r="V64" s="124">
        <v>1.0</v>
      </c>
      <c r="W64" s="124"/>
      <c r="X64" s="125"/>
      <c r="Y64" s="126"/>
      <c r="Z64" s="125">
        <f t="shared" si="4"/>
        <v>1</v>
      </c>
      <c r="AA64" s="127" t="str">
        <f t="shared" si="5"/>
        <v>Bajo</v>
      </c>
      <c r="AB64" s="128">
        <f t="shared" si="6"/>
        <v>4</v>
      </c>
      <c r="AC64" s="129">
        <f t="shared" si="7"/>
        <v>0.07589466384</v>
      </c>
    </row>
    <row r="65" ht="14.25" hidden="1" customHeight="1">
      <c r="A65" s="116" t="s">
        <v>300</v>
      </c>
      <c r="B65" s="117" t="s">
        <v>301</v>
      </c>
      <c r="C65" s="117" t="s">
        <v>357</v>
      </c>
      <c r="D65" s="117" t="s">
        <v>358</v>
      </c>
      <c r="E65" s="117" t="s">
        <v>359</v>
      </c>
      <c r="F65" s="117" t="s">
        <v>360</v>
      </c>
      <c r="G65" s="117" t="s">
        <v>171</v>
      </c>
      <c r="H65" s="117" t="s">
        <v>172</v>
      </c>
      <c r="I65" s="117">
        <v>1.0</v>
      </c>
      <c r="J65" s="117">
        <v>1.0</v>
      </c>
      <c r="K65" s="117" t="str">
        <f t="shared" si="1"/>
        <v>No</v>
      </c>
      <c r="L65" s="118" t="s">
        <v>116</v>
      </c>
      <c r="M65" s="119">
        <v>0.3333333333333333</v>
      </c>
      <c r="N65" s="120">
        <v>0.0</v>
      </c>
      <c r="O65" s="121"/>
      <c r="P65" s="117">
        <v>0.0</v>
      </c>
      <c r="Q65" s="117">
        <f t="shared" si="2"/>
        <v>0</v>
      </c>
      <c r="R65" s="122">
        <f>+(IF(((M65*24)-P65)&lt;0,0,((M65*24)-P65)*'Estimación de pérdidas'!$F$72))*N65</f>
        <v>0</v>
      </c>
      <c r="S65" s="123" t="s">
        <v>117</v>
      </c>
      <c r="T65" s="124" t="s">
        <v>119</v>
      </c>
      <c r="U65" s="124">
        <f t="shared" si="3"/>
        <v>1</v>
      </c>
      <c r="V65" s="124">
        <v>1.0</v>
      </c>
      <c r="W65" s="124"/>
      <c r="X65" s="125"/>
      <c r="Y65" s="126"/>
      <c r="Z65" s="125">
        <f t="shared" si="4"/>
        <v>1</v>
      </c>
      <c r="AA65" s="127" t="str">
        <f t="shared" si="5"/>
        <v>Bajo</v>
      </c>
      <c r="AB65" s="128">
        <f t="shared" si="6"/>
        <v>4</v>
      </c>
      <c r="AC65" s="129">
        <f t="shared" si="7"/>
        <v>0.07589466384</v>
      </c>
    </row>
    <row r="66" ht="14.25" hidden="1" customHeight="1">
      <c r="A66" s="116" t="s">
        <v>300</v>
      </c>
      <c r="B66" s="117" t="s">
        <v>301</v>
      </c>
      <c r="C66" s="117" t="s">
        <v>357</v>
      </c>
      <c r="D66" s="117" t="s">
        <v>361</v>
      </c>
      <c r="E66" s="117" t="s">
        <v>359</v>
      </c>
      <c r="F66" s="117" t="s">
        <v>362</v>
      </c>
      <c r="G66" s="117" t="s">
        <v>171</v>
      </c>
      <c r="H66" s="117" t="s">
        <v>172</v>
      </c>
      <c r="I66" s="117">
        <v>1.0</v>
      </c>
      <c r="J66" s="117">
        <v>1.0</v>
      </c>
      <c r="K66" s="117" t="str">
        <f t="shared" si="1"/>
        <v>No</v>
      </c>
      <c r="L66" s="118" t="s">
        <v>116</v>
      </c>
      <c r="M66" s="119">
        <v>0.3333333333333333</v>
      </c>
      <c r="N66" s="120">
        <v>0.0</v>
      </c>
      <c r="O66" s="121"/>
      <c r="P66" s="117">
        <v>0.0</v>
      </c>
      <c r="Q66" s="117">
        <f t="shared" si="2"/>
        <v>0</v>
      </c>
      <c r="R66" s="122">
        <f>+(IF(((M66*24)-P66)&lt;0,0,((M66*24)-P66)*'Estimación de pérdidas'!$F$72))*N66</f>
        <v>0</v>
      </c>
      <c r="S66" s="123" t="s">
        <v>117</v>
      </c>
      <c r="T66" s="124" t="s">
        <v>119</v>
      </c>
      <c r="U66" s="124">
        <f t="shared" si="3"/>
        <v>1</v>
      </c>
      <c r="V66" s="124">
        <v>1.0</v>
      </c>
      <c r="W66" s="124"/>
      <c r="X66" s="125"/>
      <c r="Y66" s="126"/>
      <c r="Z66" s="125">
        <f t="shared" si="4"/>
        <v>1</v>
      </c>
      <c r="AA66" s="127" t="str">
        <f t="shared" si="5"/>
        <v>Bajo</v>
      </c>
      <c r="AB66" s="128">
        <f t="shared" si="6"/>
        <v>4</v>
      </c>
      <c r="AC66" s="129">
        <f t="shared" si="7"/>
        <v>0.07589466384</v>
      </c>
    </row>
    <row r="67" ht="14.25" hidden="1" customHeight="1">
      <c r="A67" s="116" t="s">
        <v>300</v>
      </c>
      <c r="B67" s="117" t="s">
        <v>301</v>
      </c>
      <c r="C67" s="117" t="s">
        <v>363</v>
      </c>
      <c r="D67" s="117" t="s">
        <v>364</v>
      </c>
      <c r="E67" s="117" t="s">
        <v>363</v>
      </c>
      <c r="F67" s="117" t="s">
        <v>365</v>
      </c>
      <c r="G67" s="117" t="s">
        <v>171</v>
      </c>
      <c r="H67" s="117" t="s">
        <v>172</v>
      </c>
      <c r="I67" s="117">
        <v>1.0</v>
      </c>
      <c r="J67" s="117">
        <v>1.0</v>
      </c>
      <c r="K67" s="117" t="str">
        <f t="shared" si="1"/>
        <v>No</v>
      </c>
      <c r="L67" s="118" t="s">
        <v>116</v>
      </c>
      <c r="M67" s="119">
        <v>0.3333333333333333</v>
      </c>
      <c r="N67" s="120">
        <v>0.0</v>
      </c>
      <c r="O67" s="121"/>
      <c r="P67" s="117">
        <v>0.0</v>
      </c>
      <c r="Q67" s="117">
        <f t="shared" si="2"/>
        <v>0</v>
      </c>
      <c r="R67" s="122">
        <f>+(IF(((M67*24)-P67)&lt;0,0,((M67*24)-P67)*'Estimación de pérdidas'!$F$72))*N67</f>
        <v>0</v>
      </c>
      <c r="S67" s="123" t="s">
        <v>117</v>
      </c>
      <c r="T67" s="124" t="s">
        <v>119</v>
      </c>
      <c r="U67" s="124">
        <f t="shared" si="3"/>
        <v>1</v>
      </c>
      <c r="V67" s="124">
        <v>1.0</v>
      </c>
      <c r="W67" s="124"/>
      <c r="X67" s="125"/>
      <c r="Y67" s="126"/>
      <c r="Z67" s="125">
        <f t="shared" si="4"/>
        <v>1</v>
      </c>
      <c r="AA67" s="127" t="str">
        <f t="shared" si="5"/>
        <v>Bajo</v>
      </c>
      <c r="AB67" s="128">
        <f t="shared" si="6"/>
        <v>4</v>
      </c>
      <c r="AC67" s="129">
        <f t="shared" si="7"/>
        <v>0.07589466384</v>
      </c>
    </row>
    <row r="68" ht="14.25" hidden="1" customHeight="1">
      <c r="A68" s="116" t="s">
        <v>300</v>
      </c>
      <c r="B68" s="117" t="s">
        <v>301</v>
      </c>
      <c r="C68" s="117" t="s">
        <v>366</v>
      </c>
      <c r="D68" s="117" t="s">
        <v>367</v>
      </c>
      <c r="E68" s="117" t="s">
        <v>366</v>
      </c>
      <c r="F68" s="117" t="s">
        <v>368</v>
      </c>
      <c r="G68" s="117" t="s">
        <v>369</v>
      </c>
      <c r="H68" s="117" t="s">
        <v>370</v>
      </c>
      <c r="I68" s="117">
        <v>2.0</v>
      </c>
      <c r="J68" s="117">
        <v>1.0</v>
      </c>
      <c r="K68" s="117" t="str">
        <f t="shared" si="1"/>
        <v>Si</v>
      </c>
      <c r="L68" s="118" t="s">
        <v>287</v>
      </c>
      <c r="M68" s="119">
        <v>0.25</v>
      </c>
      <c r="N68" s="120">
        <v>0.0</v>
      </c>
      <c r="O68" s="121"/>
      <c r="P68" s="117">
        <v>0.0</v>
      </c>
      <c r="Q68" s="117">
        <f t="shared" si="2"/>
        <v>0</v>
      </c>
      <c r="R68" s="122">
        <f>+(IF(((M68*24)-P68)&lt;0,0,((M68*24)-P68)*'Estimación de pérdidas'!$F$72))*N68</f>
        <v>0</v>
      </c>
      <c r="S68" s="123" t="s">
        <v>117</v>
      </c>
      <c r="T68" s="124" t="s">
        <v>119</v>
      </c>
      <c r="U68" s="124">
        <f t="shared" si="3"/>
        <v>1</v>
      </c>
      <c r="V68" s="124">
        <v>1.0</v>
      </c>
      <c r="W68" s="124"/>
      <c r="X68" s="125"/>
      <c r="Y68" s="126"/>
      <c r="Z68" s="125">
        <f t="shared" si="4"/>
        <v>1</v>
      </c>
      <c r="AA68" s="127" t="str">
        <f t="shared" si="5"/>
        <v>Bajo</v>
      </c>
      <c r="AB68" s="128">
        <f t="shared" si="6"/>
        <v>4</v>
      </c>
      <c r="AC68" s="129">
        <f t="shared" si="7"/>
        <v>0.07589466384</v>
      </c>
    </row>
    <row r="69" ht="14.25" hidden="1" customHeight="1">
      <c r="A69" s="116" t="s">
        <v>300</v>
      </c>
      <c r="B69" s="117" t="s">
        <v>301</v>
      </c>
      <c r="C69" s="117" t="s">
        <v>371</v>
      </c>
      <c r="D69" s="117" t="s">
        <v>372</v>
      </c>
      <c r="E69" s="117" t="s">
        <v>371</v>
      </c>
      <c r="F69" s="117" t="s">
        <v>373</v>
      </c>
      <c r="G69" s="117" t="s">
        <v>374</v>
      </c>
      <c r="H69" s="117" t="s">
        <v>375</v>
      </c>
      <c r="I69" s="117">
        <v>1.0</v>
      </c>
      <c r="J69" s="117">
        <v>1.0</v>
      </c>
      <c r="K69" s="117" t="str">
        <f t="shared" si="1"/>
        <v>No</v>
      </c>
      <c r="L69" s="118" t="s">
        <v>116</v>
      </c>
      <c r="M69" s="119">
        <v>0.3333333333333333</v>
      </c>
      <c r="N69" s="120">
        <v>1.0</v>
      </c>
      <c r="O69" s="121"/>
      <c r="P69" s="117">
        <v>0.0</v>
      </c>
      <c r="Q69" s="117">
        <f t="shared" si="2"/>
        <v>8</v>
      </c>
      <c r="R69" s="122">
        <f>+(IF(((M69*24)-P69)&lt;0,0,((M69*24)-P69)*'Estimación de pérdidas'!$F$72))*N69</f>
        <v>461424.5993</v>
      </c>
      <c r="S69" s="123" t="s">
        <v>117</v>
      </c>
      <c r="T69" s="124" t="s">
        <v>119</v>
      </c>
      <c r="U69" s="124">
        <f t="shared" si="3"/>
        <v>3</v>
      </c>
      <c r="V69" s="124">
        <v>2.0</v>
      </c>
      <c r="W69" s="124"/>
      <c r="X69" s="125"/>
      <c r="Y69" s="126"/>
      <c r="Z69" s="125">
        <f t="shared" si="4"/>
        <v>3</v>
      </c>
      <c r="AA69" s="127" t="str">
        <f t="shared" si="5"/>
        <v>Moderado</v>
      </c>
      <c r="AB69" s="128">
        <f t="shared" si="6"/>
        <v>13</v>
      </c>
      <c r="AC69" s="129">
        <f t="shared" si="7"/>
        <v>0.193494186</v>
      </c>
      <c r="AD69" s="131"/>
    </row>
    <row r="70" ht="14.25" hidden="1" customHeight="1">
      <c r="A70" s="116" t="s">
        <v>300</v>
      </c>
      <c r="B70" s="117" t="s">
        <v>301</v>
      </c>
      <c r="C70" s="117" t="s">
        <v>376</v>
      </c>
      <c r="D70" s="117" t="s">
        <v>377</v>
      </c>
      <c r="E70" s="117" t="s">
        <v>378</v>
      </c>
      <c r="F70" s="117" t="s">
        <v>379</v>
      </c>
      <c r="G70" s="117" t="s">
        <v>380</v>
      </c>
      <c r="H70" s="117" t="s">
        <v>381</v>
      </c>
      <c r="I70" s="117">
        <v>1.0</v>
      </c>
      <c r="J70" s="117">
        <v>1.0</v>
      </c>
      <c r="K70" s="117" t="str">
        <f t="shared" si="1"/>
        <v>No</v>
      </c>
      <c r="L70" s="118" t="s">
        <v>116</v>
      </c>
      <c r="M70" s="119">
        <v>0.5</v>
      </c>
      <c r="N70" s="120">
        <v>1.0</v>
      </c>
      <c r="O70" s="121"/>
      <c r="P70" s="117">
        <v>0.0</v>
      </c>
      <c r="Q70" s="117">
        <f t="shared" si="2"/>
        <v>12</v>
      </c>
      <c r="R70" s="122">
        <f>+(IF(((M70*24)-P70)&lt;0,0,((M70*24)-P70)*'Estimación de pérdidas'!$F$72))*N70</f>
        <v>692136.899</v>
      </c>
      <c r="S70" s="123" t="s">
        <v>117</v>
      </c>
      <c r="T70" s="124" t="s">
        <v>118</v>
      </c>
      <c r="U70" s="124">
        <f t="shared" si="3"/>
        <v>4</v>
      </c>
      <c r="V70" s="124">
        <v>2.0</v>
      </c>
      <c r="W70" s="124"/>
      <c r="X70" s="125"/>
      <c r="Y70" s="126"/>
      <c r="Z70" s="125">
        <f t="shared" si="4"/>
        <v>4</v>
      </c>
      <c r="AA70" s="127" t="str">
        <f t="shared" si="5"/>
        <v>Moderado</v>
      </c>
      <c r="AB70" s="128">
        <f t="shared" si="6"/>
        <v>14</v>
      </c>
      <c r="AC70" s="129">
        <f t="shared" si="7"/>
        <v>0.16</v>
      </c>
      <c r="AD70" s="130"/>
    </row>
    <row r="71" ht="14.25" hidden="1" customHeight="1">
      <c r="A71" s="116" t="s">
        <v>300</v>
      </c>
      <c r="B71" s="117" t="s">
        <v>301</v>
      </c>
      <c r="C71" s="117" t="s">
        <v>382</v>
      </c>
      <c r="D71" s="117" t="s">
        <v>383</v>
      </c>
      <c r="E71" s="117" t="s">
        <v>382</v>
      </c>
      <c r="F71" s="117" t="s">
        <v>384</v>
      </c>
      <c r="G71" s="117" t="s">
        <v>385</v>
      </c>
      <c r="H71" s="117" t="s">
        <v>386</v>
      </c>
      <c r="I71" s="117">
        <v>1.0</v>
      </c>
      <c r="J71" s="117">
        <v>1.0</v>
      </c>
      <c r="K71" s="117" t="str">
        <f t="shared" si="1"/>
        <v>No</v>
      </c>
      <c r="L71" s="118" t="s">
        <v>116</v>
      </c>
      <c r="M71" s="119">
        <v>0.25</v>
      </c>
      <c r="N71" s="120">
        <v>0.25</v>
      </c>
      <c r="O71" s="121"/>
      <c r="P71" s="117">
        <v>0.0</v>
      </c>
      <c r="Q71" s="117">
        <f t="shared" si="2"/>
        <v>1.5</v>
      </c>
      <c r="R71" s="122">
        <f>+(IF(((M71*24)-P71)&lt;0,0,((M71*24)-P71)*'Estimación de pérdidas'!$F$72))*N71</f>
        <v>86517.11237</v>
      </c>
      <c r="S71" s="123" t="s">
        <v>117</v>
      </c>
      <c r="T71" s="124" t="s">
        <v>119</v>
      </c>
      <c r="U71" s="124">
        <f t="shared" si="3"/>
        <v>2</v>
      </c>
      <c r="V71" s="124">
        <v>2.0</v>
      </c>
      <c r="W71" s="124"/>
      <c r="X71" s="125"/>
      <c r="Y71" s="126"/>
      <c r="Z71" s="125">
        <f t="shared" si="4"/>
        <v>2</v>
      </c>
      <c r="AA71" s="127" t="str">
        <f t="shared" si="5"/>
        <v>Moderado</v>
      </c>
      <c r="AB71" s="128">
        <f t="shared" si="6"/>
        <v>8</v>
      </c>
      <c r="AC71" s="129">
        <f t="shared" si="7"/>
        <v>0.1517893277</v>
      </c>
      <c r="AD71" s="131"/>
    </row>
    <row r="72" ht="14.25" hidden="1" customHeight="1">
      <c r="A72" s="116" t="s">
        <v>300</v>
      </c>
      <c r="B72" s="117" t="s">
        <v>301</v>
      </c>
      <c r="C72" s="117" t="s">
        <v>387</v>
      </c>
      <c r="D72" s="117" t="s">
        <v>388</v>
      </c>
      <c r="E72" s="117" t="s">
        <v>387</v>
      </c>
      <c r="F72" s="117" t="s">
        <v>389</v>
      </c>
      <c r="G72" s="117" t="s">
        <v>390</v>
      </c>
      <c r="H72" s="117" t="s">
        <v>391</v>
      </c>
      <c r="I72" s="117">
        <v>1.0</v>
      </c>
      <c r="J72" s="117">
        <v>1.0</v>
      </c>
      <c r="K72" s="117" t="str">
        <f t="shared" si="1"/>
        <v>No</v>
      </c>
      <c r="L72" s="118" t="s">
        <v>116</v>
      </c>
      <c r="M72" s="119">
        <v>2.0</v>
      </c>
      <c r="N72" s="120">
        <v>1.0</v>
      </c>
      <c r="O72" s="121">
        <v>91.32</v>
      </c>
      <c r="P72" s="117">
        <v>1.0</v>
      </c>
      <c r="Q72" s="117">
        <f t="shared" si="2"/>
        <v>47</v>
      </c>
      <c r="R72" s="122">
        <f>+(IF(((M72*24)-P72)&lt;0,0,((M72*24)-P72)*'Estimación de pérdidas'!$F$72))*N72</f>
        <v>2710869.521</v>
      </c>
      <c r="S72" s="123" t="s">
        <v>117</v>
      </c>
      <c r="T72" s="124" t="s">
        <v>118</v>
      </c>
      <c r="U72" s="124">
        <f t="shared" si="3"/>
        <v>5</v>
      </c>
      <c r="V72" s="124">
        <v>5.0</v>
      </c>
      <c r="W72" s="124"/>
      <c r="X72" s="125"/>
      <c r="Y72" s="126"/>
      <c r="Z72" s="125">
        <f t="shared" si="4"/>
        <v>5</v>
      </c>
      <c r="AA72" s="127" t="str">
        <f t="shared" si="5"/>
        <v>Alto</v>
      </c>
      <c r="AB72" s="128">
        <f t="shared" si="6"/>
        <v>19</v>
      </c>
      <c r="AC72" s="129">
        <f t="shared" si="7"/>
        <v>0.2529822128</v>
      </c>
      <c r="AD72" s="130"/>
    </row>
    <row r="73" ht="69.75" hidden="1" customHeight="1">
      <c r="A73" s="116" t="s">
        <v>300</v>
      </c>
      <c r="B73" s="117" t="s">
        <v>301</v>
      </c>
      <c r="C73" s="117" t="s">
        <v>392</v>
      </c>
      <c r="D73" s="117" t="s">
        <v>393</v>
      </c>
      <c r="E73" s="117" t="s">
        <v>392</v>
      </c>
      <c r="F73" s="117" t="s">
        <v>394</v>
      </c>
      <c r="G73" s="117" t="s">
        <v>205</v>
      </c>
      <c r="H73" s="117" t="s">
        <v>395</v>
      </c>
      <c r="I73" s="117">
        <v>2.0</v>
      </c>
      <c r="J73" s="117">
        <v>1.0</v>
      </c>
      <c r="K73" s="117" t="str">
        <f t="shared" si="1"/>
        <v>Si</v>
      </c>
      <c r="L73" s="118" t="s">
        <v>287</v>
      </c>
      <c r="M73" s="119">
        <v>0.8333333333333334</v>
      </c>
      <c r="N73" s="120">
        <v>0.0</v>
      </c>
      <c r="O73" s="121">
        <v>91.32</v>
      </c>
      <c r="P73" s="117">
        <v>1.0</v>
      </c>
      <c r="Q73" s="117">
        <f t="shared" si="2"/>
        <v>0</v>
      </c>
      <c r="R73" s="122">
        <f>+(IF(((M73*24)-P73)&lt;0,0,((M73*24)-P73)*'Estimación de pérdidas'!$F$72))*N73</f>
        <v>0</v>
      </c>
      <c r="S73" s="123" t="s">
        <v>117</v>
      </c>
      <c r="T73" s="124" t="s">
        <v>106</v>
      </c>
      <c r="U73" s="124">
        <f t="shared" si="3"/>
        <v>1</v>
      </c>
      <c r="V73" s="124">
        <v>3.0</v>
      </c>
      <c r="W73" s="124"/>
      <c r="X73" s="125"/>
      <c r="Y73" s="126"/>
      <c r="Z73" s="125">
        <f t="shared" si="4"/>
        <v>3</v>
      </c>
      <c r="AA73" s="127" t="str">
        <f t="shared" si="5"/>
        <v>Moderado</v>
      </c>
      <c r="AB73" s="128">
        <f t="shared" si="6"/>
        <v>17</v>
      </c>
      <c r="AC73" s="129">
        <f t="shared" si="7"/>
        <v>0.22627417</v>
      </c>
    </row>
    <row r="74" ht="69.75" hidden="1" customHeight="1">
      <c r="A74" s="116" t="s">
        <v>300</v>
      </c>
      <c r="B74" s="117" t="s">
        <v>301</v>
      </c>
      <c r="C74" s="117" t="s">
        <v>392</v>
      </c>
      <c r="D74" s="117" t="s">
        <v>396</v>
      </c>
      <c r="E74" s="117" t="s">
        <v>392</v>
      </c>
      <c r="F74" s="117" t="s">
        <v>394</v>
      </c>
      <c r="G74" s="117" t="s">
        <v>205</v>
      </c>
      <c r="H74" s="117" t="s">
        <v>395</v>
      </c>
      <c r="I74" s="117">
        <v>2.0</v>
      </c>
      <c r="J74" s="117">
        <v>1.0</v>
      </c>
      <c r="K74" s="117" t="str">
        <f t="shared" si="1"/>
        <v>Si</v>
      </c>
      <c r="L74" s="118" t="s">
        <v>287</v>
      </c>
      <c r="M74" s="119">
        <v>0.8333333333333334</v>
      </c>
      <c r="N74" s="120">
        <v>0.0</v>
      </c>
      <c r="O74" s="121">
        <v>91.32</v>
      </c>
      <c r="P74" s="117">
        <v>1.0</v>
      </c>
      <c r="Q74" s="117">
        <f t="shared" si="2"/>
        <v>0</v>
      </c>
      <c r="R74" s="122">
        <f>+(IF(((M74*24)-P74)&lt;0,0,((M74*24)-P74)*'Estimación de pérdidas'!$F$72))*N74</f>
        <v>0</v>
      </c>
      <c r="S74" s="123" t="s">
        <v>117</v>
      </c>
      <c r="T74" s="124" t="s">
        <v>106</v>
      </c>
      <c r="U74" s="124">
        <f t="shared" si="3"/>
        <v>1</v>
      </c>
      <c r="V74" s="124">
        <v>3.0</v>
      </c>
      <c r="W74" s="124"/>
      <c r="X74" s="125"/>
      <c r="Y74" s="126"/>
      <c r="Z74" s="125">
        <f t="shared" si="4"/>
        <v>3</v>
      </c>
      <c r="AA74" s="127" t="str">
        <f t="shared" si="5"/>
        <v>Moderado</v>
      </c>
      <c r="AB74" s="128">
        <f t="shared" si="6"/>
        <v>17</v>
      </c>
      <c r="AC74" s="129">
        <f t="shared" si="7"/>
        <v>0.22627417</v>
      </c>
    </row>
    <row r="75" ht="14.25" hidden="1" customHeight="1">
      <c r="A75" s="116" t="s">
        <v>300</v>
      </c>
      <c r="B75" s="117" t="s">
        <v>301</v>
      </c>
      <c r="C75" s="117" t="s">
        <v>397</v>
      </c>
      <c r="D75" s="117" t="s">
        <v>398</v>
      </c>
      <c r="E75" s="117" t="s">
        <v>399</v>
      </c>
      <c r="F75" s="117" t="s">
        <v>400</v>
      </c>
      <c r="G75" s="117" t="s">
        <v>205</v>
      </c>
      <c r="H75" s="117" t="s">
        <v>401</v>
      </c>
      <c r="I75" s="117">
        <v>2.0</v>
      </c>
      <c r="J75" s="117">
        <v>1.0</v>
      </c>
      <c r="K75" s="117" t="str">
        <f t="shared" si="1"/>
        <v>Si</v>
      </c>
      <c r="L75" s="118" t="s">
        <v>287</v>
      </c>
      <c r="M75" s="119">
        <v>0.33</v>
      </c>
      <c r="N75" s="120">
        <v>0.0</v>
      </c>
      <c r="O75" s="121">
        <v>91.32</v>
      </c>
      <c r="P75" s="117">
        <v>1.0</v>
      </c>
      <c r="Q75" s="117">
        <f t="shared" si="2"/>
        <v>0</v>
      </c>
      <c r="R75" s="122">
        <f>+(IF(((M75*24)-P75)&lt;0,0,((M75*24)-P75)*'Estimación de pérdidas'!$F$72))*N75</f>
        <v>0</v>
      </c>
      <c r="S75" s="123" t="s">
        <v>117</v>
      </c>
      <c r="T75" s="124" t="s">
        <v>119</v>
      </c>
      <c r="U75" s="124">
        <f t="shared" si="3"/>
        <v>1</v>
      </c>
      <c r="V75" s="124">
        <v>1.0</v>
      </c>
      <c r="W75" s="124"/>
      <c r="X75" s="125"/>
      <c r="Y75" s="126"/>
      <c r="Z75" s="125">
        <f t="shared" si="4"/>
        <v>1</v>
      </c>
      <c r="AA75" s="127" t="str">
        <f t="shared" si="5"/>
        <v>Bajo</v>
      </c>
      <c r="AB75" s="128">
        <f t="shared" si="6"/>
        <v>4</v>
      </c>
      <c r="AC75" s="129">
        <f t="shared" si="7"/>
        <v>0.07589466384</v>
      </c>
    </row>
    <row r="76" ht="14.25" hidden="1" customHeight="1">
      <c r="A76" s="116" t="s">
        <v>300</v>
      </c>
      <c r="B76" s="117" t="s">
        <v>301</v>
      </c>
      <c r="C76" s="117" t="s">
        <v>397</v>
      </c>
      <c r="D76" s="117" t="s">
        <v>402</v>
      </c>
      <c r="E76" s="117" t="s">
        <v>399</v>
      </c>
      <c r="F76" s="117" t="s">
        <v>400</v>
      </c>
      <c r="G76" s="117" t="s">
        <v>205</v>
      </c>
      <c r="H76" s="117" t="s">
        <v>401</v>
      </c>
      <c r="I76" s="117">
        <v>2.0</v>
      </c>
      <c r="J76" s="117">
        <v>1.0</v>
      </c>
      <c r="K76" s="117" t="str">
        <f t="shared" si="1"/>
        <v>Si</v>
      </c>
      <c r="L76" s="118" t="s">
        <v>287</v>
      </c>
      <c r="M76" s="119">
        <v>0.33</v>
      </c>
      <c r="N76" s="120">
        <v>0.0</v>
      </c>
      <c r="O76" s="121">
        <v>91.32</v>
      </c>
      <c r="P76" s="117">
        <v>1.0</v>
      </c>
      <c r="Q76" s="117">
        <f t="shared" si="2"/>
        <v>0</v>
      </c>
      <c r="R76" s="122">
        <f>+(IF(((M76*24)-P76)&lt;0,0,((M76*24)-P76)*'Estimación de pérdidas'!$F$72))*N76</f>
        <v>0</v>
      </c>
      <c r="S76" s="123" t="s">
        <v>117</v>
      </c>
      <c r="T76" s="124" t="s">
        <v>119</v>
      </c>
      <c r="U76" s="124">
        <f t="shared" si="3"/>
        <v>1</v>
      </c>
      <c r="V76" s="124">
        <v>1.0</v>
      </c>
      <c r="W76" s="124"/>
      <c r="X76" s="125"/>
      <c r="Y76" s="126"/>
      <c r="Z76" s="125">
        <f t="shared" si="4"/>
        <v>1</v>
      </c>
      <c r="AA76" s="127" t="str">
        <f t="shared" si="5"/>
        <v>Bajo</v>
      </c>
      <c r="AB76" s="128">
        <f t="shared" si="6"/>
        <v>4</v>
      </c>
      <c r="AC76" s="129">
        <f t="shared" si="7"/>
        <v>0.07589466384</v>
      </c>
    </row>
    <row r="77" ht="14.25" hidden="1" customHeight="1">
      <c r="A77" s="116" t="s">
        <v>403</v>
      </c>
      <c r="B77" s="117" t="s">
        <v>301</v>
      </c>
      <c r="C77" s="117" t="s">
        <v>404</v>
      </c>
      <c r="D77" s="117" t="s">
        <v>405</v>
      </c>
      <c r="E77" s="117" t="s">
        <v>406</v>
      </c>
      <c r="F77" s="117" t="s">
        <v>407</v>
      </c>
      <c r="G77" s="117" t="s">
        <v>408</v>
      </c>
      <c r="H77" s="117" t="s">
        <v>409</v>
      </c>
      <c r="I77" s="117">
        <v>1.0</v>
      </c>
      <c r="J77" s="117">
        <v>1.0</v>
      </c>
      <c r="K77" s="117" t="str">
        <f t="shared" si="1"/>
        <v>No</v>
      </c>
      <c r="L77" s="118" t="s">
        <v>116</v>
      </c>
      <c r="M77" s="119">
        <v>0.33</v>
      </c>
      <c r="N77" s="120">
        <v>0.0</v>
      </c>
      <c r="O77" s="121"/>
      <c r="P77" s="117">
        <v>0.0</v>
      </c>
      <c r="Q77" s="117">
        <f t="shared" si="2"/>
        <v>0</v>
      </c>
      <c r="R77" s="122">
        <f>+(IF(((M77*24)-P77)&lt;0,0,((M77*24)-P77)*'Estimación de pérdidas'!$F$72))*N77</f>
        <v>0</v>
      </c>
      <c r="S77" s="123" t="s">
        <v>272</v>
      </c>
      <c r="T77" s="124" t="s">
        <v>106</v>
      </c>
      <c r="U77" s="124">
        <f t="shared" si="3"/>
        <v>1</v>
      </c>
      <c r="V77" s="124">
        <v>1.0</v>
      </c>
      <c r="W77" s="124">
        <v>4.0</v>
      </c>
      <c r="X77" s="125"/>
      <c r="Y77" s="126"/>
      <c r="Z77" s="125">
        <f t="shared" si="4"/>
        <v>4</v>
      </c>
      <c r="AA77" s="127" t="str">
        <f t="shared" si="5"/>
        <v>Alto</v>
      </c>
      <c r="AB77" s="128">
        <f t="shared" si="6"/>
        <v>22</v>
      </c>
      <c r="AC77" s="129">
        <f t="shared" si="7"/>
        <v>0.3035786554</v>
      </c>
      <c r="AD77" s="130"/>
    </row>
    <row r="78" ht="14.25" hidden="1" customHeight="1">
      <c r="A78" s="116" t="s">
        <v>300</v>
      </c>
      <c r="B78" s="117" t="s">
        <v>331</v>
      </c>
      <c r="C78" s="117" t="s">
        <v>410</v>
      </c>
      <c r="D78" s="117" t="s">
        <v>411</v>
      </c>
      <c r="E78" s="117" t="s">
        <v>412</v>
      </c>
      <c r="F78" s="117" t="s">
        <v>413</v>
      </c>
      <c r="G78" s="117" t="s">
        <v>414</v>
      </c>
      <c r="H78" s="117" t="s">
        <v>415</v>
      </c>
      <c r="I78" s="117">
        <v>1.0</v>
      </c>
      <c r="J78" s="117">
        <v>1.0</v>
      </c>
      <c r="K78" s="117" t="str">
        <f t="shared" si="1"/>
        <v>No</v>
      </c>
      <c r="L78" s="118" t="s">
        <v>116</v>
      </c>
      <c r="M78" s="119">
        <v>0.25</v>
      </c>
      <c r="N78" s="120">
        <v>0.0</v>
      </c>
      <c r="O78" s="121"/>
      <c r="P78" s="117">
        <v>0.0</v>
      </c>
      <c r="Q78" s="117">
        <f t="shared" si="2"/>
        <v>0</v>
      </c>
      <c r="R78" s="122">
        <f>+(IF(((M78*24)-P78)&lt;0,0,((M78*24)-P78)*'Estimación de pérdidas'!$F$72))*N78</f>
        <v>0</v>
      </c>
      <c r="S78" s="123" t="s">
        <v>117</v>
      </c>
      <c r="T78" s="124" t="s">
        <v>119</v>
      </c>
      <c r="U78" s="124">
        <f t="shared" si="3"/>
        <v>1</v>
      </c>
      <c r="V78" s="124">
        <v>2.0</v>
      </c>
      <c r="W78" s="124"/>
      <c r="X78" s="125"/>
      <c r="Y78" s="126"/>
      <c r="Z78" s="125">
        <f t="shared" si="4"/>
        <v>2</v>
      </c>
      <c r="AA78" s="127" t="str">
        <f t="shared" si="5"/>
        <v>Moderado</v>
      </c>
      <c r="AB78" s="128">
        <f t="shared" si="6"/>
        <v>8</v>
      </c>
      <c r="AC78" s="129">
        <f t="shared" si="7"/>
        <v>0.12</v>
      </c>
      <c r="AD78" s="131"/>
    </row>
    <row r="79" ht="14.25" hidden="1" customHeight="1">
      <c r="A79" s="116" t="s">
        <v>300</v>
      </c>
      <c r="B79" s="117" t="s">
        <v>331</v>
      </c>
      <c r="C79" s="117" t="s">
        <v>416</v>
      </c>
      <c r="D79" s="117" t="s">
        <v>417</v>
      </c>
      <c r="E79" s="117" t="s">
        <v>416</v>
      </c>
      <c r="F79" s="117" t="s">
        <v>418</v>
      </c>
      <c r="G79" s="117" t="s">
        <v>165</v>
      </c>
      <c r="H79" s="117" t="s">
        <v>419</v>
      </c>
      <c r="I79" s="117">
        <v>1.0</v>
      </c>
      <c r="J79" s="117">
        <v>1.0</v>
      </c>
      <c r="K79" s="117" t="str">
        <f t="shared" si="1"/>
        <v>No</v>
      </c>
      <c r="L79" s="118" t="s">
        <v>116</v>
      </c>
      <c r="M79" s="119">
        <v>0.3333333333333333</v>
      </c>
      <c r="N79" s="120">
        <v>0.0</v>
      </c>
      <c r="O79" s="121"/>
      <c r="P79" s="117">
        <v>0.0</v>
      </c>
      <c r="Q79" s="117">
        <f t="shared" si="2"/>
        <v>0</v>
      </c>
      <c r="R79" s="122">
        <f>+(IF(((M79*24)-P79)&lt;0,0,((M79*24)-P79)*'Estimación de pérdidas'!$F$72))*N79</f>
        <v>0</v>
      </c>
      <c r="S79" s="123" t="s">
        <v>117</v>
      </c>
      <c r="T79" s="124" t="s">
        <v>118</v>
      </c>
      <c r="U79" s="124">
        <f t="shared" si="3"/>
        <v>1</v>
      </c>
      <c r="V79" s="124">
        <v>1.0</v>
      </c>
      <c r="W79" s="124"/>
      <c r="X79" s="125"/>
      <c r="Y79" s="126"/>
      <c r="Z79" s="125">
        <f t="shared" si="4"/>
        <v>1</v>
      </c>
      <c r="AA79" s="127" t="str">
        <f t="shared" si="5"/>
        <v>Bajo</v>
      </c>
      <c r="AB79" s="128">
        <f t="shared" si="6"/>
        <v>2</v>
      </c>
      <c r="AC79" s="129">
        <f t="shared" si="7"/>
        <v>0.05059644256</v>
      </c>
    </row>
    <row r="80" ht="14.25" hidden="1" customHeight="1">
      <c r="A80" s="116" t="s">
        <v>300</v>
      </c>
      <c r="B80" s="117" t="s">
        <v>331</v>
      </c>
      <c r="C80" s="117" t="s">
        <v>315</v>
      </c>
      <c r="D80" s="117" t="s">
        <v>420</v>
      </c>
      <c r="E80" s="117" t="s">
        <v>315</v>
      </c>
      <c r="F80" s="117" t="s">
        <v>421</v>
      </c>
      <c r="G80" s="117" t="s">
        <v>179</v>
      </c>
      <c r="H80" s="117" t="s">
        <v>422</v>
      </c>
      <c r="I80" s="117">
        <v>1.0</v>
      </c>
      <c r="J80" s="117">
        <v>1.0</v>
      </c>
      <c r="K80" s="117" t="str">
        <f t="shared" si="1"/>
        <v>No</v>
      </c>
      <c r="L80" s="118" t="s">
        <v>116</v>
      </c>
      <c r="M80" s="119">
        <v>0.33</v>
      </c>
      <c r="N80" s="120">
        <v>1.0</v>
      </c>
      <c r="O80" s="121">
        <v>91.32</v>
      </c>
      <c r="P80" s="117">
        <v>1.0</v>
      </c>
      <c r="Q80" s="117">
        <f t="shared" si="2"/>
        <v>6.92</v>
      </c>
      <c r="R80" s="122">
        <f>+(IF(((M80*24)-P80)&lt;0,0,((M80*24)-P80)*'Estimación de pérdidas'!$F$72))*N80</f>
        <v>399132.2784</v>
      </c>
      <c r="S80" s="123" t="s">
        <v>117</v>
      </c>
      <c r="T80" s="124" t="s">
        <v>119</v>
      </c>
      <c r="U80" s="124">
        <f t="shared" si="3"/>
        <v>3</v>
      </c>
      <c r="V80" s="124">
        <v>1.0</v>
      </c>
      <c r="W80" s="124"/>
      <c r="X80" s="125"/>
      <c r="Y80" s="126"/>
      <c r="Z80" s="125">
        <f t="shared" si="4"/>
        <v>3</v>
      </c>
      <c r="AA80" s="127" t="str">
        <f t="shared" si="5"/>
        <v>Moderado</v>
      </c>
      <c r="AB80" s="128">
        <f t="shared" si="6"/>
        <v>13</v>
      </c>
      <c r="AC80" s="129">
        <f t="shared" si="7"/>
        <v>0.1697056275</v>
      </c>
      <c r="AD80" s="131"/>
    </row>
    <row r="81" ht="14.25" hidden="1" customHeight="1">
      <c r="A81" s="116" t="s">
        <v>300</v>
      </c>
      <c r="B81" s="117" t="s">
        <v>331</v>
      </c>
      <c r="C81" s="117" t="s">
        <v>423</v>
      </c>
      <c r="D81" s="117" t="s">
        <v>424</v>
      </c>
      <c r="E81" s="117" t="s">
        <v>423</v>
      </c>
      <c r="F81" s="117" t="s">
        <v>425</v>
      </c>
      <c r="G81" s="117" t="s">
        <v>179</v>
      </c>
      <c r="H81" s="117" t="s">
        <v>426</v>
      </c>
      <c r="I81" s="117">
        <v>1.0</v>
      </c>
      <c r="J81" s="117">
        <v>1.0</v>
      </c>
      <c r="K81" s="117" t="str">
        <f t="shared" si="1"/>
        <v>No</v>
      </c>
      <c r="L81" s="118" t="s">
        <v>116</v>
      </c>
      <c r="M81" s="119">
        <v>0.33</v>
      </c>
      <c r="N81" s="120">
        <v>0.0</v>
      </c>
      <c r="O81" s="121"/>
      <c r="P81" s="117">
        <v>0.0</v>
      </c>
      <c r="Q81" s="117">
        <f t="shared" si="2"/>
        <v>0</v>
      </c>
      <c r="R81" s="122">
        <f>+(IF(((M81*24)-P81)&lt;0,0,((M81*24)-P81)*'Estimación de pérdidas'!$F$72))*N81</f>
        <v>0</v>
      </c>
      <c r="S81" s="123" t="s">
        <v>117</v>
      </c>
      <c r="T81" s="124" t="s">
        <v>119</v>
      </c>
      <c r="U81" s="124">
        <f t="shared" si="3"/>
        <v>1</v>
      </c>
      <c r="V81" s="124">
        <v>1.0</v>
      </c>
      <c r="W81" s="124"/>
      <c r="X81" s="125"/>
      <c r="Y81" s="126"/>
      <c r="Z81" s="125">
        <f t="shared" si="4"/>
        <v>1</v>
      </c>
      <c r="AA81" s="127" t="str">
        <f t="shared" si="5"/>
        <v>Bajo</v>
      </c>
      <c r="AB81" s="128">
        <f t="shared" si="6"/>
        <v>4</v>
      </c>
      <c r="AC81" s="129">
        <f t="shared" si="7"/>
        <v>0.07589466384</v>
      </c>
    </row>
    <row r="82" ht="14.25" hidden="1" customHeight="1">
      <c r="A82" s="116" t="s">
        <v>300</v>
      </c>
      <c r="B82" s="117" t="s">
        <v>331</v>
      </c>
      <c r="C82" s="117" t="s">
        <v>427</v>
      </c>
      <c r="D82" s="117" t="s">
        <v>428</v>
      </c>
      <c r="E82" s="117" t="s">
        <v>427</v>
      </c>
      <c r="F82" s="117" t="s">
        <v>429</v>
      </c>
      <c r="G82" s="117" t="s">
        <v>179</v>
      </c>
      <c r="H82" s="117" t="s">
        <v>430</v>
      </c>
      <c r="I82" s="117">
        <v>1.0</v>
      </c>
      <c r="J82" s="117">
        <v>1.0</v>
      </c>
      <c r="K82" s="117" t="str">
        <f t="shared" si="1"/>
        <v>No</v>
      </c>
      <c r="L82" s="118" t="s">
        <v>116</v>
      </c>
      <c r="M82" s="119">
        <v>0.3333333333333333</v>
      </c>
      <c r="N82" s="120">
        <v>1.0</v>
      </c>
      <c r="O82" s="121">
        <v>91.32</v>
      </c>
      <c r="P82" s="117">
        <v>1.0</v>
      </c>
      <c r="Q82" s="117">
        <f t="shared" si="2"/>
        <v>7</v>
      </c>
      <c r="R82" s="122">
        <f>+(IF(((M82*24)-P82)&lt;0,0,((M82*24)-P82)*'Estimación de pérdidas'!$F$72))*N82</f>
        <v>403746.5244</v>
      </c>
      <c r="S82" s="123" t="s">
        <v>117</v>
      </c>
      <c r="T82" s="124" t="s">
        <v>119</v>
      </c>
      <c r="U82" s="124">
        <f t="shared" si="3"/>
        <v>3</v>
      </c>
      <c r="V82" s="124">
        <v>1.0</v>
      </c>
      <c r="W82" s="124"/>
      <c r="X82" s="125"/>
      <c r="Y82" s="126"/>
      <c r="Z82" s="125">
        <f t="shared" si="4"/>
        <v>3</v>
      </c>
      <c r="AA82" s="127" t="str">
        <f t="shared" si="5"/>
        <v>Moderado</v>
      </c>
      <c r="AB82" s="128">
        <f t="shared" si="6"/>
        <v>13</v>
      </c>
      <c r="AC82" s="129">
        <f t="shared" si="7"/>
        <v>0.1697056275</v>
      </c>
      <c r="AD82" s="131"/>
    </row>
    <row r="83" ht="14.25" hidden="1" customHeight="1">
      <c r="A83" s="116" t="s">
        <v>300</v>
      </c>
      <c r="B83" s="117" t="s">
        <v>301</v>
      </c>
      <c r="C83" s="117" t="s">
        <v>332</v>
      </c>
      <c r="D83" s="117" t="s">
        <v>431</v>
      </c>
      <c r="E83" s="117" t="s">
        <v>432</v>
      </c>
      <c r="F83" s="117" t="s">
        <v>335</v>
      </c>
      <c r="G83" s="117" t="s">
        <v>336</v>
      </c>
      <c r="H83" s="117" t="s">
        <v>337</v>
      </c>
      <c r="I83" s="117">
        <v>1.0</v>
      </c>
      <c r="J83" s="117">
        <v>1.0</v>
      </c>
      <c r="K83" s="117" t="str">
        <f t="shared" si="1"/>
        <v>No</v>
      </c>
      <c r="L83" s="118" t="s">
        <v>116</v>
      </c>
      <c r="M83" s="119">
        <v>0.3333333333333333</v>
      </c>
      <c r="N83" s="120">
        <v>0.0</v>
      </c>
      <c r="O83" s="121">
        <v>91.32</v>
      </c>
      <c r="P83" s="117">
        <v>1.0</v>
      </c>
      <c r="Q83" s="117">
        <f t="shared" si="2"/>
        <v>0</v>
      </c>
      <c r="R83" s="122">
        <f>+(IF(((M83*24)-P83)&lt;0,0,((M83*24)-P83)*'Estimación de pérdidas'!$F$72))*N83</f>
        <v>0</v>
      </c>
      <c r="S83" s="123" t="s">
        <v>117</v>
      </c>
      <c r="T83" s="124" t="s">
        <v>118</v>
      </c>
      <c r="U83" s="124">
        <f t="shared" si="3"/>
        <v>1</v>
      </c>
      <c r="V83" s="124">
        <v>2.0</v>
      </c>
      <c r="W83" s="124"/>
      <c r="X83" s="125"/>
      <c r="Y83" s="126"/>
      <c r="Z83" s="125">
        <f t="shared" si="4"/>
        <v>2</v>
      </c>
      <c r="AA83" s="127" t="str">
        <f t="shared" si="5"/>
        <v>Bajo</v>
      </c>
      <c r="AB83" s="128">
        <f t="shared" si="6"/>
        <v>5</v>
      </c>
      <c r="AC83" s="129">
        <f t="shared" si="7"/>
        <v>0.08</v>
      </c>
    </row>
    <row r="84" ht="14.25" hidden="1" customHeight="1">
      <c r="A84" s="116" t="s">
        <v>300</v>
      </c>
      <c r="B84" s="117" t="s">
        <v>331</v>
      </c>
      <c r="C84" s="117" t="s">
        <v>433</v>
      </c>
      <c r="D84" s="117" t="s">
        <v>434</v>
      </c>
      <c r="E84" s="117" t="s">
        <v>433</v>
      </c>
      <c r="F84" s="117" t="s">
        <v>435</v>
      </c>
      <c r="G84" s="117" t="s">
        <v>188</v>
      </c>
      <c r="H84" s="117" t="s">
        <v>436</v>
      </c>
      <c r="I84" s="117">
        <v>1.0</v>
      </c>
      <c r="J84" s="117">
        <v>1.0</v>
      </c>
      <c r="K84" s="117" t="str">
        <f t="shared" si="1"/>
        <v>No</v>
      </c>
      <c r="L84" s="118" t="s">
        <v>116</v>
      </c>
      <c r="M84" s="119">
        <v>1.0</v>
      </c>
      <c r="N84" s="120">
        <v>0.25</v>
      </c>
      <c r="O84" s="121"/>
      <c r="P84" s="117">
        <v>12.0</v>
      </c>
      <c r="Q84" s="117">
        <f t="shared" si="2"/>
        <v>3</v>
      </c>
      <c r="R84" s="122">
        <f>+(IF(((M84*24)-P84)&lt;0,0,((M84*24)-P84)*'Estimación de pérdidas'!$F$72))*N84</f>
        <v>173034.2247</v>
      </c>
      <c r="S84" s="123" t="s">
        <v>117</v>
      </c>
      <c r="T84" s="124" t="s">
        <v>118</v>
      </c>
      <c r="U84" s="124">
        <f t="shared" si="3"/>
        <v>2</v>
      </c>
      <c r="V84" s="124">
        <v>2.0</v>
      </c>
      <c r="W84" s="124">
        <v>4.0</v>
      </c>
      <c r="X84" s="125"/>
      <c r="Y84" s="126"/>
      <c r="Z84" s="125">
        <f t="shared" si="4"/>
        <v>4</v>
      </c>
      <c r="AA84" s="127" t="str">
        <f t="shared" si="5"/>
        <v>Moderado</v>
      </c>
      <c r="AB84" s="128">
        <f t="shared" si="6"/>
        <v>14</v>
      </c>
      <c r="AC84" s="129">
        <f t="shared" si="7"/>
        <v>0.1752712184</v>
      </c>
      <c r="AD84" s="130"/>
    </row>
    <row r="85" ht="119.25" hidden="1" customHeight="1">
      <c r="A85" s="116" t="s">
        <v>300</v>
      </c>
      <c r="B85" s="117" t="s">
        <v>331</v>
      </c>
      <c r="C85" s="117" t="s">
        <v>437</v>
      </c>
      <c r="D85" s="117" t="s">
        <v>438</v>
      </c>
      <c r="E85" s="117" t="s">
        <v>439</v>
      </c>
      <c r="F85" s="117" t="s">
        <v>440</v>
      </c>
      <c r="G85" s="117" t="s">
        <v>441</v>
      </c>
      <c r="H85" s="117" t="s">
        <v>442</v>
      </c>
      <c r="I85" s="117">
        <v>14.0</v>
      </c>
      <c r="J85" s="117">
        <v>10.0</v>
      </c>
      <c r="K85" s="117" t="str">
        <f t="shared" si="1"/>
        <v>Si</v>
      </c>
      <c r="L85" s="118" t="s">
        <v>287</v>
      </c>
      <c r="M85" s="119">
        <v>0.5</v>
      </c>
      <c r="N85" s="120">
        <v>0.0</v>
      </c>
      <c r="O85" s="121">
        <v>91.32</v>
      </c>
      <c r="P85" s="117">
        <v>1.0</v>
      </c>
      <c r="Q85" s="117">
        <f t="shared" si="2"/>
        <v>0</v>
      </c>
      <c r="R85" s="122">
        <f>+(IF(((M85*24)-P85)&lt;0,0,((M85*24)-P85)*'Estimación de pérdidas'!$F$72))*N85</f>
        <v>0</v>
      </c>
      <c r="S85" s="123" t="s">
        <v>117</v>
      </c>
      <c r="T85" s="124" t="s">
        <v>99</v>
      </c>
      <c r="U85" s="124">
        <f t="shared" si="3"/>
        <v>1</v>
      </c>
      <c r="V85" s="124">
        <v>2.0</v>
      </c>
      <c r="W85" s="124"/>
      <c r="X85" s="125"/>
      <c r="Y85" s="126"/>
      <c r="Z85" s="125">
        <f t="shared" si="4"/>
        <v>2</v>
      </c>
      <c r="AA85" s="127" t="str">
        <f t="shared" si="5"/>
        <v>Moderado</v>
      </c>
      <c r="AB85" s="128">
        <f t="shared" si="6"/>
        <v>16</v>
      </c>
      <c r="AC85" s="129">
        <f t="shared" si="7"/>
        <v>0.2</v>
      </c>
      <c r="AD85" s="131"/>
    </row>
    <row r="86" ht="14.25" hidden="1" customHeight="1">
      <c r="A86" s="116" t="s">
        <v>300</v>
      </c>
      <c r="B86" s="117" t="s">
        <v>331</v>
      </c>
      <c r="C86" s="117" t="s">
        <v>443</v>
      </c>
      <c r="D86" s="117" t="s">
        <v>444</v>
      </c>
      <c r="E86" s="117" t="s">
        <v>443</v>
      </c>
      <c r="F86" s="117" t="s">
        <v>445</v>
      </c>
      <c r="G86" s="117" t="s">
        <v>165</v>
      </c>
      <c r="H86" s="117" t="s">
        <v>353</v>
      </c>
      <c r="I86" s="117">
        <v>1.0</v>
      </c>
      <c r="J86" s="117">
        <v>1.0</v>
      </c>
      <c r="K86" s="117" t="str">
        <f t="shared" si="1"/>
        <v>No</v>
      </c>
      <c r="L86" s="118" t="s">
        <v>116</v>
      </c>
      <c r="M86" s="119">
        <v>0.3333333333333333</v>
      </c>
      <c r="N86" s="120">
        <v>0.0</v>
      </c>
      <c r="O86" s="121"/>
      <c r="P86" s="117">
        <v>0.0</v>
      </c>
      <c r="Q86" s="117">
        <f t="shared" si="2"/>
        <v>0</v>
      </c>
      <c r="R86" s="122">
        <f>+(IF(((M86*24)-P86)&lt;0,0,((M86*24)-P86)*'Estimación de pérdidas'!$F$72))*N86</f>
        <v>0</v>
      </c>
      <c r="S86" s="123" t="s">
        <v>117</v>
      </c>
      <c r="T86" s="124" t="s">
        <v>118</v>
      </c>
      <c r="U86" s="124">
        <f t="shared" si="3"/>
        <v>1</v>
      </c>
      <c r="V86" s="124">
        <v>1.0</v>
      </c>
      <c r="W86" s="124"/>
      <c r="X86" s="125"/>
      <c r="Y86" s="126"/>
      <c r="Z86" s="125">
        <f t="shared" si="4"/>
        <v>1</v>
      </c>
      <c r="AA86" s="127" t="str">
        <f t="shared" si="5"/>
        <v>Bajo</v>
      </c>
      <c r="AB86" s="128">
        <f t="shared" si="6"/>
        <v>2</v>
      </c>
      <c r="AC86" s="129">
        <f t="shared" si="7"/>
        <v>0.05059644256</v>
      </c>
    </row>
    <row r="87" ht="14.25" hidden="1" customHeight="1">
      <c r="A87" s="116" t="s">
        <v>300</v>
      </c>
      <c r="B87" s="117" t="s">
        <v>331</v>
      </c>
      <c r="C87" s="117" t="s">
        <v>354</v>
      </c>
      <c r="D87" s="117" t="s">
        <v>446</v>
      </c>
      <c r="E87" s="117" t="s">
        <v>354</v>
      </c>
      <c r="F87" s="117" t="s">
        <v>447</v>
      </c>
      <c r="G87" s="117" t="s">
        <v>171</v>
      </c>
      <c r="H87" s="117" t="s">
        <v>172</v>
      </c>
      <c r="I87" s="117">
        <v>1.0</v>
      </c>
      <c r="J87" s="117">
        <v>1.0</v>
      </c>
      <c r="K87" s="117" t="str">
        <f t="shared" si="1"/>
        <v>No</v>
      </c>
      <c r="L87" s="118" t="s">
        <v>116</v>
      </c>
      <c r="M87" s="119">
        <v>0.3333333333333333</v>
      </c>
      <c r="N87" s="120">
        <v>0.0</v>
      </c>
      <c r="O87" s="121"/>
      <c r="P87" s="117">
        <v>0.0</v>
      </c>
      <c r="Q87" s="117">
        <f t="shared" si="2"/>
        <v>0</v>
      </c>
      <c r="R87" s="122">
        <f>+(IF(((M87*24)-P87)&lt;0,0,((M87*24)-P87)*'Estimación de pérdidas'!$F$72))*N87</f>
        <v>0</v>
      </c>
      <c r="S87" s="123" t="s">
        <v>117</v>
      </c>
      <c r="T87" s="124" t="s">
        <v>119</v>
      </c>
      <c r="U87" s="124">
        <f t="shared" si="3"/>
        <v>1</v>
      </c>
      <c r="V87" s="124">
        <v>1.0</v>
      </c>
      <c r="W87" s="124"/>
      <c r="X87" s="125"/>
      <c r="Y87" s="126"/>
      <c r="Z87" s="125">
        <f t="shared" si="4"/>
        <v>1</v>
      </c>
      <c r="AA87" s="127" t="str">
        <f t="shared" si="5"/>
        <v>Bajo</v>
      </c>
      <c r="AB87" s="128">
        <f t="shared" si="6"/>
        <v>4</v>
      </c>
      <c r="AC87" s="129">
        <f t="shared" si="7"/>
        <v>0.07589466384</v>
      </c>
    </row>
    <row r="88" ht="14.25" hidden="1" customHeight="1">
      <c r="A88" s="116" t="s">
        <v>300</v>
      </c>
      <c r="B88" s="117" t="s">
        <v>331</v>
      </c>
      <c r="C88" s="117" t="s">
        <v>448</v>
      </c>
      <c r="D88" s="117" t="s">
        <v>449</v>
      </c>
      <c r="E88" s="117" t="s">
        <v>448</v>
      </c>
      <c r="F88" s="117" t="s">
        <v>450</v>
      </c>
      <c r="G88" s="117" t="s">
        <v>369</v>
      </c>
      <c r="H88" s="117" t="s">
        <v>370</v>
      </c>
      <c r="I88" s="117">
        <v>1.0</v>
      </c>
      <c r="J88" s="117">
        <v>1.0</v>
      </c>
      <c r="K88" s="117" t="str">
        <f t="shared" si="1"/>
        <v>No</v>
      </c>
      <c r="L88" s="118" t="s">
        <v>116</v>
      </c>
      <c r="M88" s="119">
        <v>0.25</v>
      </c>
      <c r="N88" s="120">
        <v>0.0</v>
      </c>
      <c r="O88" s="121"/>
      <c r="P88" s="117">
        <v>0.0</v>
      </c>
      <c r="Q88" s="117">
        <f t="shared" si="2"/>
        <v>0</v>
      </c>
      <c r="R88" s="122">
        <f>+(IF(((M88*24)-P88)&lt;0,0,((M88*24)-P88)*'Estimación de pérdidas'!$F$72))*N88</f>
        <v>0</v>
      </c>
      <c r="S88" s="123" t="s">
        <v>117</v>
      </c>
      <c r="T88" s="124" t="s">
        <v>119</v>
      </c>
      <c r="U88" s="124">
        <f t="shared" si="3"/>
        <v>1</v>
      </c>
      <c r="V88" s="124">
        <v>1.0</v>
      </c>
      <c r="W88" s="124"/>
      <c r="X88" s="125"/>
      <c r="Y88" s="126"/>
      <c r="Z88" s="125">
        <f t="shared" si="4"/>
        <v>1</v>
      </c>
      <c r="AA88" s="127" t="str">
        <f t="shared" si="5"/>
        <v>Bajo</v>
      </c>
      <c r="AB88" s="128">
        <f t="shared" si="6"/>
        <v>4</v>
      </c>
      <c r="AC88" s="129">
        <f t="shared" si="7"/>
        <v>0.07589466384</v>
      </c>
    </row>
    <row r="89" ht="14.25" hidden="1" customHeight="1">
      <c r="A89" s="116" t="s">
        <v>300</v>
      </c>
      <c r="B89" s="117" t="s">
        <v>331</v>
      </c>
      <c r="C89" s="117" t="s">
        <v>451</v>
      </c>
      <c r="D89" s="117" t="s">
        <v>452</v>
      </c>
      <c r="E89" s="117" t="s">
        <v>451</v>
      </c>
      <c r="F89" s="117" t="s">
        <v>453</v>
      </c>
      <c r="G89" s="117" t="s">
        <v>385</v>
      </c>
      <c r="H89" s="117" t="s">
        <v>454</v>
      </c>
      <c r="I89" s="117">
        <v>1.0</v>
      </c>
      <c r="J89" s="117">
        <v>1.0</v>
      </c>
      <c r="K89" s="117" t="str">
        <f t="shared" si="1"/>
        <v>No</v>
      </c>
      <c r="L89" s="118" t="s">
        <v>116</v>
      </c>
      <c r="M89" s="119">
        <v>0.25</v>
      </c>
      <c r="N89" s="120">
        <v>0.25</v>
      </c>
      <c r="O89" s="121"/>
      <c r="P89" s="117">
        <v>0.0</v>
      </c>
      <c r="Q89" s="117">
        <f t="shared" si="2"/>
        <v>1.5</v>
      </c>
      <c r="R89" s="122">
        <f>+(IF(((M89*24)-P89)&lt;0,0,((M89*24)-P89)*'Estimación de pérdidas'!$F$72))*N89</f>
        <v>86517.11237</v>
      </c>
      <c r="S89" s="123" t="s">
        <v>117</v>
      </c>
      <c r="T89" s="124" t="s">
        <v>119</v>
      </c>
      <c r="U89" s="124">
        <f t="shared" si="3"/>
        <v>2</v>
      </c>
      <c r="V89" s="124">
        <v>2.0</v>
      </c>
      <c r="W89" s="124"/>
      <c r="X89" s="125"/>
      <c r="Y89" s="126"/>
      <c r="Z89" s="125">
        <f t="shared" si="4"/>
        <v>2</v>
      </c>
      <c r="AA89" s="127" t="str">
        <f t="shared" si="5"/>
        <v>Moderado</v>
      </c>
      <c r="AB89" s="128">
        <f t="shared" si="6"/>
        <v>8</v>
      </c>
      <c r="AC89" s="129">
        <f t="shared" si="7"/>
        <v>0.1517893277</v>
      </c>
      <c r="AD89" s="131"/>
    </row>
    <row r="90" ht="14.25" hidden="1" customHeight="1">
      <c r="A90" s="116" t="s">
        <v>300</v>
      </c>
      <c r="B90" s="117" t="s">
        <v>331</v>
      </c>
      <c r="C90" s="117" t="s">
        <v>455</v>
      </c>
      <c r="D90" s="117" t="s">
        <v>456</v>
      </c>
      <c r="E90" s="117" t="s">
        <v>457</v>
      </c>
      <c r="F90" s="117" t="s">
        <v>458</v>
      </c>
      <c r="G90" s="117" t="s">
        <v>380</v>
      </c>
      <c r="H90" s="117" t="s">
        <v>459</v>
      </c>
      <c r="I90" s="117">
        <v>1.0</v>
      </c>
      <c r="J90" s="117">
        <v>1.0</v>
      </c>
      <c r="K90" s="117" t="str">
        <f t="shared" si="1"/>
        <v>No</v>
      </c>
      <c r="L90" s="118" t="s">
        <v>116</v>
      </c>
      <c r="M90" s="119">
        <v>0.5</v>
      </c>
      <c r="N90" s="120">
        <v>1.0</v>
      </c>
      <c r="O90" s="121"/>
      <c r="P90" s="117">
        <v>0.0</v>
      </c>
      <c r="Q90" s="117">
        <f t="shared" si="2"/>
        <v>12</v>
      </c>
      <c r="R90" s="122">
        <f>+(IF(((M90*24)-P90)&lt;0,0,((M90*24)-P90)*'Estimación de pérdidas'!$F$72))*N90</f>
        <v>692136.899</v>
      </c>
      <c r="S90" s="123" t="s">
        <v>117</v>
      </c>
      <c r="T90" s="124" t="s">
        <v>118</v>
      </c>
      <c r="U90" s="124">
        <f t="shared" si="3"/>
        <v>4</v>
      </c>
      <c r="V90" s="124">
        <v>2.0</v>
      </c>
      <c r="W90" s="124"/>
      <c r="X90" s="125"/>
      <c r="Y90" s="126"/>
      <c r="Z90" s="125">
        <f t="shared" si="4"/>
        <v>4</v>
      </c>
      <c r="AA90" s="127" t="str">
        <f t="shared" si="5"/>
        <v>Moderado</v>
      </c>
      <c r="AB90" s="128">
        <f t="shared" si="6"/>
        <v>14</v>
      </c>
      <c r="AC90" s="129">
        <f t="shared" si="7"/>
        <v>0.16</v>
      </c>
      <c r="AD90" s="130"/>
    </row>
    <row r="91" ht="14.25" hidden="1" customHeight="1">
      <c r="A91" s="116" t="s">
        <v>300</v>
      </c>
      <c r="B91" s="117" t="s">
        <v>331</v>
      </c>
      <c r="C91" s="117" t="s">
        <v>460</v>
      </c>
      <c r="D91" s="117" t="s">
        <v>461</v>
      </c>
      <c r="E91" s="117" t="s">
        <v>462</v>
      </c>
      <c r="F91" s="117" t="s">
        <v>463</v>
      </c>
      <c r="G91" s="117" t="s">
        <v>390</v>
      </c>
      <c r="H91" s="117" t="s">
        <v>464</v>
      </c>
      <c r="I91" s="117">
        <v>1.0</v>
      </c>
      <c r="J91" s="117">
        <v>1.0</v>
      </c>
      <c r="K91" s="117" t="str">
        <f t="shared" si="1"/>
        <v>No</v>
      </c>
      <c r="L91" s="118" t="s">
        <v>116</v>
      </c>
      <c r="M91" s="119">
        <v>2.0</v>
      </c>
      <c r="N91" s="120">
        <v>1.0</v>
      </c>
      <c r="O91" s="121">
        <v>91.32</v>
      </c>
      <c r="P91" s="117">
        <v>1.0</v>
      </c>
      <c r="Q91" s="117">
        <f t="shared" si="2"/>
        <v>47</v>
      </c>
      <c r="R91" s="122">
        <f>+(IF(((M91*24)-P91)&lt;0,0,((M91*24)-P91)*'Estimación de pérdidas'!$F$72))*N91</f>
        <v>2710869.521</v>
      </c>
      <c r="S91" s="123" t="s">
        <v>117</v>
      </c>
      <c r="T91" s="124" t="s">
        <v>118</v>
      </c>
      <c r="U91" s="124">
        <f t="shared" si="3"/>
        <v>5</v>
      </c>
      <c r="V91" s="124">
        <v>5.0</v>
      </c>
      <c r="W91" s="124"/>
      <c r="X91" s="125"/>
      <c r="Y91" s="126"/>
      <c r="Z91" s="125">
        <f t="shared" si="4"/>
        <v>5</v>
      </c>
      <c r="AA91" s="127" t="str">
        <f t="shared" si="5"/>
        <v>Alto</v>
      </c>
      <c r="AB91" s="128">
        <f t="shared" si="6"/>
        <v>19</v>
      </c>
      <c r="AC91" s="129">
        <f t="shared" si="7"/>
        <v>0.2529822128</v>
      </c>
      <c r="AD91" s="130"/>
    </row>
    <row r="92" ht="14.25" hidden="1" customHeight="1">
      <c r="A92" s="116" t="s">
        <v>300</v>
      </c>
      <c r="B92" s="117" t="s">
        <v>331</v>
      </c>
      <c r="C92" s="117" t="s">
        <v>465</v>
      </c>
      <c r="D92" s="117" t="s">
        <v>466</v>
      </c>
      <c r="E92" s="117" t="s">
        <v>465</v>
      </c>
      <c r="F92" s="117" t="s">
        <v>467</v>
      </c>
      <c r="G92" s="117" t="s">
        <v>205</v>
      </c>
      <c r="H92" s="117" t="s">
        <v>468</v>
      </c>
      <c r="I92" s="117">
        <v>1.0</v>
      </c>
      <c r="J92" s="117">
        <v>1.0</v>
      </c>
      <c r="K92" s="117" t="str">
        <f t="shared" si="1"/>
        <v>No</v>
      </c>
      <c r="L92" s="118" t="s">
        <v>116</v>
      </c>
      <c r="M92" s="119">
        <v>0.25</v>
      </c>
      <c r="N92" s="120">
        <v>0.0</v>
      </c>
      <c r="O92" s="121"/>
      <c r="P92" s="117">
        <v>0.0</v>
      </c>
      <c r="Q92" s="117">
        <f t="shared" si="2"/>
        <v>0</v>
      </c>
      <c r="R92" s="122">
        <f>+(IF(((M92*24)-P92)&lt;0,0,((M92*24)-P92)*'Estimación de pérdidas'!$F$72))*N92</f>
        <v>0</v>
      </c>
      <c r="S92" s="123" t="s">
        <v>117</v>
      </c>
      <c r="T92" s="124" t="s">
        <v>106</v>
      </c>
      <c r="U92" s="124">
        <f t="shared" si="3"/>
        <v>1</v>
      </c>
      <c r="V92" s="124">
        <v>1.0</v>
      </c>
      <c r="W92" s="124"/>
      <c r="X92" s="125"/>
      <c r="Y92" s="126"/>
      <c r="Z92" s="125">
        <f t="shared" si="4"/>
        <v>1</v>
      </c>
      <c r="AA92" s="127" t="str">
        <f t="shared" si="5"/>
        <v>Bajo</v>
      </c>
      <c r="AB92" s="128">
        <f t="shared" si="6"/>
        <v>7</v>
      </c>
      <c r="AC92" s="129">
        <f t="shared" si="7"/>
        <v>0.1011928851</v>
      </c>
    </row>
    <row r="93" ht="14.25" hidden="1" customHeight="1">
      <c r="A93" s="116" t="s">
        <v>300</v>
      </c>
      <c r="B93" s="117" t="s">
        <v>331</v>
      </c>
      <c r="C93" s="117" t="s">
        <v>469</v>
      </c>
      <c r="D93" s="117" t="s">
        <v>470</v>
      </c>
      <c r="E93" s="117" t="s">
        <v>469</v>
      </c>
      <c r="F93" s="117" t="s">
        <v>471</v>
      </c>
      <c r="G93" s="117" t="s">
        <v>472</v>
      </c>
      <c r="H93" s="117" t="s">
        <v>473</v>
      </c>
      <c r="I93" s="117">
        <v>1.0</v>
      </c>
      <c r="J93" s="117">
        <v>1.0</v>
      </c>
      <c r="K93" s="117" t="str">
        <f t="shared" si="1"/>
        <v>No</v>
      </c>
      <c r="L93" s="118" t="s">
        <v>116</v>
      </c>
      <c r="M93" s="119">
        <v>0.25</v>
      </c>
      <c r="N93" s="120">
        <v>0.0</v>
      </c>
      <c r="O93" s="121"/>
      <c r="P93" s="117">
        <v>0.0</v>
      </c>
      <c r="Q93" s="117">
        <f t="shared" si="2"/>
        <v>0</v>
      </c>
      <c r="R93" s="122">
        <f>+(IF(((M93*24)-P93)&lt;0,0,((M93*24)-P93)*'Estimación de pérdidas'!$F$72))*N93</f>
        <v>0</v>
      </c>
      <c r="S93" s="123" t="s">
        <v>117</v>
      </c>
      <c r="T93" s="124" t="s">
        <v>119</v>
      </c>
      <c r="U93" s="124">
        <f t="shared" si="3"/>
        <v>1</v>
      </c>
      <c r="V93" s="124">
        <v>1.0</v>
      </c>
      <c r="W93" s="124"/>
      <c r="X93" s="125"/>
      <c r="Y93" s="126"/>
      <c r="Z93" s="125">
        <f t="shared" si="4"/>
        <v>1</v>
      </c>
      <c r="AA93" s="127" t="str">
        <f t="shared" si="5"/>
        <v>Bajo</v>
      </c>
      <c r="AB93" s="128">
        <f t="shared" si="6"/>
        <v>4</v>
      </c>
      <c r="AC93" s="129">
        <f t="shared" si="7"/>
        <v>0.07589466384</v>
      </c>
    </row>
    <row r="94" ht="14.25" hidden="1" customHeight="1">
      <c r="A94" s="116" t="s">
        <v>300</v>
      </c>
      <c r="B94" s="117" t="s">
        <v>331</v>
      </c>
      <c r="C94" s="117" t="s">
        <v>474</v>
      </c>
      <c r="D94" s="117" t="s">
        <v>475</v>
      </c>
      <c r="E94" s="117" t="s">
        <v>474</v>
      </c>
      <c r="F94" s="117" t="s">
        <v>476</v>
      </c>
      <c r="G94" s="117" t="s">
        <v>477</v>
      </c>
      <c r="H94" s="117" t="s">
        <v>478</v>
      </c>
      <c r="I94" s="117">
        <v>2.0</v>
      </c>
      <c r="J94" s="117">
        <v>1.0</v>
      </c>
      <c r="K94" s="117" t="str">
        <f t="shared" si="1"/>
        <v>Si</v>
      </c>
      <c r="L94" s="118" t="s">
        <v>287</v>
      </c>
      <c r="M94" s="119">
        <v>0.4166666666666667</v>
      </c>
      <c r="N94" s="120">
        <v>0.0</v>
      </c>
      <c r="O94" s="121">
        <v>91.32</v>
      </c>
      <c r="P94" s="117">
        <v>1.0</v>
      </c>
      <c r="Q94" s="117">
        <f t="shared" si="2"/>
        <v>0</v>
      </c>
      <c r="R94" s="122">
        <f>+(IF(((M94*24)-P94)&lt;0,0,((M94*24)-P94)*'Estimación de pérdidas'!$F$72))*N94</f>
        <v>0</v>
      </c>
      <c r="S94" s="123" t="s">
        <v>117</v>
      </c>
      <c r="T94" s="124" t="s">
        <v>119</v>
      </c>
      <c r="U94" s="124">
        <f t="shared" si="3"/>
        <v>1</v>
      </c>
      <c r="V94" s="124">
        <v>3.0</v>
      </c>
      <c r="W94" s="124"/>
      <c r="X94" s="125"/>
      <c r="Y94" s="126"/>
      <c r="Z94" s="125">
        <f t="shared" si="4"/>
        <v>3</v>
      </c>
      <c r="AA94" s="127" t="str">
        <f t="shared" si="5"/>
        <v>Moderado</v>
      </c>
      <c r="AB94" s="128">
        <f t="shared" si="6"/>
        <v>13</v>
      </c>
      <c r="AC94" s="129">
        <f t="shared" si="7"/>
        <v>0.1697056275</v>
      </c>
    </row>
    <row r="95" ht="14.25" hidden="1" customHeight="1">
      <c r="A95" s="116" t="s">
        <v>300</v>
      </c>
      <c r="B95" s="117" t="s">
        <v>331</v>
      </c>
      <c r="C95" s="117" t="s">
        <v>474</v>
      </c>
      <c r="D95" s="117" t="s">
        <v>479</v>
      </c>
      <c r="E95" s="117" t="s">
        <v>474</v>
      </c>
      <c r="F95" s="117" t="s">
        <v>476</v>
      </c>
      <c r="G95" s="117" t="s">
        <v>477</v>
      </c>
      <c r="H95" s="117" t="s">
        <v>478</v>
      </c>
      <c r="I95" s="117">
        <v>2.0</v>
      </c>
      <c r="J95" s="117">
        <v>1.0</v>
      </c>
      <c r="K95" s="117" t="str">
        <f t="shared" si="1"/>
        <v>Si</v>
      </c>
      <c r="L95" s="118" t="s">
        <v>287</v>
      </c>
      <c r="M95" s="119">
        <v>0.4166666666666667</v>
      </c>
      <c r="N95" s="120">
        <v>0.0</v>
      </c>
      <c r="O95" s="121">
        <v>91.32</v>
      </c>
      <c r="P95" s="117">
        <v>1.0</v>
      </c>
      <c r="Q95" s="117">
        <f t="shared" si="2"/>
        <v>0</v>
      </c>
      <c r="R95" s="122">
        <f>+(IF(((M95*24)-P95)&lt;0,0,((M95*24)-P95)*'Estimación de pérdidas'!$F$72))*N95</f>
        <v>0</v>
      </c>
      <c r="S95" s="123" t="s">
        <v>117</v>
      </c>
      <c r="T95" s="124" t="s">
        <v>119</v>
      </c>
      <c r="U95" s="124">
        <f t="shared" si="3"/>
        <v>1</v>
      </c>
      <c r="V95" s="124">
        <v>3.0</v>
      </c>
      <c r="W95" s="124"/>
      <c r="X95" s="125"/>
      <c r="Y95" s="126"/>
      <c r="Z95" s="125">
        <f t="shared" si="4"/>
        <v>3</v>
      </c>
      <c r="AA95" s="127" t="str">
        <f t="shared" si="5"/>
        <v>Moderado</v>
      </c>
      <c r="AB95" s="128">
        <f t="shared" si="6"/>
        <v>13</v>
      </c>
      <c r="AC95" s="129">
        <f t="shared" si="7"/>
        <v>0.1697056275</v>
      </c>
    </row>
    <row r="96" ht="14.25" hidden="1" customHeight="1">
      <c r="A96" s="116" t="s">
        <v>480</v>
      </c>
      <c r="B96" s="117" t="s">
        <v>481</v>
      </c>
      <c r="C96" s="117" t="s">
        <v>482</v>
      </c>
      <c r="D96" s="117" t="s">
        <v>483</v>
      </c>
      <c r="E96" s="117" t="s">
        <v>484</v>
      </c>
      <c r="F96" s="117" t="s">
        <v>485</v>
      </c>
      <c r="G96" s="117" t="s">
        <v>205</v>
      </c>
      <c r="H96" s="117" t="s">
        <v>486</v>
      </c>
      <c r="I96" s="117">
        <v>2.0</v>
      </c>
      <c r="J96" s="117">
        <v>1.0</v>
      </c>
      <c r="K96" s="117" t="str">
        <f t="shared" si="1"/>
        <v>Si</v>
      </c>
      <c r="L96" s="118" t="s">
        <v>287</v>
      </c>
      <c r="M96" s="119">
        <v>1.0</v>
      </c>
      <c r="N96" s="120">
        <v>0.0</v>
      </c>
      <c r="O96" s="121">
        <v>91.32</v>
      </c>
      <c r="P96" s="117">
        <v>1.0</v>
      </c>
      <c r="Q96" s="117">
        <f t="shared" si="2"/>
        <v>0</v>
      </c>
      <c r="R96" s="122">
        <f>+(IF(((M96*24)-P96)&lt;0,0,((M96*24)-P96)*'Estimación de pérdidas'!$F$72))*N96</f>
        <v>0</v>
      </c>
      <c r="S96" s="123" t="s">
        <v>117</v>
      </c>
      <c r="T96" s="124" t="s">
        <v>106</v>
      </c>
      <c r="U96" s="124">
        <f t="shared" si="3"/>
        <v>1</v>
      </c>
      <c r="V96" s="124">
        <v>2.0</v>
      </c>
      <c r="W96" s="124"/>
      <c r="X96" s="125"/>
      <c r="Y96" s="126"/>
      <c r="Z96" s="125">
        <f t="shared" si="4"/>
        <v>2</v>
      </c>
      <c r="AA96" s="127" t="str">
        <f t="shared" si="5"/>
        <v>Moderado</v>
      </c>
      <c r="AB96" s="128">
        <f t="shared" si="6"/>
        <v>12</v>
      </c>
      <c r="AC96" s="129">
        <f t="shared" si="7"/>
        <v>0.16</v>
      </c>
      <c r="AD96" s="131"/>
    </row>
    <row r="97" ht="14.25" hidden="1" customHeight="1">
      <c r="A97" s="116" t="s">
        <v>480</v>
      </c>
      <c r="B97" s="117" t="s">
        <v>481</v>
      </c>
      <c r="C97" s="117" t="s">
        <v>482</v>
      </c>
      <c r="D97" s="117" t="s">
        <v>487</v>
      </c>
      <c r="E97" s="117" t="s">
        <v>484</v>
      </c>
      <c r="F97" s="117" t="s">
        <v>485</v>
      </c>
      <c r="G97" s="117" t="s">
        <v>205</v>
      </c>
      <c r="H97" s="117" t="s">
        <v>486</v>
      </c>
      <c r="I97" s="117">
        <v>2.0</v>
      </c>
      <c r="J97" s="117">
        <v>1.0</v>
      </c>
      <c r="K97" s="117" t="str">
        <f t="shared" si="1"/>
        <v>Si</v>
      </c>
      <c r="L97" s="118" t="s">
        <v>287</v>
      </c>
      <c r="M97" s="119">
        <v>1.0</v>
      </c>
      <c r="N97" s="120">
        <v>0.0</v>
      </c>
      <c r="O97" s="121">
        <v>91.32</v>
      </c>
      <c r="P97" s="117">
        <v>1.0</v>
      </c>
      <c r="Q97" s="117">
        <f t="shared" si="2"/>
        <v>0</v>
      </c>
      <c r="R97" s="122">
        <f>+(IF(((M97*24)-P97)&lt;0,0,((M97*24)-P97)*'Estimación de pérdidas'!$F$72))*N97</f>
        <v>0</v>
      </c>
      <c r="S97" s="123" t="s">
        <v>117</v>
      </c>
      <c r="T97" s="124" t="s">
        <v>106</v>
      </c>
      <c r="U97" s="124">
        <f t="shared" si="3"/>
        <v>1</v>
      </c>
      <c r="V97" s="124">
        <v>2.0</v>
      </c>
      <c r="W97" s="124"/>
      <c r="X97" s="125"/>
      <c r="Y97" s="126"/>
      <c r="Z97" s="125">
        <f t="shared" si="4"/>
        <v>2</v>
      </c>
      <c r="AA97" s="127" t="str">
        <f t="shared" si="5"/>
        <v>Moderado</v>
      </c>
      <c r="AB97" s="128">
        <f t="shared" si="6"/>
        <v>12</v>
      </c>
      <c r="AC97" s="129">
        <f t="shared" si="7"/>
        <v>0.16</v>
      </c>
      <c r="AD97" s="131"/>
    </row>
    <row r="98" ht="14.25" hidden="1" customHeight="1">
      <c r="A98" s="116" t="s">
        <v>480</v>
      </c>
      <c r="B98" s="117" t="s">
        <v>481</v>
      </c>
      <c r="C98" s="117" t="s">
        <v>488</v>
      </c>
      <c r="D98" s="117" t="s">
        <v>489</v>
      </c>
      <c r="E98" s="117" t="s">
        <v>488</v>
      </c>
      <c r="F98" s="117" t="s">
        <v>490</v>
      </c>
      <c r="G98" s="117" t="s">
        <v>205</v>
      </c>
      <c r="H98" s="117" t="s">
        <v>491</v>
      </c>
      <c r="I98" s="117">
        <v>1.0</v>
      </c>
      <c r="J98" s="117">
        <v>1.0</v>
      </c>
      <c r="K98" s="117" t="str">
        <f t="shared" si="1"/>
        <v>No</v>
      </c>
      <c r="L98" s="118" t="s">
        <v>116</v>
      </c>
      <c r="M98" s="119">
        <v>0.33</v>
      </c>
      <c r="N98" s="120">
        <v>0.0</v>
      </c>
      <c r="O98" s="121"/>
      <c r="P98" s="117">
        <v>0.0</v>
      </c>
      <c r="Q98" s="117">
        <f t="shared" si="2"/>
        <v>0</v>
      </c>
      <c r="R98" s="122">
        <f>+(IF(((M98*24)-P98)&lt;0,0,((M98*24)-P98)*'Estimación de pérdidas'!$F$72))*N98</f>
        <v>0</v>
      </c>
      <c r="S98" s="123" t="s">
        <v>117</v>
      </c>
      <c r="T98" s="124" t="s">
        <v>119</v>
      </c>
      <c r="U98" s="124">
        <f t="shared" si="3"/>
        <v>1</v>
      </c>
      <c r="V98" s="124">
        <v>1.0</v>
      </c>
      <c r="W98" s="124"/>
      <c r="X98" s="125"/>
      <c r="Y98" s="126"/>
      <c r="Z98" s="125">
        <f t="shared" si="4"/>
        <v>1</v>
      </c>
      <c r="AA98" s="127" t="str">
        <f t="shared" si="5"/>
        <v>Bajo</v>
      </c>
      <c r="AB98" s="128">
        <f t="shared" si="6"/>
        <v>4</v>
      </c>
      <c r="AC98" s="129">
        <f t="shared" si="7"/>
        <v>0.07589466384</v>
      </c>
    </row>
    <row r="99" ht="14.25" hidden="1" customHeight="1">
      <c r="A99" s="116" t="s">
        <v>480</v>
      </c>
      <c r="B99" s="117" t="s">
        <v>481</v>
      </c>
      <c r="C99" s="117" t="s">
        <v>492</v>
      </c>
      <c r="D99" s="117" t="s">
        <v>493</v>
      </c>
      <c r="E99" s="117" t="s">
        <v>494</v>
      </c>
      <c r="F99" s="117" t="s">
        <v>495</v>
      </c>
      <c r="G99" s="117" t="s">
        <v>472</v>
      </c>
      <c r="H99" s="117" t="s">
        <v>496</v>
      </c>
      <c r="I99" s="117">
        <v>1.0</v>
      </c>
      <c r="J99" s="117">
        <v>1.0</v>
      </c>
      <c r="K99" s="117" t="str">
        <f t="shared" si="1"/>
        <v>No</v>
      </c>
      <c r="L99" s="118" t="s">
        <v>116</v>
      </c>
      <c r="M99" s="119">
        <v>0.25</v>
      </c>
      <c r="N99" s="120">
        <v>0.0</v>
      </c>
      <c r="O99" s="121"/>
      <c r="P99" s="117">
        <v>0.0</v>
      </c>
      <c r="Q99" s="117">
        <f t="shared" si="2"/>
        <v>0</v>
      </c>
      <c r="R99" s="122">
        <f>+(IF(((M99*24)-P99)&lt;0,0,((M99*24)-P99)*'Estimación de pérdidas'!$F$72))*N99</f>
        <v>0</v>
      </c>
      <c r="S99" s="123" t="s">
        <v>117</v>
      </c>
      <c r="T99" s="124" t="s">
        <v>119</v>
      </c>
      <c r="U99" s="124">
        <f t="shared" si="3"/>
        <v>1</v>
      </c>
      <c r="V99" s="124">
        <v>1.0</v>
      </c>
      <c r="W99" s="124"/>
      <c r="X99" s="125"/>
      <c r="Y99" s="126"/>
      <c r="Z99" s="125">
        <f t="shared" si="4"/>
        <v>1</v>
      </c>
      <c r="AA99" s="127" t="str">
        <f t="shared" si="5"/>
        <v>Bajo</v>
      </c>
      <c r="AB99" s="128">
        <f t="shared" si="6"/>
        <v>4</v>
      </c>
      <c r="AC99" s="129">
        <f t="shared" si="7"/>
        <v>0.07589466384</v>
      </c>
    </row>
    <row r="100" ht="14.25" hidden="1" customHeight="1">
      <c r="A100" s="116" t="s">
        <v>480</v>
      </c>
      <c r="B100" s="117" t="s">
        <v>481</v>
      </c>
      <c r="C100" s="117" t="s">
        <v>497</v>
      </c>
      <c r="D100" s="117" t="s">
        <v>498</v>
      </c>
      <c r="E100" s="117" t="s">
        <v>499</v>
      </c>
      <c r="F100" s="117" t="s">
        <v>500</v>
      </c>
      <c r="G100" s="117" t="s">
        <v>472</v>
      </c>
      <c r="H100" s="117" t="s">
        <v>496</v>
      </c>
      <c r="I100" s="117">
        <v>1.0</v>
      </c>
      <c r="J100" s="117">
        <v>1.0</v>
      </c>
      <c r="K100" s="117" t="str">
        <f t="shared" si="1"/>
        <v>No</v>
      </c>
      <c r="L100" s="118" t="s">
        <v>116</v>
      </c>
      <c r="M100" s="119">
        <v>0.3333333333333333</v>
      </c>
      <c r="N100" s="120">
        <v>0.0</v>
      </c>
      <c r="O100" s="121"/>
      <c r="P100" s="117">
        <v>0.0</v>
      </c>
      <c r="Q100" s="117">
        <f t="shared" si="2"/>
        <v>0</v>
      </c>
      <c r="R100" s="122">
        <f>+(IF(((M100*24)-P100)&lt;0,0,((M100*24)-P100)*'Estimación de pérdidas'!$F$72))*N100</f>
        <v>0</v>
      </c>
      <c r="S100" s="123" t="s">
        <v>117</v>
      </c>
      <c r="T100" s="124" t="s">
        <v>119</v>
      </c>
      <c r="U100" s="124">
        <f t="shared" si="3"/>
        <v>1</v>
      </c>
      <c r="V100" s="124">
        <v>1.0</v>
      </c>
      <c r="W100" s="124"/>
      <c r="X100" s="125"/>
      <c r="Y100" s="126"/>
      <c r="Z100" s="125">
        <f t="shared" si="4"/>
        <v>1</v>
      </c>
      <c r="AA100" s="127" t="str">
        <f t="shared" si="5"/>
        <v>Bajo</v>
      </c>
      <c r="AB100" s="128">
        <f t="shared" si="6"/>
        <v>4</v>
      </c>
      <c r="AC100" s="129">
        <f t="shared" si="7"/>
        <v>0.07589466384</v>
      </c>
    </row>
    <row r="101" ht="14.25" hidden="1" customHeight="1">
      <c r="A101" s="116" t="s">
        <v>480</v>
      </c>
      <c r="B101" s="117" t="s">
        <v>481</v>
      </c>
      <c r="C101" s="117" t="s">
        <v>501</v>
      </c>
      <c r="D101" s="117" t="s">
        <v>502</v>
      </c>
      <c r="E101" s="117" t="s">
        <v>503</v>
      </c>
      <c r="F101" s="117" t="s">
        <v>504</v>
      </c>
      <c r="G101" s="117" t="s">
        <v>472</v>
      </c>
      <c r="H101" s="117" t="s">
        <v>496</v>
      </c>
      <c r="I101" s="117">
        <v>1.0</v>
      </c>
      <c r="J101" s="117">
        <v>1.0</v>
      </c>
      <c r="K101" s="117" t="str">
        <f t="shared" si="1"/>
        <v>No</v>
      </c>
      <c r="L101" s="118" t="s">
        <v>116</v>
      </c>
      <c r="M101" s="119">
        <v>0.3333333333333333</v>
      </c>
      <c r="N101" s="120">
        <v>0.0</v>
      </c>
      <c r="O101" s="121"/>
      <c r="P101" s="117">
        <v>0.0</v>
      </c>
      <c r="Q101" s="117">
        <f t="shared" si="2"/>
        <v>0</v>
      </c>
      <c r="R101" s="122">
        <f>+(IF(((M101*24)-P101)&lt;0,0,((M101*24)-P101)*'Estimación de pérdidas'!$F$72))*N101</f>
        <v>0</v>
      </c>
      <c r="S101" s="123" t="s">
        <v>117</v>
      </c>
      <c r="T101" s="124" t="s">
        <v>119</v>
      </c>
      <c r="U101" s="124">
        <f t="shared" si="3"/>
        <v>1</v>
      </c>
      <c r="V101" s="124">
        <v>1.0</v>
      </c>
      <c r="W101" s="124"/>
      <c r="X101" s="125"/>
      <c r="Y101" s="126"/>
      <c r="Z101" s="125">
        <f t="shared" si="4"/>
        <v>1</v>
      </c>
      <c r="AA101" s="127" t="str">
        <f t="shared" si="5"/>
        <v>Bajo</v>
      </c>
      <c r="AB101" s="128">
        <f t="shared" si="6"/>
        <v>4</v>
      </c>
      <c r="AC101" s="129">
        <f t="shared" si="7"/>
        <v>0.07589466384</v>
      </c>
    </row>
    <row r="102" ht="14.25" hidden="1" customHeight="1">
      <c r="A102" s="116" t="s">
        <v>480</v>
      </c>
      <c r="B102" s="117" t="s">
        <v>481</v>
      </c>
      <c r="C102" s="117" t="s">
        <v>505</v>
      </c>
      <c r="D102" s="117" t="s">
        <v>506</v>
      </c>
      <c r="E102" s="117" t="s">
        <v>507</v>
      </c>
      <c r="F102" s="117" t="s">
        <v>508</v>
      </c>
      <c r="G102" s="117" t="s">
        <v>509</v>
      </c>
      <c r="H102" s="117" t="s">
        <v>510</v>
      </c>
      <c r="I102" s="117">
        <v>1.0</v>
      </c>
      <c r="J102" s="117">
        <v>1.0</v>
      </c>
      <c r="K102" s="117" t="str">
        <f t="shared" si="1"/>
        <v>No</v>
      </c>
      <c r="L102" s="118" t="s">
        <v>116</v>
      </c>
      <c r="M102" s="119">
        <v>2.0</v>
      </c>
      <c r="N102" s="120">
        <v>1.0</v>
      </c>
      <c r="O102" s="121">
        <v>91.32</v>
      </c>
      <c r="P102" s="117">
        <v>1.0</v>
      </c>
      <c r="Q102" s="117">
        <f t="shared" si="2"/>
        <v>47</v>
      </c>
      <c r="R102" s="122">
        <f>+(IF(((M102*24)-P102)&lt;0,0,((M102*24)-P102)*'Estimación de pérdidas'!$F$72))*N102</f>
        <v>2710869.521</v>
      </c>
      <c r="S102" s="123" t="s">
        <v>117</v>
      </c>
      <c r="T102" s="124" t="s">
        <v>118</v>
      </c>
      <c r="U102" s="124">
        <f t="shared" si="3"/>
        <v>5</v>
      </c>
      <c r="V102" s="124">
        <v>2.0</v>
      </c>
      <c r="W102" s="124"/>
      <c r="X102" s="125"/>
      <c r="Y102" s="126"/>
      <c r="Z102" s="125">
        <f t="shared" si="4"/>
        <v>5</v>
      </c>
      <c r="AA102" s="127" t="str">
        <f t="shared" si="5"/>
        <v>Alto</v>
      </c>
      <c r="AB102" s="128">
        <f t="shared" si="6"/>
        <v>19</v>
      </c>
      <c r="AC102" s="129">
        <f t="shared" si="7"/>
        <v>0.1926655133</v>
      </c>
      <c r="AD102" s="130"/>
    </row>
    <row r="103" ht="14.25" hidden="1" customHeight="1">
      <c r="A103" s="116" t="s">
        <v>480</v>
      </c>
      <c r="B103" s="117" t="s">
        <v>511</v>
      </c>
      <c r="C103" s="117" t="s">
        <v>512</v>
      </c>
      <c r="D103" s="117" t="s">
        <v>513</v>
      </c>
      <c r="E103" s="117" t="s">
        <v>514</v>
      </c>
      <c r="F103" s="117" t="s">
        <v>515</v>
      </c>
      <c r="G103" s="117" t="s">
        <v>313</v>
      </c>
      <c r="H103" s="117" t="s">
        <v>516</v>
      </c>
      <c r="I103" s="117">
        <v>1.0</v>
      </c>
      <c r="J103" s="117">
        <v>1.0</v>
      </c>
      <c r="K103" s="117" t="str">
        <f t="shared" si="1"/>
        <v>No</v>
      </c>
      <c r="L103" s="118" t="s">
        <v>116</v>
      </c>
      <c r="M103" s="119">
        <v>0.3333333333333333</v>
      </c>
      <c r="N103" s="120">
        <v>1.0</v>
      </c>
      <c r="O103" s="121">
        <v>91.32</v>
      </c>
      <c r="P103" s="117">
        <v>1.0</v>
      </c>
      <c r="Q103" s="117">
        <f t="shared" si="2"/>
        <v>7</v>
      </c>
      <c r="R103" s="122">
        <f>+(IF(((M103*24)-P103)&lt;0,0,((M103*24)-P103)*'Estimación de pérdidas'!$F$72))*N103</f>
        <v>403746.5244</v>
      </c>
      <c r="S103" s="123" t="s">
        <v>117</v>
      </c>
      <c r="T103" s="124" t="s">
        <v>118</v>
      </c>
      <c r="U103" s="124">
        <f t="shared" si="3"/>
        <v>3</v>
      </c>
      <c r="V103" s="124">
        <v>1.0</v>
      </c>
      <c r="W103" s="124"/>
      <c r="X103" s="125"/>
      <c r="Y103" s="126"/>
      <c r="Z103" s="125">
        <f t="shared" si="4"/>
        <v>3</v>
      </c>
      <c r="AA103" s="127" t="str">
        <f t="shared" si="5"/>
        <v>Moderado</v>
      </c>
      <c r="AB103" s="128">
        <f t="shared" si="6"/>
        <v>9</v>
      </c>
      <c r="AC103" s="129">
        <f t="shared" si="7"/>
        <v>0.113137085</v>
      </c>
      <c r="AD103" s="131"/>
    </row>
    <row r="104" ht="14.25" hidden="1" customHeight="1">
      <c r="A104" s="116" t="s">
        <v>480</v>
      </c>
      <c r="B104" s="117" t="s">
        <v>511</v>
      </c>
      <c r="C104" s="117" t="s">
        <v>517</v>
      </c>
      <c r="D104" s="117" t="s">
        <v>518</v>
      </c>
      <c r="E104" s="117" t="s">
        <v>519</v>
      </c>
      <c r="F104" s="117" t="s">
        <v>520</v>
      </c>
      <c r="G104" s="117" t="s">
        <v>205</v>
      </c>
      <c r="H104" s="117" t="s">
        <v>491</v>
      </c>
      <c r="I104" s="117">
        <v>1.0</v>
      </c>
      <c r="J104" s="117">
        <v>1.0</v>
      </c>
      <c r="K104" s="117" t="str">
        <f t="shared" si="1"/>
        <v>No</v>
      </c>
      <c r="L104" s="118" t="s">
        <v>116</v>
      </c>
      <c r="M104" s="119">
        <v>0.33</v>
      </c>
      <c r="N104" s="120">
        <v>0.0</v>
      </c>
      <c r="O104" s="121"/>
      <c r="P104" s="117">
        <v>0.0</v>
      </c>
      <c r="Q104" s="117">
        <f t="shared" si="2"/>
        <v>0</v>
      </c>
      <c r="R104" s="122">
        <f>+(IF(((M104*24)-P104)&lt;0,0,((M104*24)-P104)*'Estimación de pérdidas'!$F$72))*N104</f>
        <v>0</v>
      </c>
      <c r="S104" s="123" t="s">
        <v>117</v>
      </c>
      <c r="T104" s="124" t="s">
        <v>119</v>
      </c>
      <c r="U104" s="124">
        <f t="shared" si="3"/>
        <v>1</v>
      </c>
      <c r="V104" s="124">
        <v>1.0</v>
      </c>
      <c r="W104" s="124"/>
      <c r="X104" s="125"/>
      <c r="Y104" s="126"/>
      <c r="Z104" s="125">
        <f t="shared" si="4"/>
        <v>1</v>
      </c>
      <c r="AA104" s="127" t="str">
        <f t="shared" si="5"/>
        <v>Bajo</v>
      </c>
      <c r="AB104" s="128">
        <f t="shared" si="6"/>
        <v>4</v>
      </c>
      <c r="AC104" s="129">
        <f t="shared" si="7"/>
        <v>0.07589466384</v>
      </c>
    </row>
    <row r="105" ht="14.25" hidden="1" customHeight="1">
      <c r="A105" s="116" t="s">
        <v>480</v>
      </c>
      <c r="B105" s="117" t="s">
        <v>511</v>
      </c>
      <c r="C105" s="117" t="s">
        <v>521</v>
      </c>
      <c r="D105" s="117" t="s">
        <v>522</v>
      </c>
      <c r="E105" s="117" t="s">
        <v>521</v>
      </c>
      <c r="F105" s="117" t="s">
        <v>523</v>
      </c>
      <c r="G105" s="117" t="s">
        <v>205</v>
      </c>
      <c r="H105" s="117" t="s">
        <v>491</v>
      </c>
      <c r="I105" s="117">
        <v>1.0</v>
      </c>
      <c r="J105" s="117">
        <v>1.0</v>
      </c>
      <c r="K105" s="117" t="str">
        <f t="shared" si="1"/>
        <v>No</v>
      </c>
      <c r="L105" s="118" t="s">
        <v>116</v>
      </c>
      <c r="M105" s="119">
        <v>0.33</v>
      </c>
      <c r="N105" s="120">
        <v>0.0</v>
      </c>
      <c r="O105" s="121"/>
      <c r="P105" s="117">
        <v>0.0</v>
      </c>
      <c r="Q105" s="117">
        <f t="shared" si="2"/>
        <v>0</v>
      </c>
      <c r="R105" s="122">
        <f>+(IF(((M105*24)-P105)&lt;0,0,((M105*24)-P105)*'Estimación de pérdidas'!$F$72))*N105</f>
        <v>0</v>
      </c>
      <c r="S105" s="123" t="s">
        <v>117</v>
      </c>
      <c r="T105" s="124" t="s">
        <v>119</v>
      </c>
      <c r="U105" s="124">
        <f t="shared" si="3"/>
        <v>1</v>
      </c>
      <c r="V105" s="124">
        <v>1.0</v>
      </c>
      <c r="W105" s="124"/>
      <c r="X105" s="125"/>
      <c r="Y105" s="126"/>
      <c r="Z105" s="125">
        <f t="shared" si="4"/>
        <v>1</v>
      </c>
      <c r="AA105" s="127" t="str">
        <f t="shared" si="5"/>
        <v>Bajo</v>
      </c>
      <c r="AB105" s="128">
        <f t="shared" si="6"/>
        <v>4</v>
      </c>
      <c r="AC105" s="129">
        <f t="shared" si="7"/>
        <v>0.07589466384</v>
      </c>
    </row>
    <row r="106" ht="14.25" hidden="1" customHeight="1">
      <c r="A106" s="116" t="s">
        <v>403</v>
      </c>
      <c r="B106" s="117" t="s">
        <v>511</v>
      </c>
      <c r="C106" s="117" t="s">
        <v>524</v>
      </c>
      <c r="D106" s="117" t="s">
        <v>525</v>
      </c>
      <c r="E106" s="117" t="s">
        <v>526</v>
      </c>
      <c r="F106" s="117" t="s">
        <v>407</v>
      </c>
      <c r="G106" s="117" t="s">
        <v>408</v>
      </c>
      <c r="H106" s="117" t="s">
        <v>409</v>
      </c>
      <c r="I106" s="117">
        <v>1.0</v>
      </c>
      <c r="J106" s="117">
        <v>1.0</v>
      </c>
      <c r="K106" s="117" t="str">
        <f t="shared" si="1"/>
        <v>No</v>
      </c>
      <c r="L106" s="118" t="s">
        <v>116</v>
      </c>
      <c r="M106" s="119">
        <v>0.3333333333333333</v>
      </c>
      <c r="N106" s="120">
        <v>0.0</v>
      </c>
      <c r="O106" s="121"/>
      <c r="P106" s="117">
        <v>0.0</v>
      </c>
      <c r="Q106" s="117">
        <f t="shared" si="2"/>
        <v>0</v>
      </c>
      <c r="R106" s="122">
        <f>+(IF(((M106*24)-P106)&lt;0,0,((M106*24)-P106)*'Estimación de pérdidas'!$F$72))*N106</f>
        <v>0</v>
      </c>
      <c r="S106" s="123" t="s">
        <v>272</v>
      </c>
      <c r="T106" s="124" t="s">
        <v>106</v>
      </c>
      <c r="U106" s="124">
        <f t="shared" si="3"/>
        <v>1</v>
      </c>
      <c r="V106" s="124">
        <v>1.0</v>
      </c>
      <c r="W106" s="124">
        <v>4.0</v>
      </c>
      <c r="X106" s="125"/>
      <c r="Y106" s="126"/>
      <c r="Z106" s="125">
        <f t="shared" si="4"/>
        <v>4</v>
      </c>
      <c r="AA106" s="127" t="str">
        <f t="shared" si="5"/>
        <v>Alto</v>
      </c>
      <c r="AB106" s="128">
        <f t="shared" si="6"/>
        <v>22</v>
      </c>
      <c r="AC106" s="129">
        <f t="shared" si="7"/>
        <v>0.3035786554</v>
      </c>
      <c r="AD106" s="130"/>
    </row>
    <row r="107" ht="14.25" hidden="1" customHeight="1">
      <c r="A107" s="116" t="s">
        <v>480</v>
      </c>
      <c r="B107" s="117" t="s">
        <v>511</v>
      </c>
      <c r="C107" s="117" t="s">
        <v>527</v>
      </c>
      <c r="D107" s="117" t="s">
        <v>528</v>
      </c>
      <c r="E107" s="117" t="s">
        <v>529</v>
      </c>
      <c r="F107" s="117" t="s">
        <v>530</v>
      </c>
      <c r="G107" s="117" t="s">
        <v>531</v>
      </c>
      <c r="H107" s="117" t="s">
        <v>532</v>
      </c>
      <c r="I107" s="117">
        <v>1.0</v>
      </c>
      <c r="J107" s="117">
        <v>1.0</v>
      </c>
      <c r="K107" s="117" t="str">
        <f t="shared" si="1"/>
        <v>No</v>
      </c>
      <c r="L107" s="118" t="s">
        <v>116</v>
      </c>
      <c r="M107" s="119">
        <v>1.5</v>
      </c>
      <c r="N107" s="120">
        <v>0.25</v>
      </c>
      <c r="O107" s="121">
        <v>91.32</v>
      </c>
      <c r="P107" s="117">
        <v>1.0</v>
      </c>
      <c r="Q107" s="117">
        <f t="shared" si="2"/>
        <v>8.75</v>
      </c>
      <c r="R107" s="122">
        <f>+(IF(((M107*24)-P107)&lt;0,0,((M107*24)-P107)*'Estimación de pérdidas'!$F$72))*N107</f>
        <v>504683.1555</v>
      </c>
      <c r="S107" s="123" t="s">
        <v>272</v>
      </c>
      <c r="T107" s="124" t="s">
        <v>118</v>
      </c>
      <c r="U107" s="124">
        <f t="shared" si="3"/>
        <v>4</v>
      </c>
      <c r="V107" s="124">
        <v>2.0</v>
      </c>
      <c r="W107" s="124"/>
      <c r="X107" s="125">
        <v>2.0</v>
      </c>
      <c r="Y107" s="126"/>
      <c r="Z107" s="125">
        <f t="shared" si="4"/>
        <v>4</v>
      </c>
      <c r="AA107" s="127" t="str">
        <f t="shared" si="5"/>
        <v>Moderado</v>
      </c>
      <c r="AB107" s="128">
        <f t="shared" si="6"/>
        <v>14</v>
      </c>
      <c r="AC107" s="129">
        <f t="shared" si="7"/>
        <v>0.1752712184</v>
      </c>
      <c r="AD107" s="130"/>
    </row>
    <row r="108" ht="14.25" hidden="1" customHeight="1">
      <c r="A108" s="116" t="s">
        <v>480</v>
      </c>
      <c r="B108" s="117" t="s">
        <v>511</v>
      </c>
      <c r="C108" s="117" t="s">
        <v>527</v>
      </c>
      <c r="D108" s="117" t="s">
        <v>533</v>
      </c>
      <c r="E108" s="117" t="s">
        <v>529</v>
      </c>
      <c r="F108" s="117" t="s">
        <v>534</v>
      </c>
      <c r="G108" s="117" t="s">
        <v>531</v>
      </c>
      <c r="H108" s="117" t="s">
        <v>532</v>
      </c>
      <c r="I108" s="117">
        <v>1.0</v>
      </c>
      <c r="J108" s="117">
        <v>1.0</v>
      </c>
      <c r="K108" s="117" t="str">
        <f t="shared" si="1"/>
        <v>No</v>
      </c>
      <c r="L108" s="118" t="s">
        <v>116</v>
      </c>
      <c r="M108" s="119">
        <v>1.5</v>
      </c>
      <c r="N108" s="120">
        <v>0.25</v>
      </c>
      <c r="O108" s="121">
        <v>91.32</v>
      </c>
      <c r="P108" s="117">
        <v>1.0</v>
      </c>
      <c r="Q108" s="117">
        <f t="shared" si="2"/>
        <v>8.75</v>
      </c>
      <c r="R108" s="122">
        <f>+(IF(((M108*24)-P108)&lt;0,0,((M108*24)-P108)*'Estimación de pérdidas'!$F$72))*N108</f>
        <v>504683.1555</v>
      </c>
      <c r="S108" s="123" t="s">
        <v>272</v>
      </c>
      <c r="T108" s="124" t="s">
        <v>118</v>
      </c>
      <c r="U108" s="124">
        <f t="shared" si="3"/>
        <v>4</v>
      </c>
      <c r="V108" s="124">
        <v>2.0</v>
      </c>
      <c r="W108" s="124"/>
      <c r="X108" s="125">
        <v>2.0</v>
      </c>
      <c r="Y108" s="126"/>
      <c r="Z108" s="125">
        <f t="shared" si="4"/>
        <v>4</v>
      </c>
      <c r="AA108" s="127" t="str">
        <f t="shared" si="5"/>
        <v>Moderado</v>
      </c>
      <c r="AB108" s="128">
        <f t="shared" si="6"/>
        <v>14</v>
      </c>
      <c r="AC108" s="129">
        <f t="shared" si="7"/>
        <v>0.1752712184</v>
      </c>
      <c r="AD108" s="130"/>
    </row>
    <row r="109" ht="14.25" hidden="1" customHeight="1">
      <c r="A109" s="116" t="s">
        <v>480</v>
      </c>
      <c r="B109" s="117" t="s">
        <v>511</v>
      </c>
      <c r="C109" s="117" t="s">
        <v>527</v>
      </c>
      <c r="D109" s="117" t="s">
        <v>535</v>
      </c>
      <c r="E109" s="117" t="s">
        <v>529</v>
      </c>
      <c r="F109" s="117" t="s">
        <v>536</v>
      </c>
      <c r="G109" s="117" t="s">
        <v>531</v>
      </c>
      <c r="H109" s="117" t="s">
        <v>532</v>
      </c>
      <c r="I109" s="117">
        <v>1.0</v>
      </c>
      <c r="J109" s="117">
        <v>1.0</v>
      </c>
      <c r="K109" s="117" t="str">
        <f t="shared" si="1"/>
        <v>No</v>
      </c>
      <c r="L109" s="118" t="s">
        <v>116</v>
      </c>
      <c r="M109" s="119">
        <v>1.5</v>
      </c>
      <c r="N109" s="120">
        <v>0.25</v>
      </c>
      <c r="O109" s="121">
        <v>91.32</v>
      </c>
      <c r="P109" s="117">
        <v>1.0</v>
      </c>
      <c r="Q109" s="117">
        <f t="shared" si="2"/>
        <v>8.75</v>
      </c>
      <c r="R109" s="122">
        <f>+(IF(((M109*24)-P109)&lt;0,0,((M109*24)-P109)*'Estimación de pérdidas'!$F$72))*N109</f>
        <v>504683.1555</v>
      </c>
      <c r="S109" s="123" t="s">
        <v>272</v>
      </c>
      <c r="T109" s="124" t="s">
        <v>118</v>
      </c>
      <c r="U109" s="124">
        <f t="shared" si="3"/>
        <v>4</v>
      </c>
      <c r="V109" s="124">
        <v>2.0</v>
      </c>
      <c r="W109" s="124"/>
      <c r="X109" s="125">
        <v>2.0</v>
      </c>
      <c r="Y109" s="126"/>
      <c r="Z109" s="125">
        <f t="shared" si="4"/>
        <v>4</v>
      </c>
      <c r="AA109" s="127" t="str">
        <f t="shared" si="5"/>
        <v>Moderado</v>
      </c>
      <c r="AB109" s="128">
        <f t="shared" si="6"/>
        <v>14</v>
      </c>
      <c r="AC109" s="129">
        <f t="shared" si="7"/>
        <v>0.1752712184</v>
      </c>
      <c r="AD109" s="130"/>
    </row>
    <row r="110" ht="14.25" hidden="1" customHeight="1">
      <c r="A110" s="116" t="s">
        <v>480</v>
      </c>
      <c r="B110" s="117" t="s">
        <v>511</v>
      </c>
      <c r="C110" s="117" t="s">
        <v>527</v>
      </c>
      <c r="D110" s="117" t="s">
        <v>537</v>
      </c>
      <c r="E110" s="117" t="s">
        <v>529</v>
      </c>
      <c r="F110" s="117" t="s">
        <v>538</v>
      </c>
      <c r="G110" s="117" t="s">
        <v>531</v>
      </c>
      <c r="H110" s="117" t="s">
        <v>532</v>
      </c>
      <c r="I110" s="117">
        <v>1.0</v>
      </c>
      <c r="J110" s="117">
        <v>1.0</v>
      </c>
      <c r="K110" s="117" t="str">
        <f t="shared" si="1"/>
        <v>No</v>
      </c>
      <c r="L110" s="118" t="s">
        <v>116</v>
      </c>
      <c r="M110" s="119">
        <v>1.5</v>
      </c>
      <c r="N110" s="120">
        <v>0.25</v>
      </c>
      <c r="O110" s="121">
        <v>91.32</v>
      </c>
      <c r="P110" s="117">
        <v>1.0</v>
      </c>
      <c r="Q110" s="117">
        <f t="shared" si="2"/>
        <v>8.75</v>
      </c>
      <c r="R110" s="122">
        <f>+(IF(((M110*24)-P110)&lt;0,0,((M110*24)-P110)*'Estimación de pérdidas'!$F$72))*N110</f>
        <v>504683.1555</v>
      </c>
      <c r="S110" s="123" t="s">
        <v>272</v>
      </c>
      <c r="T110" s="124" t="s">
        <v>118</v>
      </c>
      <c r="U110" s="124">
        <f t="shared" si="3"/>
        <v>4</v>
      </c>
      <c r="V110" s="124">
        <v>2.0</v>
      </c>
      <c r="W110" s="124"/>
      <c r="X110" s="125">
        <v>2.0</v>
      </c>
      <c r="Y110" s="126"/>
      <c r="Z110" s="125">
        <f t="shared" si="4"/>
        <v>4</v>
      </c>
      <c r="AA110" s="127" t="str">
        <f t="shared" si="5"/>
        <v>Moderado</v>
      </c>
      <c r="AB110" s="128">
        <f t="shared" si="6"/>
        <v>14</v>
      </c>
      <c r="AC110" s="129">
        <f t="shared" si="7"/>
        <v>0.1752712184</v>
      </c>
      <c r="AD110" s="130"/>
    </row>
    <row r="111" ht="14.25" hidden="1" customHeight="1">
      <c r="A111" s="116" t="s">
        <v>539</v>
      </c>
      <c r="B111" s="117" t="s">
        <v>540</v>
      </c>
      <c r="C111" s="117" t="s">
        <v>541</v>
      </c>
      <c r="D111" s="117" t="s">
        <v>542</v>
      </c>
      <c r="E111" s="117" t="s">
        <v>543</v>
      </c>
      <c r="F111" s="117" t="s">
        <v>544</v>
      </c>
      <c r="G111" s="117" t="s">
        <v>545</v>
      </c>
      <c r="H111" s="117" t="s">
        <v>546</v>
      </c>
      <c r="I111" s="117">
        <v>1.0</v>
      </c>
      <c r="J111" s="117">
        <v>1.0</v>
      </c>
      <c r="K111" s="117" t="str">
        <f t="shared" si="1"/>
        <v>No</v>
      </c>
      <c r="L111" s="118" t="s">
        <v>116</v>
      </c>
      <c r="M111" s="119">
        <v>0.3333333333333333</v>
      </c>
      <c r="N111" s="120">
        <v>1.0</v>
      </c>
      <c r="O111" s="121">
        <v>91.32</v>
      </c>
      <c r="P111" s="117">
        <v>1.0</v>
      </c>
      <c r="Q111" s="117">
        <f t="shared" si="2"/>
        <v>7</v>
      </c>
      <c r="R111" s="122">
        <f>+(IF(((M111*24)-P111)&lt;0,0,((M111*24)-P111)*'Estimación de pérdidas'!$F$72))*N111</f>
        <v>403746.5244</v>
      </c>
      <c r="S111" s="123" t="s">
        <v>117</v>
      </c>
      <c r="T111" s="124" t="s">
        <v>119</v>
      </c>
      <c r="U111" s="124">
        <f t="shared" si="3"/>
        <v>3</v>
      </c>
      <c r="V111" s="124">
        <v>1.0</v>
      </c>
      <c r="W111" s="124"/>
      <c r="X111" s="125"/>
      <c r="Y111" s="126"/>
      <c r="Z111" s="125">
        <f t="shared" si="4"/>
        <v>3</v>
      </c>
      <c r="AA111" s="127" t="str">
        <f t="shared" si="5"/>
        <v>Moderado</v>
      </c>
      <c r="AB111" s="128">
        <f t="shared" si="6"/>
        <v>13</v>
      </c>
      <c r="AC111" s="129">
        <f t="shared" si="7"/>
        <v>0.1697056275</v>
      </c>
      <c r="AD111" s="131"/>
    </row>
    <row r="112" ht="14.25" hidden="1" customHeight="1">
      <c r="A112" s="116" t="s">
        <v>539</v>
      </c>
      <c r="B112" s="117" t="s">
        <v>540</v>
      </c>
      <c r="C112" s="117" t="s">
        <v>547</v>
      </c>
      <c r="D112" s="117" t="s">
        <v>548</v>
      </c>
      <c r="E112" s="117" t="s">
        <v>549</v>
      </c>
      <c r="F112" s="117" t="s">
        <v>550</v>
      </c>
      <c r="G112" s="117" t="s">
        <v>551</v>
      </c>
      <c r="H112" s="117" t="s">
        <v>552</v>
      </c>
      <c r="I112" s="117">
        <v>1.0</v>
      </c>
      <c r="J112" s="117">
        <v>1.0</v>
      </c>
      <c r="K112" s="117" t="str">
        <f t="shared" si="1"/>
        <v>No</v>
      </c>
      <c r="L112" s="118" t="s">
        <v>116</v>
      </c>
      <c r="M112" s="119">
        <v>0.3333333333333333</v>
      </c>
      <c r="N112" s="120">
        <v>1.0</v>
      </c>
      <c r="O112" s="121">
        <v>91.32</v>
      </c>
      <c r="P112" s="117">
        <v>1.0</v>
      </c>
      <c r="Q112" s="117">
        <f t="shared" si="2"/>
        <v>7</v>
      </c>
      <c r="R112" s="122">
        <f>+(IF(((M112*24)-P112)&lt;0,0,((M112*24)-P112)*'Estimación de pérdidas'!$F$72))*N112</f>
        <v>403746.5244</v>
      </c>
      <c r="S112" s="123" t="s">
        <v>117</v>
      </c>
      <c r="T112" s="124" t="s">
        <v>119</v>
      </c>
      <c r="U112" s="124">
        <f t="shared" si="3"/>
        <v>3</v>
      </c>
      <c r="V112" s="124">
        <v>1.0</v>
      </c>
      <c r="W112" s="124"/>
      <c r="X112" s="125"/>
      <c r="Y112" s="126"/>
      <c r="Z112" s="125">
        <f t="shared" si="4"/>
        <v>3</v>
      </c>
      <c r="AA112" s="127" t="str">
        <f t="shared" si="5"/>
        <v>Moderado</v>
      </c>
      <c r="AB112" s="128">
        <f t="shared" si="6"/>
        <v>13</v>
      </c>
      <c r="AC112" s="129">
        <f t="shared" si="7"/>
        <v>0.1697056275</v>
      </c>
      <c r="AD112" s="131"/>
    </row>
    <row r="113" ht="14.25" hidden="1" customHeight="1">
      <c r="A113" s="116" t="s">
        <v>539</v>
      </c>
      <c r="B113" s="117" t="s">
        <v>540</v>
      </c>
      <c r="C113" s="117" t="s">
        <v>547</v>
      </c>
      <c r="D113" s="117" t="s">
        <v>553</v>
      </c>
      <c r="E113" s="117" t="s">
        <v>554</v>
      </c>
      <c r="F113" s="117" t="s">
        <v>555</v>
      </c>
      <c r="G113" s="117" t="s">
        <v>313</v>
      </c>
      <c r="H113" s="117" t="s">
        <v>552</v>
      </c>
      <c r="I113" s="117">
        <v>1.0</v>
      </c>
      <c r="J113" s="117">
        <v>1.0</v>
      </c>
      <c r="K113" s="117" t="str">
        <f t="shared" si="1"/>
        <v>No</v>
      </c>
      <c r="L113" s="118" t="s">
        <v>116</v>
      </c>
      <c r="M113" s="119">
        <v>0.3333333333333333</v>
      </c>
      <c r="N113" s="120">
        <v>1.0</v>
      </c>
      <c r="O113" s="121">
        <v>91.32</v>
      </c>
      <c r="P113" s="117">
        <v>1.0</v>
      </c>
      <c r="Q113" s="117">
        <f t="shared" si="2"/>
        <v>7</v>
      </c>
      <c r="R113" s="122">
        <f>+(IF(((M113*24)-P113)&lt;0,0,((M113*24)-P113)*'Estimación de pérdidas'!$F$72))*N113</f>
        <v>403746.5244</v>
      </c>
      <c r="S113" s="123" t="s">
        <v>117</v>
      </c>
      <c r="T113" s="124" t="s">
        <v>119</v>
      </c>
      <c r="U113" s="124">
        <f t="shared" si="3"/>
        <v>3</v>
      </c>
      <c r="V113" s="124">
        <v>1.0</v>
      </c>
      <c r="W113" s="124"/>
      <c r="X113" s="125"/>
      <c r="Y113" s="126"/>
      <c r="Z113" s="125">
        <f t="shared" si="4"/>
        <v>3</v>
      </c>
      <c r="AA113" s="127" t="str">
        <f t="shared" si="5"/>
        <v>Moderado</v>
      </c>
      <c r="AB113" s="128">
        <f t="shared" si="6"/>
        <v>13</v>
      </c>
      <c r="AC113" s="129">
        <f t="shared" si="7"/>
        <v>0.1697056275</v>
      </c>
      <c r="AD113" s="131"/>
    </row>
    <row r="114" ht="14.25" hidden="1" customHeight="1">
      <c r="A114" s="116" t="s">
        <v>539</v>
      </c>
      <c r="B114" s="117" t="s">
        <v>540</v>
      </c>
      <c r="C114" s="117" t="s">
        <v>556</v>
      </c>
      <c r="D114" s="117" t="s">
        <v>557</v>
      </c>
      <c r="E114" s="117" t="s">
        <v>556</v>
      </c>
      <c r="F114" s="117" t="s">
        <v>558</v>
      </c>
      <c r="G114" s="117" t="s">
        <v>205</v>
      </c>
      <c r="H114" s="117" t="s">
        <v>486</v>
      </c>
      <c r="I114" s="117">
        <v>2.0</v>
      </c>
      <c r="J114" s="117">
        <v>1.0</v>
      </c>
      <c r="K114" s="117" t="str">
        <f t="shared" si="1"/>
        <v>Si</v>
      </c>
      <c r="L114" s="118" t="s">
        <v>287</v>
      </c>
      <c r="M114" s="119">
        <v>0.25</v>
      </c>
      <c r="N114" s="120">
        <v>0.0</v>
      </c>
      <c r="O114" s="121">
        <v>91.32</v>
      </c>
      <c r="P114" s="117">
        <v>1.0</v>
      </c>
      <c r="Q114" s="117">
        <f t="shared" si="2"/>
        <v>0</v>
      </c>
      <c r="R114" s="122">
        <f>+(IF(((M114*24)-P114)&lt;0,0,((M114*24)-P114)*'Estimación de pérdidas'!$F$72))*N114</f>
        <v>0</v>
      </c>
      <c r="S114" s="123" t="s">
        <v>117</v>
      </c>
      <c r="T114" s="124" t="s">
        <v>106</v>
      </c>
      <c r="U114" s="124">
        <f t="shared" si="3"/>
        <v>1</v>
      </c>
      <c r="V114" s="124">
        <v>2.0</v>
      </c>
      <c r="W114" s="124"/>
      <c r="X114" s="125"/>
      <c r="Y114" s="126"/>
      <c r="Z114" s="125">
        <f t="shared" si="4"/>
        <v>2</v>
      </c>
      <c r="AA114" s="127" t="str">
        <f t="shared" si="5"/>
        <v>Moderado</v>
      </c>
      <c r="AB114" s="128">
        <f t="shared" si="6"/>
        <v>12</v>
      </c>
      <c r="AC114" s="129">
        <f t="shared" si="7"/>
        <v>0.16</v>
      </c>
      <c r="AD114" s="131"/>
    </row>
    <row r="115" ht="14.25" hidden="1" customHeight="1">
      <c r="A115" s="116" t="s">
        <v>539</v>
      </c>
      <c r="B115" s="117" t="s">
        <v>540</v>
      </c>
      <c r="C115" s="117" t="s">
        <v>556</v>
      </c>
      <c r="D115" s="117" t="s">
        <v>559</v>
      </c>
      <c r="E115" s="117" t="s">
        <v>556</v>
      </c>
      <c r="F115" s="117" t="s">
        <v>558</v>
      </c>
      <c r="G115" s="117" t="s">
        <v>205</v>
      </c>
      <c r="H115" s="117" t="s">
        <v>486</v>
      </c>
      <c r="I115" s="117">
        <v>2.0</v>
      </c>
      <c r="J115" s="117">
        <v>1.0</v>
      </c>
      <c r="K115" s="117" t="str">
        <f t="shared" si="1"/>
        <v>Si</v>
      </c>
      <c r="L115" s="118" t="s">
        <v>287</v>
      </c>
      <c r="M115" s="119">
        <v>0.25</v>
      </c>
      <c r="N115" s="120">
        <v>0.0</v>
      </c>
      <c r="O115" s="121">
        <v>91.32</v>
      </c>
      <c r="P115" s="117">
        <v>1.0</v>
      </c>
      <c r="Q115" s="117">
        <f t="shared" si="2"/>
        <v>0</v>
      </c>
      <c r="R115" s="122">
        <f>+(IF(((M115*24)-P115)&lt;0,0,((M115*24)-P115)*'Estimación de pérdidas'!$F$72))*N115</f>
        <v>0</v>
      </c>
      <c r="S115" s="123" t="s">
        <v>117</v>
      </c>
      <c r="T115" s="124" t="s">
        <v>106</v>
      </c>
      <c r="U115" s="124">
        <f t="shared" si="3"/>
        <v>1</v>
      </c>
      <c r="V115" s="124">
        <v>2.0</v>
      </c>
      <c r="W115" s="124"/>
      <c r="X115" s="125"/>
      <c r="Y115" s="126"/>
      <c r="Z115" s="125">
        <f t="shared" si="4"/>
        <v>2</v>
      </c>
      <c r="AA115" s="127" t="str">
        <f t="shared" si="5"/>
        <v>Moderado</v>
      </c>
      <c r="AB115" s="128">
        <f t="shared" si="6"/>
        <v>12</v>
      </c>
      <c r="AC115" s="129">
        <f t="shared" si="7"/>
        <v>0.16</v>
      </c>
      <c r="AD115" s="131"/>
    </row>
    <row r="116" ht="14.25" hidden="1" customHeight="1">
      <c r="A116" s="116" t="s">
        <v>539</v>
      </c>
      <c r="B116" s="117" t="s">
        <v>540</v>
      </c>
      <c r="C116" s="117" t="s">
        <v>556</v>
      </c>
      <c r="D116" s="117" t="s">
        <v>560</v>
      </c>
      <c r="E116" s="117" t="s">
        <v>556</v>
      </c>
      <c r="F116" s="117" t="s">
        <v>561</v>
      </c>
      <c r="G116" s="117" t="s">
        <v>205</v>
      </c>
      <c r="H116" s="117" t="s">
        <v>486</v>
      </c>
      <c r="I116" s="117">
        <v>2.0</v>
      </c>
      <c r="J116" s="117">
        <v>1.0</v>
      </c>
      <c r="K116" s="117" t="str">
        <f t="shared" si="1"/>
        <v>Si</v>
      </c>
      <c r="L116" s="118" t="s">
        <v>287</v>
      </c>
      <c r="M116" s="119">
        <v>0.25</v>
      </c>
      <c r="N116" s="120">
        <v>0.0</v>
      </c>
      <c r="O116" s="121">
        <v>91.32</v>
      </c>
      <c r="P116" s="117">
        <v>1.0</v>
      </c>
      <c r="Q116" s="117">
        <f t="shared" si="2"/>
        <v>0</v>
      </c>
      <c r="R116" s="122">
        <f>+(IF(((M116*24)-P116)&lt;0,0,((M116*24)-P116)*'Estimación de pérdidas'!$F$72))*N116</f>
        <v>0</v>
      </c>
      <c r="S116" s="123" t="s">
        <v>117</v>
      </c>
      <c r="T116" s="124" t="s">
        <v>106</v>
      </c>
      <c r="U116" s="124">
        <f t="shared" si="3"/>
        <v>1</v>
      </c>
      <c r="V116" s="124">
        <v>2.0</v>
      </c>
      <c r="W116" s="124"/>
      <c r="X116" s="125"/>
      <c r="Y116" s="126"/>
      <c r="Z116" s="125">
        <f t="shared" si="4"/>
        <v>2</v>
      </c>
      <c r="AA116" s="127" t="str">
        <f t="shared" si="5"/>
        <v>Moderado</v>
      </c>
      <c r="AB116" s="128">
        <f t="shared" si="6"/>
        <v>12</v>
      </c>
      <c r="AC116" s="129">
        <f t="shared" si="7"/>
        <v>0.16</v>
      </c>
      <c r="AD116" s="131"/>
    </row>
    <row r="117" ht="14.25" hidden="1" customHeight="1">
      <c r="A117" s="116" t="s">
        <v>539</v>
      </c>
      <c r="B117" s="117" t="s">
        <v>540</v>
      </c>
      <c r="C117" s="117" t="s">
        <v>556</v>
      </c>
      <c r="D117" s="117" t="s">
        <v>562</v>
      </c>
      <c r="E117" s="117" t="s">
        <v>556</v>
      </c>
      <c r="F117" s="117" t="s">
        <v>561</v>
      </c>
      <c r="G117" s="117" t="s">
        <v>205</v>
      </c>
      <c r="H117" s="117" t="s">
        <v>486</v>
      </c>
      <c r="I117" s="117">
        <v>2.0</v>
      </c>
      <c r="J117" s="117">
        <v>1.0</v>
      </c>
      <c r="K117" s="117" t="str">
        <f t="shared" si="1"/>
        <v>Si</v>
      </c>
      <c r="L117" s="118" t="s">
        <v>287</v>
      </c>
      <c r="M117" s="119">
        <v>0.25</v>
      </c>
      <c r="N117" s="120">
        <v>0.0</v>
      </c>
      <c r="O117" s="121">
        <v>91.32</v>
      </c>
      <c r="P117" s="117">
        <v>1.0</v>
      </c>
      <c r="Q117" s="117">
        <f t="shared" si="2"/>
        <v>0</v>
      </c>
      <c r="R117" s="122">
        <f>+(IF(((M117*24)-P117)&lt;0,0,((M117*24)-P117)*'Estimación de pérdidas'!$F$72))*N117</f>
        <v>0</v>
      </c>
      <c r="S117" s="123" t="s">
        <v>117</v>
      </c>
      <c r="T117" s="124" t="s">
        <v>106</v>
      </c>
      <c r="U117" s="124">
        <f t="shared" si="3"/>
        <v>1</v>
      </c>
      <c r="V117" s="124">
        <v>2.0</v>
      </c>
      <c r="W117" s="124"/>
      <c r="X117" s="125"/>
      <c r="Y117" s="126"/>
      <c r="Z117" s="125">
        <f t="shared" si="4"/>
        <v>2</v>
      </c>
      <c r="AA117" s="127" t="str">
        <f t="shared" si="5"/>
        <v>Moderado</v>
      </c>
      <c r="AB117" s="128">
        <f t="shared" si="6"/>
        <v>12</v>
      </c>
      <c r="AC117" s="129">
        <f t="shared" si="7"/>
        <v>0.16</v>
      </c>
      <c r="AD117" s="131"/>
    </row>
    <row r="118" ht="14.25" hidden="1" customHeight="1">
      <c r="A118" s="116" t="s">
        <v>539</v>
      </c>
      <c r="B118" s="117" t="s">
        <v>540</v>
      </c>
      <c r="C118" s="117" t="s">
        <v>563</v>
      </c>
      <c r="D118" s="117" t="s">
        <v>564</v>
      </c>
      <c r="E118" s="117" t="s">
        <v>563</v>
      </c>
      <c r="F118" s="117" t="s">
        <v>565</v>
      </c>
      <c r="G118" s="117" t="s">
        <v>205</v>
      </c>
      <c r="H118" s="117" t="s">
        <v>491</v>
      </c>
      <c r="I118" s="117">
        <v>1.0</v>
      </c>
      <c r="J118" s="117">
        <v>1.0</v>
      </c>
      <c r="K118" s="117" t="str">
        <f t="shared" si="1"/>
        <v>No</v>
      </c>
      <c r="L118" s="118" t="s">
        <v>116</v>
      </c>
      <c r="M118" s="119">
        <v>0.33</v>
      </c>
      <c r="N118" s="120">
        <v>0.0</v>
      </c>
      <c r="O118" s="121"/>
      <c r="P118" s="117">
        <v>0.0</v>
      </c>
      <c r="Q118" s="117">
        <f t="shared" si="2"/>
        <v>0</v>
      </c>
      <c r="R118" s="122">
        <f>+(IF(((M118*24)-P118)&lt;0,0,((M118*24)-P118)*'Estimación de pérdidas'!$F$72))*N118</f>
        <v>0</v>
      </c>
      <c r="S118" s="123" t="s">
        <v>117</v>
      </c>
      <c r="T118" s="124" t="s">
        <v>119</v>
      </c>
      <c r="U118" s="124">
        <f t="shared" si="3"/>
        <v>1</v>
      </c>
      <c r="V118" s="124">
        <v>1.0</v>
      </c>
      <c r="W118" s="124"/>
      <c r="X118" s="125"/>
      <c r="Y118" s="126"/>
      <c r="Z118" s="125">
        <f t="shared" si="4"/>
        <v>1</v>
      </c>
      <c r="AA118" s="127" t="str">
        <f t="shared" si="5"/>
        <v>Bajo</v>
      </c>
      <c r="AB118" s="128">
        <f t="shared" si="6"/>
        <v>4</v>
      </c>
      <c r="AC118" s="129">
        <f t="shared" si="7"/>
        <v>0.07589466384</v>
      </c>
    </row>
    <row r="119" ht="14.25" hidden="1" customHeight="1">
      <c r="A119" s="116" t="s">
        <v>403</v>
      </c>
      <c r="B119" s="117" t="s">
        <v>540</v>
      </c>
      <c r="C119" s="117" t="s">
        <v>566</v>
      </c>
      <c r="D119" s="117" t="s">
        <v>567</v>
      </c>
      <c r="E119" s="117" t="s">
        <v>526</v>
      </c>
      <c r="F119" s="117" t="s">
        <v>407</v>
      </c>
      <c r="G119" s="117" t="s">
        <v>408</v>
      </c>
      <c r="H119" s="117" t="s">
        <v>409</v>
      </c>
      <c r="I119" s="117">
        <v>1.0</v>
      </c>
      <c r="J119" s="117">
        <v>1.0</v>
      </c>
      <c r="K119" s="117" t="str">
        <f t="shared" si="1"/>
        <v>No</v>
      </c>
      <c r="L119" s="118" t="s">
        <v>116</v>
      </c>
      <c r="M119" s="119">
        <v>0.3333333333333333</v>
      </c>
      <c r="N119" s="120">
        <v>0.0</v>
      </c>
      <c r="O119" s="121"/>
      <c r="P119" s="117">
        <v>0.0</v>
      </c>
      <c r="Q119" s="117">
        <f t="shared" si="2"/>
        <v>0</v>
      </c>
      <c r="R119" s="122">
        <f>+(IF(((M119*24)-P119)&lt;0,0,((M119*24)-P119)*'Estimación de pérdidas'!$F$72))*N119</f>
        <v>0</v>
      </c>
      <c r="S119" s="123" t="s">
        <v>272</v>
      </c>
      <c r="T119" s="124" t="s">
        <v>106</v>
      </c>
      <c r="U119" s="124">
        <f t="shared" si="3"/>
        <v>1</v>
      </c>
      <c r="V119" s="124">
        <v>1.0</v>
      </c>
      <c r="W119" s="124">
        <v>4.0</v>
      </c>
      <c r="X119" s="125"/>
      <c r="Y119" s="126"/>
      <c r="Z119" s="125">
        <f t="shared" si="4"/>
        <v>4</v>
      </c>
      <c r="AA119" s="127" t="str">
        <f t="shared" si="5"/>
        <v>Alto</v>
      </c>
      <c r="AB119" s="128">
        <f t="shared" si="6"/>
        <v>22</v>
      </c>
      <c r="AC119" s="129">
        <f t="shared" si="7"/>
        <v>0.3035786554</v>
      </c>
      <c r="AD119" s="130"/>
    </row>
    <row r="120" ht="14.25" hidden="1" customHeight="1">
      <c r="A120" s="116" t="s">
        <v>539</v>
      </c>
      <c r="B120" s="117" t="s">
        <v>540</v>
      </c>
      <c r="C120" s="117" t="s">
        <v>568</v>
      </c>
      <c r="D120" s="117" t="s">
        <v>569</v>
      </c>
      <c r="E120" s="117" t="s">
        <v>568</v>
      </c>
      <c r="F120" s="117" t="s">
        <v>570</v>
      </c>
      <c r="G120" s="117" t="s">
        <v>509</v>
      </c>
      <c r="H120" s="117" t="s">
        <v>571</v>
      </c>
      <c r="I120" s="117">
        <v>1.0</v>
      </c>
      <c r="J120" s="117">
        <v>1.0</v>
      </c>
      <c r="K120" s="117" t="str">
        <f t="shared" si="1"/>
        <v>No</v>
      </c>
      <c r="L120" s="118" t="s">
        <v>116</v>
      </c>
      <c r="M120" s="119">
        <v>1.75</v>
      </c>
      <c r="N120" s="120">
        <v>1.0</v>
      </c>
      <c r="O120" s="121">
        <v>91.32</v>
      </c>
      <c r="P120" s="117">
        <v>1.0</v>
      </c>
      <c r="Q120" s="117">
        <f t="shared" si="2"/>
        <v>41</v>
      </c>
      <c r="R120" s="122">
        <f>+(IF(((M120*24)-P120)&lt;0,0,((M120*24)-P120)*'Estimación de pérdidas'!$F$72))*N120</f>
        <v>2364801.071</v>
      </c>
      <c r="S120" s="123" t="s">
        <v>117</v>
      </c>
      <c r="T120" s="124" t="s">
        <v>118</v>
      </c>
      <c r="U120" s="124">
        <f t="shared" si="3"/>
        <v>5</v>
      </c>
      <c r="V120" s="124">
        <v>2.0</v>
      </c>
      <c r="W120" s="124"/>
      <c r="X120" s="125"/>
      <c r="Y120" s="126"/>
      <c r="Z120" s="125">
        <f t="shared" si="4"/>
        <v>5</v>
      </c>
      <c r="AA120" s="127" t="str">
        <f t="shared" si="5"/>
        <v>Alto</v>
      </c>
      <c r="AB120" s="128">
        <f t="shared" si="6"/>
        <v>19</v>
      </c>
      <c r="AC120" s="129">
        <f t="shared" si="7"/>
        <v>0.1926655133</v>
      </c>
      <c r="AD120" s="130"/>
    </row>
    <row r="121" ht="14.25" hidden="1" customHeight="1">
      <c r="A121" s="116" t="s">
        <v>539</v>
      </c>
      <c r="B121" s="117" t="s">
        <v>540</v>
      </c>
      <c r="C121" s="117" t="s">
        <v>568</v>
      </c>
      <c r="D121" s="117" t="s">
        <v>572</v>
      </c>
      <c r="E121" s="117" t="s">
        <v>568</v>
      </c>
      <c r="F121" s="117" t="s">
        <v>573</v>
      </c>
      <c r="G121" s="117" t="s">
        <v>509</v>
      </c>
      <c r="H121" s="117" t="s">
        <v>574</v>
      </c>
      <c r="I121" s="117">
        <v>1.0</v>
      </c>
      <c r="J121" s="117">
        <v>1.0</v>
      </c>
      <c r="K121" s="117" t="str">
        <f t="shared" si="1"/>
        <v>No</v>
      </c>
      <c r="L121" s="118" t="s">
        <v>116</v>
      </c>
      <c r="M121" s="119">
        <v>1.75</v>
      </c>
      <c r="N121" s="120">
        <v>1.0</v>
      </c>
      <c r="O121" s="121">
        <v>91.32</v>
      </c>
      <c r="P121" s="117">
        <v>1.0</v>
      </c>
      <c r="Q121" s="117">
        <f t="shared" si="2"/>
        <v>41</v>
      </c>
      <c r="R121" s="122">
        <f>+(IF(((M121*24)-P121)&lt;0,0,((M121*24)-P121)*'Estimación de pérdidas'!$F$72))*N121</f>
        <v>2364801.071</v>
      </c>
      <c r="S121" s="123" t="s">
        <v>272</v>
      </c>
      <c r="T121" s="124" t="s">
        <v>118</v>
      </c>
      <c r="U121" s="124">
        <f t="shared" si="3"/>
        <v>5</v>
      </c>
      <c r="V121" s="124">
        <v>2.0</v>
      </c>
      <c r="W121" s="124">
        <v>4.0</v>
      </c>
      <c r="X121" s="125"/>
      <c r="Y121" s="126"/>
      <c r="Z121" s="125">
        <f t="shared" si="4"/>
        <v>5</v>
      </c>
      <c r="AA121" s="127" t="str">
        <f t="shared" si="5"/>
        <v>Alto</v>
      </c>
      <c r="AB121" s="128">
        <f t="shared" si="6"/>
        <v>19</v>
      </c>
      <c r="AC121" s="129">
        <f t="shared" si="7"/>
        <v>0.24</v>
      </c>
      <c r="AD121" s="130"/>
    </row>
    <row r="122" ht="14.25" hidden="1" customHeight="1">
      <c r="A122" s="116" t="s">
        <v>539</v>
      </c>
      <c r="B122" s="117" t="s">
        <v>575</v>
      </c>
      <c r="C122" s="117" t="s">
        <v>576</v>
      </c>
      <c r="D122" s="117" t="s">
        <v>577</v>
      </c>
      <c r="E122" s="117" t="s">
        <v>576</v>
      </c>
      <c r="F122" s="117" t="s">
        <v>578</v>
      </c>
      <c r="G122" s="117" t="s">
        <v>165</v>
      </c>
      <c r="H122" s="117" t="s">
        <v>309</v>
      </c>
      <c r="I122" s="117">
        <v>1.0</v>
      </c>
      <c r="J122" s="117">
        <v>1.0</v>
      </c>
      <c r="K122" s="117" t="str">
        <f t="shared" si="1"/>
        <v>No</v>
      </c>
      <c r="L122" s="118" t="s">
        <v>116</v>
      </c>
      <c r="M122" s="119">
        <v>0.3333333333333333</v>
      </c>
      <c r="N122" s="120">
        <v>1.0</v>
      </c>
      <c r="O122" s="121">
        <v>4.2</v>
      </c>
      <c r="P122" s="117">
        <v>20.892772667542705</v>
      </c>
      <c r="Q122" s="117">
        <f t="shared" si="2"/>
        <v>0</v>
      </c>
      <c r="R122" s="122">
        <f>+(IF(((M122*24)-P122)&lt;0,0,((M122*24)-P122)*'Estimación de pérdidas'!$F$72))*N122</f>
        <v>0</v>
      </c>
      <c r="S122" s="123" t="s">
        <v>117</v>
      </c>
      <c r="T122" s="124" t="s">
        <v>118</v>
      </c>
      <c r="U122" s="124">
        <f t="shared" si="3"/>
        <v>1</v>
      </c>
      <c r="V122" s="124">
        <v>1.0</v>
      </c>
      <c r="W122" s="124"/>
      <c r="X122" s="125"/>
      <c r="Y122" s="126"/>
      <c r="Z122" s="125">
        <f t="shared" si="4"/>
        <v>1</v>
      </c>
      <c r="AA122" s="127" t="str">
        <f t="shared" si="5"/>
        <v>Bajo</v>
      </c>
      <c r="AB122" s="128">
        <f t="shared" si="6"/>
        <v>2</v>
      </c>
      <c r="AC122" s="129">
        <f t="shared" si="7"/>
        <v>0.05059644256</v>
      </c>
    </row>
    <row r="123" ht="14.25" hidden="1" customHeight="1">
      <c r="A123" s="116" t="s">
        <v>539</v>
      </c>
      <c r="B123" s="117" t="s">
        <v>575</v>
      </c>
      <c r="C123" s="117" t="s">
        <v>579</v>
      </c>
      <c r="D123" s="117" t="s">
        <v>580</v>
      </c>
      <c r="E123" s="117" t="s">
        <v>579</v>
      </c>
      <c r="F123" s="117" t="s">
        <v>581</v>
      </c>
      <c r="G123" s="117" t="s">
        <v>165</v>
      </c>
      <c r="H123" s="117" t="s">
        <v>309</v>
      </c>
      <c r="I123" s="117">
        <v>1.0</v>
      </c>
      <c r="J123" s="117">
        <v>1.0</v>
      </c>
      <c r="K123" s="117" t="str">
        <f t="shared" si="1"/>
        <v>No</v>
      </c>
      <c r="L123" s="118" t="s">
        <v>116</v>
      </c>
      <c r="M123" s="119">
        <v>0.3333333333333333</v>
      </c>
      <c r="N123" s="120">
        <v>1.0</v>
      </c>
      <c r="O123" s="121">
        <v>12.5</v>
      </c>
      <c r="P123" s="117">
        <v>18.902299605781863</v>
      </c>
      <c r="Q123" s="117">
        <f t="shared" si="2"/>
        <v>0</v>
      </c>
      <c r="R123" s="122">
        <f>+(IF(((M123*24)-P123)&lt;0,0,((M123*24)-P123)*'Estimación de pérdidas'!$F$72))*N123</f>
        <v>0</v>
      </c>
      <c r="S123" s="123" t="s">
        <v>117</v>
      </c>
      <c r="T123" s="124" t="s">
        <v>118</v>
      </c>
      <c r="U123" s="124">
        <f t="shared" si="3"/>
        <v>1</v>
      </c>
      <c r="V123" s="124">
        <v>1.0</v>
      </c>
      <c r="W123" s="124"/>
      <c r="X123" s="125"/>
      <c r="Y123" s="126"/>
      <c r="Z123" s="125">
        <f t="shared" si="4"/>
        <v>1</v>
      </c>
      <c r="AA123" s="127" t="str">
        <f t="shared" si="5"/>
        <v>Bajo</v>
      </c>
      <c r="AB123" s="128">
        <f t="shared" si="6"/>
        <v>2</v>
      </c>
      <c r="AC123" s="129">
        <f t="shared" si="7"/>
        <v>0.05059644256</v>
      </c>
    </row>
    <row r="124" ht="14.25" hidden="1" customHeight="1">
      <c r="A124" s="116" t="s">
        <v>539</v>
      </c>
      <c r="B124" s="117" t="s">
        <v>575</v>
      </c>
      <c r="C124" s="117" t="s">
        <v>582</v>
      </c>
      <c r="D124" s="117" t="s">
        <v>583</v>
      </c>
      <c r="E124" s="117" t="s">
        <v>584</v>
      </c>
      <c r="F124" s="117" t="s">
        <v>585</v>
      </c>
      <c r="G124" s="117" t="s">
        <v>586</v>
      </c>
      <c r="H124" s="117" t="s">
        <v>587</v>
      </c>
      <c r="I124" s="117">
        <v>1.0</v>
      </c>
      <c r="J124" s="117">
        <v>1.0</v>
      </c>
      <c r="K124" s="117" t="str">
        <f t="shared" si="1"/>
        <v>No</v>
      </c>
      <c r="L124" s="118" t="s">
        <v>116</v>
      </c>
      <c r="M124" s="119">
        <v>0.25</v>
      </c>
      <c r="N124" s="120">
        <v>0.0</v>
      </c>
      <c r="O124" s="121"/>
      <c r="P124" s="117">
        <v>0.0</v>
      </c>
      <c r="Q124" s="117">
        <f t="shared" si="2"/>
        <v>0</v>
      </c>
      <c r="R124" s="122">
        <f>+(IF(((M124*24)-P124)&lt;0,0,((M124*24)-P124)*'Estimación de pérdidas'!$F$72))*N124</f>
        <v>0</v>
      </c>
      <c r="S124" s="123" t="s">
        <v>117</v>
      </c>
      <c r="T124" s="124" t="s">
        <v>132</v>
      </c>
      <c r="U124" s="124">
        <f t="shared" si="3"/>
        <v>1</v>
      </c>
      <c r="V124" s="124">
        <v>1.0</v>
      </c>
      <c r="W124" s="124"/>
      <c r="X124" s="125"/>
      <c r="Y124" s="126"/>
      <c r="Z124" s="125">
        <f t="shared" si="4"/>
        <v>1</v>
      </c>
      <c r="AA124" s="127" t="str">
        <f t="shared" si="5"/>
        <v>Bajo</v>
      </c>
      <c r="AB124" s="128">
        <f t="shared" si="6"/>
        <v>1</v>
      </c>
      <c r="AC124" s="129">
        <f t="shared" si="7"/>
        <v>0.02529822128</v>
      </c>
    </row>
    <row r="125" ht="14.25" hidden="1" customHeight="1">
      <c r="A125" s="116" t="s">
        <v>539</v>
      </c>
      <c r="B125" s="117" t="s">
        <v>575</v>
      </c>
      <c r="C125" s="117" t="s">
        <v>582</v>
      </c>
      <c r="D125" s="117" t="s">
        <v>588</v>
      </c>
      <c r="E125" s="117" t="s">
        <v>584</v>
      </c>
      <c r="F125" s="117" t="s">
        <v>585</v>
      </c>
      <c r="G125" s="117" t="s">
        <v>586</v>
      </c>
      <c r="H125" s="117" t="s">
        <v>587</v>
      </c>
      <c r="I125" s="117">
        <v>1.0</v>
      </c>
      <c r="J125" s="117">
        <v>1.0</v>
      </c>
      <c r="K125" s="117" t="str">
        <f t="shared" si="1"/>
        <v>No</v>
      </c>
      <c r="L125" s="118" t="s">
        <v>116</v>
      </c>
      <c r="M125" s="119">
        <v>0.25</v>
      </c>
      <c r="N125" s="120">
        <v>0.0</v>
      </c>
      <c r="O125" s="121"/>
      <c r="P125" s="117">
        <v>0.0</v>
      </c>
      <c r="Q125" s="117">
        <f t="shared" si="2"/>
        <v>0</v>
      </c>
      <c r="R125" s="122">
        <f>+(IF(((M125*24)-P125)&lt;0,0,((M125*24)-P125)*'Estimación de pérdidas'!$F$72))*N125</f>
        <v>0</v>
      </c>
      <c r="S125" s="123" t="s">
        <v>117</v>
      </c>
      <c r="T125" s="124" t="s">
        <v>132</v>
      </c>
      <c r="U125" s="124">
        <f t="shared" si="3"/>
        <v>1</v>
      </c>
      <c r="V125" s="124">
        <v>1.0</v>
      </c>
      <c r="W125" s="124"/>
      <c r="X125" s="125"/>
      <c r="Y125" s="126"/>
      <c r="Z125" s="125">
        <f t="shared" si="4"/>
        <v>1</v>
      </c>
      <c r="AA125" s="127" t="str">
        <f t="shared" si="5"/>
        <v>Bajo</v>
      </c>
      <c r="AB125" s="128">
        <f t="shared" si="6"/>
        <v>1</v>
      </c>
      <c r="AC125" s="129">
        <f t="shared" si="7"/>
        <v>0.02529822128</v>
      </c>
    </row>
    <row r="126" ht="14.25" hidden="1" customHeight="1">
      <c r="A126" s="116" t="s">
        <v>539</v>
      </c>
      <c r="B126" s="117" t="s">
        <v>575</v>
      </c>
      <c r="C126" s="117" t="s">
        <v>589</v>
      </c>
      <c r="D126" s="117" t="s">
        <v>590</v>
      </c>
      <c r="E126" s="117" t="s">
        <v>589</v>
      </c>
      <c r="F126" s="117" t="s">
        <v>591</v>
      </c>
      <c r="G126" s="117" t="s">
        <v>592</v>
      </c>
      <c r="H126" s="117" t="s">
        <v>593</v>
      </c>
      <c r="I126" s="117">
        <v>1.0</v>
      </c>
      <c r="J126" s="117">
        <v>1.0</v>
      </c>
      <c r="K126" s="117" t="str">
        <f t="shared" si="1"/>
        <v>No</v>
      </c>
      <c r="L126" s="118" t="s">
        <v>116</v>
      </c>
      <c r="M126" s="119">
        <v>0.16666666666666666</v>
      </c>
      <c r="N126" s="120">
        <v>0.0</v>
      </c>
      <c r="O126" s="121"/>
      <c r="P126" s="117">
        <v>0.0</v>
      </c>
      <c r="Q126" s="117">
        <f t="shared" si="2"/>
        <v>0</v>
      </c>
      <c r="R126" s="122">
        <f>+(IF(((M126*24)-P126)&lt;0,0,((M126*24)-P126)*'Estimación de pérdidas'!$F$72))*N126</f>
        <v>0</v>
      </c>
      <c r="S126" s="123" t="s">
        <v>117</v>
      </c>
      <c r="T126" s="124" t="s">
        <v>119</v>
      </c>
      <c r="U126" s="124">
        <f t="shared" si="3"/>
        <v>1</v>
      </c>
      <c r="V126" s="124">
        <v>1.0</v>
      </c>
      <c r="W126" s="124"/>
      <c r="X126" s="125"/>
      <c r="Y126" s="126"/>
      <c r="Z126" s="125">
        <f t="shared" si="4"/>
        <v>1</v>
      </c>
      <c r="AA126" s="127" t="str">
        <f t="shared" si="5"/>
        <v>Bajo</v>
      </c>
      <c r="AB126" s="128">
        <f t="shared" si="6"/>
        <v>4</v>
      </c>
      <c r="AC126" s="129">
        <f t="shared" si="7"/>
        <v>0.07589466384</v>
      </c>
    </row>
    <row r="127" ht="14.25" hidden="1" customHeight="1">
      <c r="A127" s="116" t="s">
        <v>539</v>
      </c>
      <c r="B127" s="117" t="s">
        <v>575</v>
      </c>
      <c r="C127" s="117" t="s">
        <v>594</v>
      </c>
      <c r="D127" s="117" t="s">
        <v>595</v>
      </c>
      <c r="E127" s="117" t="s">
        <v>594</v>
      </c>
      <c r="F127" s="117" t="s">
        <v>596</v>
      </c>
      <c r="G127" s="117" t="s">
        <v>179</v>
      </c>
      <c r="H127" s="117" t="s">
        <v>597</v>
      </c>
      <c r="I127" s="117">
        <v>3.0</v>
      </c>
      <c r="J127" s="117">
        <v>2.0</v>
      </c>
      <c r="K127" s="117" t="str">
        <f t="shared" si="1"/>
        <v>Si</v>
      </c>
      <c r="L127" s="118" t="s">
        <v>287</v>
      </c>
      <c r="M127" s="119">
        <v>0.33</v>
      </c>
      <c r="N127" s="120">
        <v>0.0</v>
      </c>
      <c r="O127" s="121">
        <v>91.32</v>
      </c>
      <c r="P127" s="117">
        <v>1.0</v>
      </c>
      <c r="Q127" s="117">
        <f t="shared" si="2"/>
        <v>0</v>
      </c>
      <c r="R127" s="122">
        <f>+(IF(((M127*24)-P127)&lt;0,0,((M127*24)-P127)*'Estimación de pérdidas'!$F$72))*N127</f>
        <v>0</v>
      </c>
      <c r="S127" s="123" t="s">
        <v>117</v>
      </c>
      <c r="T127" s="124" t="s">
        <v>119</v>
      </c>
      <c r="U127" s="124">
        <f t="shared" si="3"/>
        <v>1</v>
      </c>
      <c r="V127" s="124">
        <v>1.0</v>
      </c>
      <c r="W127" s="124"/>
      <c r="X127" s="125"/>
      <c r="Y127" s="126"/>
      <c r="Z127" s="125">
        <f t="shared" si="4"/>
        <v>1</v>
      </c>
      <c r="AA127" s="127" t="str">
        <f t="shared" si="5"/>
        <v>Bajo</v>
      </c>
      <c r="AB127" s="128">
        <f t="shared" si="6"/>
        <v>4</v>
      </c>
      <c r="AC127" s="129">
        <f t="shared" si="7"/>
        <v>0.07589466384</v>
      </c>
    </row>
    <row r="128" ht="14.25" hidden="1" customHeight="1">
      <c r="A128" s="116" t="s">
        <v>539</v>
      </c>
      <c r="B128" s="117" t="s">
        <v>575</v>
      </c>
      <c r="C128" s="117" t="s">
        <v>598</v>
      </c>
      <c r="D128" s="117" t="s">
        <v>599</v>
      </c>
      <c r="E128" s="117" t="s">
        <v>598</v>
      </c>
      <c r="F128" s="117" t="s">
        <v>596</v>
      </c>
      <c r="G128" s="117" t="s">
        <v>179</v>
      </c>
      <c r="H128" s="117" t="s">
        <v>597</v>
      </c>
      <c r="I128" s="117">
        <v>3.0</v>
      </c>
      <c r="J128" s="117">
        <v>2.0</v>
      </c>
      <c r="K128" s="117" t="str">
        <f t="shared" si="1"/>
        <v>Si</v>
      </c>
      <c r="L128" s="118" t="s">
        <v>287</v>
      </c>
      <c r="M128" s="119">
        <v>0.33</v>
      </c>
      <c r="N128" s="120">
        <v>0.0</v>
      </c>
      <c r="O128" s="121">
        <v>91.32</v>
      </c>
      <c r="P128" s="117">
        <v>1.0</v>
      </c>
      <c r="Q128" s="117">
        <f t="shared" si="2"/>
        <v>0</v>
      </c>
      <c r="R128" s="122">
        <f>+(IF(((M128*24)-P128)&lt;0,0,((M128*24)-P128)*'Estimación de pérdidas'!$F$72))*N128</f>
        <v>0</v>
      </c>
      <c r="S128" s="123" t="s">
        <v>117</v>
      </c>
      <c r="T128" s="124" t="s">
        <v>119</v>
      </c>
      <c r="U128" s="124">
        <f t="shared" si="3"/>
        <v>1</v>
      </c>
      <c r="V128" s="124">
        <v>1.0</v>
      </c>
      <c r="W128" s="124"/>
      <c r="X128" s="125"/>
      <c r="Y128" s="126"/>
      <c r="Z128" s="125">
        <f t="shared" si="4"/>
        <v>1</v>
      </c>
      <c r="AA128" s="127" t="str">
        <f t="shared" si="5"/>
        <v>Bajo</v>
      </c>
      <c r="AB128" s="128">
        <f t="shared" si="6"/>
        <v>4</v>
      </c>
      <c r="AC128" s="129">
        <f t="shared" si="7"/>
        <v>0.07589466384</v>
      </c>
    </row>
    <row r="129" ht="14.25" hidden="1" customHeight="1">
      <c r="A129" s="116" t="s">
        <v>539</v>
      </c>
      <c r="B129" s="117" t="s">
        <v>575</v>
      </c>
      <c r="C129" s="117" t="s">
        <v>600</v>
      </c>
      <c r="D129" s="117" t="s">
        <v>601</v>
      </c>
      <c r="E129" s="117" t="s">
        <v>600</v>
      </c>
      <c r="F129" s="117" t="s">
        <v>596</v>
      </c>
      <c r="G129" s="117" t="s">
        <v>179</v>
      </c>
      <c r="H129" s="117" t="s">
        <v>597</v>
      </c>
      <c r="I129" s="117">
        <v>3.0</v>
      </c>
      <c r="J129" s="117">
        <v>2.0</v>
      </c>
      <c r="K129" s="117" t="str">
        <f t="shared" si="1"/>
        <v>Si</v>
      </c>
      <c r="L129" s="118" t="s">
        <v>287</v>
      </c>
      <c r="M129" s="119">
        <v>0.33</v>
      </c>
      <c r="N129" s="120">
        <v>0.0</v>
      </c>
      <c r="O129" s="121">
        <v>91.32</v>
      </c>
      <c r="P129" s="117">
        <v>1.0</v>
      </c>
      <c r="Q129" s="117">
        <f t="shared" si="2"/>
        <v>0</v>
      </c>
      <c r="R129" s="122">
        <f>+(IF(((M129*24)-P129)&lt;0,0,((M129*24)-P129)*'Estimación de pérdidas'!$F$72))*N129</f>
        <v>0</v>
      </c>
      <c r="S129" s="123" t="s">
        <v>117</v>
      </c>
      <c r="T129" s="124" t="s">
        <v>119</v>
      </c>
      <c r="U129" s="124">
        <f t="shared" si="3"/>
        <v>1</v>
      </c>
      <c r="V129" s="124">
        <v>1.0</v>
      </c>
      <c r="W129" s="124"/>
      <c r="X129" s="125"/>
      <c r="Y129" s="126"/>
      <c r="Z129" s="125">
        <f t="shared" si="4"/>
        <v>1</v>
      </c>
      <c r="AA129" s="127" t="str">
        <f t="shared" si="5"/>
        <v>Bajo</v>
      </c>
      <c r="AB129" s="128">
        <f t="shared" si="6"/>
        <v>4</v>
      </c>
      <c r="AC129" s="129">
        <f t="shared" si="7"/>
        <v>0.07589466384</v>
      </c>
    </row>
    <row r="130" ht="14.25" hidden="1" customHeight="1">
      <c r="A130" s="116" t="s">
        <v>539</v>
      </c>
      <c r="B130" s="117" t="s">
        <v>575</v>
      </c>
      <c r="C130" s="117" t="s">
        <v>602</v>
      </c>
      <c r="D130" s="117" t="s">
        <v>603</v>
      </c>
      <c r="E130" s="117" t="s">
        <v>604</v>
      </c>
      <c r="F130" s="117" t="s">
        <v>605</v>
      </c>
      <c r="G130" s="117" t="s">
        <v>188</v>
      </c>
      <c r="H130" s="117" t="s">
        <v>606</v>
      </c>
      <c r="I130" s="117">
        <v>1.0</v>
      </c>
      <c r="J130" s="117">
        <v>1.0</v>
      </c>
      <c r="K130" s="117" t="str">
        <f t="shared" si="1"/>
        <v>No</v>
      </c>
      <c r="L130" s="118" t="s">
        <v>116</v>
      </c>
      <c r="M130" s="119">
        <v>0.5</v>
      </c>
      <c r="N130" s="120">
        <v>0.0</v>
      </c>
      <c r="O130" s="121"/>
      <c r="P130" s="117">
        <v>0.0</v>
      </c>
      <c r="Q130" s="117">
        <f t="shared" si="2"/>
        <v>0</v>
      </c>
      <c r="R130" s="122">
        <f>+(IF(((M130*24)-P130)&lt;0,0,((M130*24)-P130)*'Estimación de pérdidas'!$F$72))*N130</f>
        <v>0</v>
      </c>
      <c r="S130" s="123" t="s">
        <v>117</v>
      </c>
      <c r="T130" s="124" t="s">
        <v>118</v>
      </c>
      <c r="U130" s="124">
        <f t="shared" si="3"/>
        <v>1</v>
      </c>
      <c r="V130" s="124">
        <v>2.0</v>
      </c>
      <c r="W130" s="124">
        <v>4.0</v>
      </c>
      <c r="X130" s="125"/>
      <c r="Y130" s="126"/>
      <c r="Z130" s="125">
        <f t="shared" si="4"/>
        <v>4</v>
      </c>
      <c r="AA130" s="127" t="str">
        <f t="shared" si="5"/>
        <v>Moderado</v>
      </c>
      <c r="AB130" s="128">
        <f t="shared" si="6"/>
        <v>14</v>
      </c>
      <c r="AC130" s="129">
        <f t="shared" si="7"/>
        <v>0.1639512123</v>
      </c>
      <c r="AD130" s="130"/>
    </row>
    <row r="131" ht="14.25" hidden="1" customHeight="1">
      <c r="A131" s="116" t="s">
        <v>539</v>
      </c>
      <c r="B131" s="117" t="s">
        <v>575</v>
      </c>
      <c r="C131" s="117" t="s">
        <v>607</v>
      </c>
      <c r="D131" s="117" t="s">
        <v>608</v>
      </c>
      <c r="E131" s="117" t="s">
        <v>609</v>
      </c>
      <c r="F131" s="117" t="s">
        <v>610</v>
      </c>
      <c r="G131" s="117" t="s">
        <v>188</v>
      </c>
      <c r="H131" s="117" t="s">
        <v>606</v>
      </c>
      <c r="I131" s="117">
        <v>1.0</v>
      </c>
      <c r="J131" s="117">
        <v>1.0</v>
      </c>
      <c r="K131" s="117" t="str">
        <f t="shared" si="1"/>
        <v>No</v>
      </c>
      <c r="L131" s="118" t="s">
        <v>116</v>
      </c>
      <c r="M131" s="119">
        <v>0.5</v>
      </c>
      <c r="N131" s="120">
        <v>0.0</v>
      </c>
      <c r="O131" s="121"/>
      <c r="P131" s="117">
        <v>0.0</v>
      </c>
      <c r="Q131" s="117">
        <f t="shared" si="2"/>
        <v>0</v>
      </c>
      <c r="R131" s="122">
        <f>+(IF(((M131*24)-P131)&lt;0,0,((M131*24)-P131)*'Estimación de pérdidas'!$F$72))*N131</f>
        <v>0</v>
      </c>
      <c r="S131" s="123" t="s">
        <v>117</v>
      </c>
      <c r="T131" s="124" t="s">
        <v>118</v>
      </c>
      <c r="U131" s="124">
        <f t="shared" si="3"/>
        <v>1</v>
      </c>
      <c r="V131" s="124">
        <v>2.0</v>
      </c>
      <c r="W131" s="124">
        <v>4.0</v>
      </c>
      <c r="X131" s="125"/>
      <c r="Y131" s="126"/>
      <c r="Z131" s="125">
        <f t="shared" si="4"/>
        <v>4</v>
      </c>
      <c r="AA131" s="127" t="str">
        <f t="shared" si="5"/>
        <v>Moderado</v>
      </c>
      <c r="AB131" s="128">
        <f t="shared" si="6"/>
        <v>14</v>
      </c>
      <c r="AC131" s="129">
        <f t="shared" si="7"/>
        <v>0.1639512123</v>
      </c>
      <c r="AD131" s="130"/>
    </row>
    <row r="132" ht="14.25" hidden="1" customHeight="1">
      <c r="A132" s="116" t="s">
        <v>539</v>
      </c>
      <c r="B132" s="117" t="s">
        <v>575</v>
      </c>
      <c r="C132" s="117" t="s">
        <v>611</v>
      </c>
      <c r="D132" s="117" t="s">
        <v>612</v>
      </c>
      <c r="E132" s="117" t="s">
        <v>613</v>
      </c>
      <c r="F132" s="117" t="s">
        <v>614</v>
      </c>
      <c r="G132" s="117" t="s">
        <v>615</v>
      </c>
      <c r="H132" s="117" t="s">
        <v>616</v>
      </c>
      <c r="I132" s="117">
        <v>1.0</v>
      </c>
      <c r="J132" s="117">
        <v>1.0</v>
      </c>
      <c r="K132" s="117" t="str">
        <f t="shared" si="1"/>
        <v>No</v>
      </c>
      <c r="L132" s="118" t="s">
        <v>116</v>
      </c>
      <c r="M132" s="119">
        <v>0.3333333333333333</v>
      </c>
      <c r="N132" s="120">
        <v>0.0</v>
      </c>
      <c r="O132" s="121">
        <v>4.2</v>
      </c>
      <c r="P132" s="117">
        <v>20.892772667542705</v>
      </c>
      <c r="Q132" s="117">
        <f t="shared" si="2"/>
        <v>0</v>
      </c>
      <c r="R132" s="122">
        <f>+(IF(((M132*24)-P132)&lt;0,0,((M132*24)-P132)*'Estimación de pérdidas'!$F$72))*N132</f>
        <v>0</v>
      </c>
      <c r="S132" s="123" t="s">
        <v>272</v>
      </c>
      <c r="T132" s="124" t="s">
        <v>119</v>
      </c>
      <c r="U132" s="124">
        <f t="shared" si="3"/>
        <v>1</v>
      </c>
      <c r="V132" s="124">
        <v>1.0</v>
      </c>
      <c r="W132" s="124"/>
      <c r="X132" s="125">
        <v>2.0</v>
      </c>
      <c r="Y132" s="126"/>
      <c r="Z132" s="125">
        <f t="shared" si="4"/>
        <v>2</v>
      </c>
      <c r="AA132" s="127" t="str">
        <f t="shared" si="5"/>
        <v>Moderado</v>
      </c>
      <c r="AB132" s="128">
        <f t="shared" si="6"/>
        <v>8</v>
      </c>
      <c r="AC132" s="129">
        <f t="shared" si="7"/>
        <v>0.1314534138</v>
      </c>
      <c r="AD132" s="131"/>
    </row>
    <row r="133" ht="14.25" hidden="1" customHeight="1">
      <c r="A133" s="116" t="s">
        <v>539</v>
      </c>
      <c r="B133" s="117" t="s">
        <v>575</v>
      </c>
      <c r="C133" s="117" t="s">
        <v>611</v>
      </c>
      <c r="D133" s="117" t="s">
        <v>617</v>
      </c>
      <c r="E133" s="117" t="s">
        <v>613</v>
      </c>
      <c r="F133" s="117" t="s">
        <v>618</v>
      </c>
      <c r="G133" s="117" t="s">
        <v>615</v>
      </c>
      <c r="H133" s="117" t="s">
        <v>616</v>
      </c>
      <c r="I133" s="117">
        <v>1.0</v>
      </c>
      <c r="J133" s="117">
        <v>1.0</v>
      </c>
      <c r="K133" s="117" t="str">
        <f t="shared" si="1"/>
        <v>No</v>
      </c>
      <c r="L133" s="118" t="s">
        <v>116</v>
      </c>
      <c r="M133" s="119">
        <v>0.3333333333333333</v>
      </c>
      <c r="N133" s="120">
        <v>0.0</v>
      </c>
      <c r="O133" s="121">
        <v>91.32</v>
      </c>
      <c r="P133" s="117">
        <v>1.0</v>
      </c>
      <c r="Q133" s="117">
        <f t="shared" si="2"/>
        <v>0</v>
      </c>
      <c r="R133" s="122">
        <f>+(IF(((M133*24)-P133)&lt;0,0,((M133*24)-P133)*'Estimación de pérdidas'!$F$72))*N133</f>
        <v>0</v>
      </c>
      <c r="S133" s="123" t="s">
        <v>272</v>
      </c>
      <c r="T133" s="124" t="s">
        <v>119</v>
      </c>
      <c r="U133" s="124">
        <f t="shared" si="3"/>
        <v>1</v>
      </c>
      <c r="V133" s="124">
        <v>1.0</v>
      </c>
      <c r="W133" s="124"/>
      <c r="X133" s="125">
        <v>2.0</v>
      </c>
      <c r="Y133" s="126"/>
      <c r="Z133" s="125">
        <f t="shared" si="4"/>
        <v>2</v>
      </c>
      <c r="AA133" s="127" t="str">
        <f t="shared" si="5"/>
        <v>Moderado</v>
      </c>
      <c r="AB133" s="128">
        <f t="shared" si="6"/>
        <v>8</v>
      </c>
      <c r="AC133" s="129">
        <f t="shared" si="7"/>
        <v>0.1314534138</v>
      </c>
      <c r="AD133" s="131"/>
    </row>
    <row r="134" ht="14.25" hidden="1" customHeight="1">
      <c r="A134" s="116" t="s">
        <v>539</v>
      </c>
      <c r="B134" s="117" t="s">
        <v>575</v>
      </c>
      <c r="C134" s="117" t="s">
        <v>619</v>
      </c>
      <c r="D134" s="117" t="s">
        <v>620</v>
      </c>
      <c r="E134" s="117" t="s">
        <v>619</v>
      </c>
      <c r="F134" s="117" t="s">
        <v>621</v>
      </c>
      <c r="G134" s="117" t="s">
        <v>622</v>
      </c>
      <c r="H134" s="117" t="s">
        <v>623</v>
      </c>
      <c r="I134" s="117">
        <v>3.0</v>
      </c>
      <c r="J134" s="117">
        <v>2.0</v>
      </c>
      <c r="K134" s="117" t="str">
        <f t="shared" si="1"/>
        <v>Si</v>
      </c>
      <c r="L134" s="118" t="s">
        <v>287</v>
      </c>
      <c r="M134" s="119">
        <v>0.25</v>
      </c>
      <c r="N134" s="120">
        <v>0.0</v>
      </c>
      <c r="O134" s="121">
        <v>3.8</v>
      </c>
      <c r="P134" s="117">
        <v>20.988699080157687</v>
      </c>
      <c r="Q134" s="117">
        <f t="shared" si="2"/>
        <v>0</v>
      </c>
      <c r="R134" s="122">
        <f>+(IF(((M134*24)-P134)&lt;0,0,((M134*24)-P134)*'Estimación de pérdidas'!$F$72))*N134</f>
        <v>0</v>
      </c>
      <c r="S134" s="123" t="s">
        <v>117</v>
      </c>
      <c r="T134" s="124" t="s">
        <v>119</v>
      </c>
      <c r="U134" s="124">
        <f t="shared" si="3"/>
        <v>1</v>
      </c>
      <c r="V134" s="124">
        <v>2.0</v>
      </c>
      <c r="W134" s="124"/>
      <c r="X134" s="125"/>
      <c r="Y134" s="126"/>
      <c r="Z134" s="125">
        <f t="shared" si="4"/>
        <v>2</v>
      </c>
      <c r="AA134" s="127" t="str">
        <f t="shared" si="5"/>
        <v>Moderado</v>
      </c>
      <c r="AB134" s="128">
        <f t="shared" si="6"/>
        <v>8</v>
      </c>
      <c r="AC134" s="129">
        <f t="shared" si="7"/>
        <v>0.12</v>
      </c>
      <c r="AD134" s="131"/>
    </row>
    <row r="135" ht="14.25" hidden="1" customHeight="1">
      <c r="A135" s="116" t="s">
        <v>539</v>
      </c>
      <c r="B135" s="117" t="s">
        <v>575</v>
      </c>
      <c r="C135" s="117" t="s">
        <v>619</v>
      </c>
      <c r="D135" s="117" t="s">
        <v>624</v>
      </c>
      <c r="E135" s="117" t="s">
        <v>619</v>
      </c>
      <c r="F135" s="117" t="s">
        <v>625</v>
      </c>
      <c r="G135" s="117" t="s">
        <v>622</v>
      </c>
      <c r="H135" s="117" t="s">
        <v>623</v>
      </c>
      <c r="I135" s="117">
        <v>3.0</v>
      </c>
      <c r="J135" s="117">
        <v>2.0</v>
      </c>
      <c r="K135" s="117" t="str">
        <f t="shared" si="1"/>
        <v>Si</v>
      </c>
      <c r="L135" s="118" t="s">
        <v>287</v>
      </c>
      <c r="M135" s="119">
        <v>0.25</v>
      </c>
      <c r="N135" s="120">
        <v>0.0</v>
      </c>
      <c r="O135" s="121">
        <v>3.8</v>
      </c>
      <c r="P135" s="117">
        <v>20.988699080157687</v>
      </c>
      <c r="Q135" s="117">
        <f t="shared" si="2"/>
        <v>0</v>
      </c>
      <c r="R135" s="122">
        <f>+(IF(((M135*24)-P135)&lt;0,0,((M135*24)-P135)*'Estimación de pérdidas'!$F$72))*N135</f>
        <v>0</v>
      </c>
      <c r="S135" s="123" t="s">
        <v>117</v>
      </c>
      <c r="T135" s="124" t="s">
        <v>119</v>
      </c>
      <c r="U135" s="124">
        <f t="shared" si="3"/>
        <v>1</v>
      </c>
      <c r="V135" s="124">
        <v>2.0</v>
      </c>
      <c r="W135" s="124"/>
      <c r="X135" s="125"/>
      <c r="Y135" s="126"/>
      <c r="Z135" s="125">
        <f t="shared" si="4"/>
        <v>2</v>
      </c>
      <c r="AA135" s="127" t="str">
        <f t="shared" si="5"/>
        <v>Moderado</v>
      </c>
      <c r="AB135" s="128">
        <f t="shared" si="6"/>
        <v>8</v>
      </c>
      <c r="AC135" s="129">
        <f t="shared" si="7"/>
        <v>0.12</v>
      </c>
      <c r="AD135" s="131"/>
    </row>
    <row r="136" ht="14.25" hidden="1" customHeight="1">
      <c r="A136" s="116" t="s">
        <v>539</v>
      </c>
      <c r="B136" s="117" t="s">
        <v>575</v>
      </c>
      <c r="C136" s="117" t="s">
        <v>619</v>
      </c>
      <c r="D136" s="117" t="s">
        <v>626</v>
      </c>
      <c r="E136" s="117" t="s">
        <v>619</v>
      </c>
      <c r="F136" s="117" t="s">
        <v>627</v>
      </c>
      <c r="G136" s="117" t="s">
        <v>622</v>
      </c>
      <c r="H136" s="117" t="s">
        <v>623</v>
      </c>
      <c r="I136" s="117">
        <v>3.0</v>
      </c>
      <c r="J136" s="117">
        <v>2.0</v>
      </c>
      <c r="K136" s="117" t="str">
        <f t="shared" si="1"/>
        <v>Si</v>
      </c>
      <c r="L136" s="118" t="s">
        <v>287</v>
      </c>
      <c r="M136" s="119">
        <v>0.25</v>
      </c>
      <c r="N136" s="120">
        <v>0.0</v>
      </c>
      <c r="O136" s="121">
        <v>3.8</v>
      </c>
      <c r="P136" s="117">
        <v>20.988699080157687</v>
      </c>
      <c r="Q136" s="117">
        <f t="shared" si="2"/>
        <v>0</v>
      </c>
      <c r="R136" s="122">
        <f>+(IF(((M136*24)-P136)&lt;0,0,((M136*24)-P136)*'Estimación de pérdidas'!$F$72))*N136</f>
        <v>0</v>
      </c>
      <c r="S136" s="123" t="s">
        <v>117</v>
      </c>
      <c r="T136" s="124" t="s">
        <v>119</v>
      </c>
      <c r="U136" s="124">
        <f t="shared" si="3"/>
        <v>1</v>
      </c>
      <c r="V136" s="124">
        <v>2.0</v>
      </c>
      <c r="W136" s="124"/>
      <c r="X136" s="125"/>
      <c r="Y136" s="126"/>
      <c r="Z136" s="125">
        <f t="shared" si="4"/>
        <v>2</v>
      </c>
      <c r="AA136" s="127" t="str">
        <f t="shared" si="5"/>
        <v>Moderado</v>
      </c>
      <c r="AB136" s="128">
        <f t="shared" si="6"/>
        <v>8</v>
      </c>
      <c r="AC136" s="129">
        <f t="shared" si="7"/>
        <v>0.12</v>
      </c>
      <c r="AD136" s="131"/>
    </row>
    <row r="137" ht="14.25" hidden="1" customHeight="1">
      <c r="A137" s="116" t="s">
        <v>539</v>
      </c>
      <c r="B137" s="117" t="s">
        <v>575</v>
      </c>
      <c r="C137" s="117" t="s">
        <v>628</v>
      </c>
      <c r="D137" s="117" t="s">
        <v>629</v>
      </c>
      <c r="E137" s="117" t="s">
        <v>628</v>
      </c>
      <c r="F137" s="117" t="s">
        <v>630</v>
      </c>
      <c r="G137" s="117" t="s">
        <v>622</v>
      </c>
      <c r="H137" s="117" t="s">
        <v>631</v>
      </c>
      <c r="I137" s="117">
        <v>1.0</v>
      </c>
      <c r="J137" s="117">
        <v>1.0</v>
      </c>
      <c r="K137" s="117" t="str">
        <f t="shared" si="1"/>
        <v>No</v>
      </c>
      <c r="L137" s="118" t="s">
        <v>116</v>
      </c>
      <c r="M137" s="119">
        <v>0.3333333333333333</v>
      </c>
      <c r="N137" s="120">
        <v>1.0</v>
      </c>
      <c r="O137" s="121">
        <v>91.32</v>
      </c>
      <c r="P137" s="117">
        <v>1.0</v>
      </c>
      <c r="Q137" s="117">
        <f t="shared" si="2"/>
        <v>7</v>
      </c>
      <c r="R137" s="122">
        <f>+(IF(((M137*24)-P137)&lt;0,0,((M137*24)-P137)*'Estimación de pérdidas'!$F$72))*N137</f>
        <v>403746.5244</v>
      </c>
      <c r="S137" s="123" t="s">
        <v>117</v>
      </c>
      <c r="T137" s="124" t="s">
        <v>118</v>
      </c>
      <c r="U137" s="124">
        <f t="shared" si="3"/>
        <v>3</v>
      </c>
      <c r="V137" s="124">
        <v>1.0</v>
      </c>
      <c r="W137" s="124"/>
      <c r="X137" s="125"/>
      <c r="Y137" s="126"/>
      <c r="Z137" s="125">
        <f t="shared" si="4"/>
        <v>3</v>
      </c>
      <c r="AA137" s="127" t="str">
        <f t="shared" si="5"/>
        <v>Moderado</v>
      </c>
      <c r="AB137" s="128">
        <f t="shared" si="6"/>
        <v>9</v>
      </c>
      <c r="AC137" s="129">
        <f t="shared" si="7"/>
        <v>0.113137085</v>
      </c>
      <c r="AD137" s="131"/>
    </row>
    <row r="138" ht="14.25" hidden="1" customHeight="1">
      <c r="A138" s="116" t="s">
        <v>539</v>
      </c>
      <c r="B138" s="117" t="s">
        <v>575</v>
      </c>
      <c r="C138" s="117" t="s">
        <v>632</v>
      </c>
      <c r="D138" s="117" t="s">
        <v>633</v>
      </c>
      <c r="E138" s="117" t="s">
        <v>632</v>
      </c>
      <c r="F138" s="117" t="s">
        <v>634</v>
      </c>
      <c r="G138" s="117" t="s">
        <v>622</v>
      </c>
      <c r="H138" s="117" t="s">
        <v>623</v>
      </c>
      <c r="I138" s="117">
        <v>1.0</v>
      </c>
      <c r="J138" s="117">
        <v>1.0</v>
      </c>
      <c r="K138" s="117" t="str">
        <f t="shared" si="1"/>
        <v>No</v>
      </c>
      <c r="L138" s="118" t="s">
        <v>116</v>
      </c>
      <c r="M138" s="119">
        <v>0.25</v>
      </c>
      <c r="N138" s="120">
        <v>1.0</v>
      </c>
      <c r="O138" s="121">
        <v>12.5</v>
      </c>
      <c r="P138" s="117">
        <v>18.902299605781863</v>
      </c>
      <c r="Q138" s="117">
        <f t="shared" si="2"/>
        <v>0</v>
      </c>
      <c r="R138" s="122">
        <f>+(IF(((M138*24)-P138)&lt;0,0,((M138*24)-P138)*'Estimación de pérdidas'!$F$72))*N138</f>
        <v>0</v>
      </c>
      <c r="S138" s="123" t="s">
        <v>117</v>
      </c>
      <c r="T138" s="124" t="s">
        <v>119</v>
      </c>
      <c r="U138" s="124">
        <f t="shared" si="3"/>
        <v>1</v>
      </c>
      <c r="V138" s="124">
        <v>1.0</v>
      </c>
      <c r="W138" s="124"/>
      <c r="X138" s="125"/>
      <c r="Y138" s="126"/>
      <c r="Z138" s="125">
        <f t="shared" si="4"/>
        <v>1</v>
      </c>
      <c r="AA138" s="127" t="str">
        <f t="shared" si="5"/>
        <v>Bajo</v>
      </c>
      <c r="AB138" s="128">
        <f t="shared" si="6"/>
        <v>4</v>
      </c>
      <c r="AC138" s="129">
        <f t="shared" si="7"/>
        <v>0.07589466384</v>
      </c>
    </row>
    <row r="139" ht="14.25" hidden="1" customHeight="1">
      <c r="A139" s="116" t="s">
        <v>539</v>
      </c>
      <c r="B139" s="117" t="s">
        <v>575</v>
      </c>
      <c r="C139" s="117" t="s">
        <v>635</v>
      </c>
      <c r="D139" s="117" t="s">
        <v>636</v>
      </c>
      <c r="E139" s="117" t="s">
        <v>635</v>
      </c>
      <c r="F139" s="117" t="s">
        <v>637</v>
      </c>
      <c r="G139" s="117" t="s">
        <v>622</v>
      </c>
      <c r="H139" s="117" t="s">
        <v>631</v>
      </c>
      <c r="I139" s="117">
        <v>1.0</v>
      </c>
      <c r="J139" s="117">
        <v>1.0</v>
      </c>
      <c r="K139" s="117" t="str">
        <f t="shared" si="1"/>
        <v>No</v>
      </c>
      <c r="L139" s="118" t="s">
        <v>116</v>
      </c>
      <c r="M139" s="119">
        <v>0.25</v>
      </c>
      <c r="N139" s="120">
        <v>1.0</v>
      </c>
      <c r="O139" s="121">
        <v>91.32</v>
      </c>
      <c r="P139" s="117">
        <v>1.0</v>
      </c>
      <c r="Q139" s="117">
        <f t="shared" si="2"/>
        <v>5</v>
      </c>
      <c r="R139" s="122">
        <f>+(IF(((M139*24)-P139)&lt;0,0,((M139*24)-P139)*'Estimación de pérdidas'!$F$72))*N139</f>
        <v>288390.3746</v>
      </c>
      <c r="S139" s="123" t="s">
        <v>117</v>
      </c>
      <c r="T139" s="124" t="s">
        <v>119</v>
      </c>
      <c r="U139" s="124">
        <f t="shared" si="3"/>
        <v>3</v>
      </c>
      <c r="V139" s="124">
        <v>1.0</v>
      </c>
      <c r="W139" s="124"/>
      <c r="X139" s="125"/>
      <c r="Y139" s="126"/>
      <c r="Z139" s="125">
        <f t="shared" si="4"/>
        <v>3</v>
      </c>
      <c r="AA139" s="127" t="str">
        <f t="shared" si="5"/>
        <v>Moderado</v>
      </c>
      <c r="AB139" s="128">
        <f t="shared" si="6"/>
        <v>13</v>
      </c>
      <c r="AC139" s="129">
        <f t="shared" si="7"/>
        <v>0.1697056275</v>
      </c>
      <c r="AD139" s="131"/>
    </row>
    <row r="140" ht="14.25" customHeight="1">
      <c r="A140" s="116" t="s">
        <v>539</v>
      </c>
      <c r="B140" s="117" t="s">
        <v>575</v>
      </c>
      <c r="C140" s="117" t="s">
        <v>638</v>
      </c>
      <c r="D140" s="117" t="s">
        <v>639</v>
      </c>
      <c r="E140" s="117" t="s">
        <v>640</v>
      </c>
      <c r="F140" s="117" t="s">
        <v>641</v>
      </c>
      <c r="G140" s="117" t="s">
        <v>642</v>
      </c>
      <c r="H140" s="117" t="s">
        <v>643</v>
      </c>
      <c r="I140" s="117">
        <v>3.0</v>
      </c>
      <c r="J140" s="117">
        <v>2.0</v>
      </c>
      <c r="K140" s="117" t="str">
        <f t="shared" si="1"/>
        <v>Si</v>
      </c>
      <c r="L140" s="118" t="s">
        <v>287</v>
      </c>
      <c r="M140" s="119">
        <v>0.5</v>
      </c>
      <c r="N140" s="120">
        <v>0.0</v>
      </c>
      <c r="O140" s="121">
        <v>91.32</v>
      </c>
      <c r="P140" s="117">
        <v>1.0</v>
      </c>
      <c r="Q140" s="117">
        <f t="shared" si="2"/>
        <v>0</v>
      </c>
      <c r="R140" s="122">
        <f>+(IF(((M140*24)-P140)&lt;0,0,((M140*24)-P140)*'Estimación de pérdidas'!$F$72))*N140</f>
        <v>0</v>
      </c>
      <c r="S140" s="123" t="s">
        <v>117</v>
      </c>
      <c r="T140" s="124" t="s">
        <v>119</v>
      </c>
      <c r="U140" s="124">
        <f t="shared" si="3"/>
        <v>1</v>
      </c>
      <c r="V140" s="124">
        <v>2.0</v>
      </c>
      <c r="W140" s="124"/>
      <c r="X140" s="125"/>
      <c r="Y140" s="126"/>
      <c r="Z140" s="125">
        <f t="shared" si="4"/>
        <v>2</v>
      </c>
      <c r="AA140" s="127" t="str">
        <f t="shared" si="5"/>
        <v>Moderado</v>
      </c>
      <c r="AB140" s="128">
        <f t="shared" si="6"/>
        <v>8</v>
      </c>
      <c r="AC140" s="129">
        <f t="shared" si="7"/>
        <v>0.12</v>
      </c>
      <c r="AD140" s="131"/>
    </row>
    <row r="141" ht="14.25" customHeight="1">
      <c r="A141" s="116" t="s">
        <v>539</v>
      </c>
      <c r="B141" s="117" t="s">
        <v>575</v>
      </c>
      <c r="C141" s="117" t="s">
        <v>638</v>
      </c>
      <c r="D141" s="117" t="s">
        <v>644</v>
      </c>
      <c r="E141" s="117" t="s">
        <v>645</v>
      </c>
      <c r="F141" s="117" t="s">
        <v>641</v>
      </c>
      <c r="G141" s="117" t="s">
        <v>642</v>
      </c>
      <c r="H141" s="117" t="s">
        <v>643</v>
      </c>
      <c r="I141" s="117">
        <v>3.0</v>
      </c>
      <c r="J141" s="117">
        <v>2.0</v>
      </c>
      <c r="K141" s="117" t="str">
        <f t="shared" si="1"/>
        <v>Si</v>
      </c>
      <c r="L141" s="118" t="s">
        <v>287</v>
      </c>
      <c r="M141" s="119">
        <v>0.5</v>
      </c>
      <c r="N141" s="120">
        <v>0.0</v>
      </c>
      <c r="O141" s="121">
        <v>91.32</v>
      </c>
      <c r="P141" s="117">
        <v>1.0</v>
      </c>
      <c r="Q141" s="117">
        <f t="shared" si="2"/>
        <v>0</v>
      </c>
      <c r="R141" s="122">
        <f>+(IF(((M141*24)-P141)&lt;0,0,((M141*24)-P141)*'Estimación de pérdidas'!$F$72))*N141</f>
        <v>0</v>
      </c>
      <c r="S141" s="123" t="s">
        <v>117</v>
      </c>
      <c r="T141" s="124" t="s">
        <v>119</v>
      </c>
      <c r="U141" s="124">
        <f t="shared" si="3"/>
        <v>1</v>
      </c>
      <c r="V141" s="124">
        <v>2.0</v>
      </c>
      <c r="W141" s="124"/>
      <c r="X141" s="125"/>
      <c r="Y141" s="126"/>
      <c r="Z141" s="125">
        <f t="shared" si="4"/>
        <v>2</v>
      </c>
      <c r="AA141" s="127" t="str">
        <f t="shared" si="5"/>
        <v>Moderado</v>
      </c>
      <c r="AB141" s="128">
        <f t="shared" si="6"/>
        <v>8</v>
      </c>
      <c r="AC141" s="129">
        <f t="shared" si="7"/>
        <v>0.12</v>
      </c>
      <c r="AD141" s="131"/>
    </row>
    <row r="142" ht="14.25" customHeight="1">
      <c r="A142" s="116" t="s">
        <v>539</v>
      </c>
      <c r="B142" s="117" t="s">
        <v>575</v>
      </c>
      <c r="C142" s="117" t="s">
        <v>638</v>
      </c>
      <c r="D142" s="117" t="s">
        <v>646</v>
      </c>
      <c r="E142" s="117" t="s">
        <v>647</v>
      </c>
      <c r="F142" s="117" t="s">
        <v>641</v>
      </c>
      <c r="G142" s="117" t="s">
        <v>642</v>
      </c>
      <c r="H142" s="117" t="s">
        <v>643</v>
      </c>
      <c r="I142" s="117">
        <v>3.0</v>
      </c>
      <c r="J142" s="117">
        <v>2.0</v>
      </c>
      <c r="K142" s="117" t="str">
        <f t="shared" si="1"/>
        <v>Si</v>
      </c>
      <c r="L142" s="118" t="s">
        <v>287</v>
      </c>
      <c r="M142" s="119">
        <v>0.5</v>
      </c>
      <c r="N142" s="120">
        <v>0.0</v>
      </c>
      <c r="O142" s="121">
        <v>91.32</v>
      </c>
      <c r="P142" s="117">
        <v>1.0</v>
      </c>
      <c r="Q142" s="117">
        <f t="shared" si="2"/>
        <v>0</v>
      </c>
      <c r="R142" s="122">
        <f>+(IF(((M142*24)-P142)&lt;0,0,((M142*24)-P142)*'Estimación de pérdidas'!$F$72))*N142</f>
        <v>0</v>
      </c>
      <c r="S142" s="123" t="s">
        <v>117</v>
      </c>
      <c r="T142" s="124" t="s">
        <v>119</v>
      </c>
      <c r="U142" s="124">
        <f t="shared" si="3"/>
        <v>1</v>
      </c>
      <c r="V142" s="124">
        <v>2.0</v>
      </c>
      <c r="W142" s="124"/>
      <c r="X142" s="125"/>
      <c r="Y142" s="126"/>
      <c r="Z142" s="125">
        <f t="shared" si="4"/>
        <v>2</v>
      </c>
      <c r="AA142" s="127" t="str">
        <f t="shared" si="5"/>
        <v>Moderado</v>
      </c>
      <c r="AB142" s="128">
        <f t="shared" si="6"/>
        <v>8</v>
      </c>
      <c r="AC142" s="129">
        <f t="shared" si="7"/>
        <v>0.12</v>
      </c>
      <c r="AD142" s="131"/>
    </row>
    <row r="143" ht="14.25" customHeight="1">
      <c r="A143" s="116" t="s">
        <v>539</v>
      </c>
      <c r="B143" s="117" t="s">
        <v>575</v>
      </c>
      <c r="C143" s="117" t="s">
        <v>648</v>
      </c>
      <c r="D143" s="117" t="s">
        <v>649</v>
      </c>
      <c r="E143" s="117" t="s">
        <v>650</v>
      </c>
      <c r="F143" s="117" t="s">
        <v>651</v>
      </c>
      <c r="G143" s="117" t="s">
        <v>652</v>
      </c>
      <c r="H143" s="117" t="s">
        <v>653</v>
      </c>
      <c r="I143" s="117">
        <v>2.0</v>
      </c>
      <c r="J143" s="117">
        <v>1.0</v>
      </c>
      <c r="K143" s="117" t="str">
        <f t="shared" si="1"/>
        <v>Si</v>
      </c>
      <c r="L143" s="118" t="s">
        <v>287</v>
      </c>
      <c r="M143" s="119">
        <v>0.4166666666666667</v>
      </c>
      <c r="N143" s="120">
        <v>0.33</v>
      </c>
      <c r="O143" s="121">
        <v>91.32</v>
      </c>
      <c r="P143" s="117">
        <v>1.0</v>
      </c>
      <c r="Q143" s="117">
        <f t="shared" si="2"/>
        <v>2.97</v>
      </c>
      <c r="R143" s="122">
        <f>+(IF(((M143*24)-P143)&lt;0,0,((M143*24)-P143)*'Estimación de pérdidas'!$F$72))*N143</f>
        <v>171303.8825</v>
      </c>
      <c r="S143" s="123" t="s">
        <v>117</v>
      </c>
      <c r="T143" s="124" t="s">
        <v>119</v>
      </c>
      <c r="U143" s="124">
        <f t="shared" si="3"/>
        <v>2</v>
      </c>
      <c r="V143" s="124">
        <v>1.0</v>
      </c>
      <c r="W143" s="124"/>
      <c r="X143" s="125"/>
      <c r="Y143" s="126"/>
      <c r="Z143" s="125">
        <f t="shared" si="4"/>
        <v>2</v>
      </c>
      <c r="AA143" s="127" t="str">
        <f t="shared" si="5"/>
        <v>Moderado</v>
      </c>
      <c r="AB143" s="128">
        <f t="shared" si="6"/>
        <v>8</v>
      </c>
      <c r="AC143" s="129">
        <f t="shared" si="7"/>
        <v>0.12</v>
      </c>
      <c r="AD143" s="131"/>
    </row>
    <row r="144" ht="14.25" customHeight="1">
      <c r="A144" s="116" t="s">
        <v>539</v>
      </c>
      <c r="B144" s="117" t="s">
        <v>575</v>
      </c>
      <c r="C144" s="117" t="s">
        <v>654</v>
      </c>
      <c r="D144" s="117" t="s">
        <v>655</v>
      </c>
      <c r="E144" s="117" t="s">
        <v>656</v>
      </c>
      <c r="F144" s="117" t="s">
        <v>657</v>
      </c>
      <c r="G144" s="117" t="s">
        <v>652</v>
      </c>
      <c r="H144" s="117" t="s">
        <v>653</v>
      </c>
      <c r="I144" s="117">
        <v>2.0</v>
      </c>
      <c r="J144" s="117">
        <v>1.0</v>
      </c>
      <c r="K144" s="117" t="str">
        <f t="shared" si="1"/>
        <v>Si</v>
      </c>
      <c r="L144" s="118" t="s">
        <v>116</v>
      </c>
      <c r="M144" s="119">
        <v>0.4166666666666667</v>
      </c>
      <c r="N144" s="120">
        <v>0.33</v>
      </c>
      <c r="O144" s="121">
        <v>91.32</v>
      </c>
      <c r="P144" s="117">
        <v>1.0</v>
      </c>
      <c r="Q144" s="117">
        <f t="shared" si="2"/>
        <v>2.97</v>
      </c>
      <c r="R144" s="122">
        <f>+(IF(((M144*24)-P144)&lt;0,0,((M144*24)-P144)*'Estimación de pérdidas'!$F$72))*N144</f>
        <v>171303.8825</v>
      </c>
      <c r="S144" s="123" t="s">
        <v>117</v>
      </c>
      <c r="T144" s="124" t="s">
        <v>119</v>
      </c>
      <c r="U144" s="124">
        <f t="shared" si="3"/>
        <v>2</v>
      </c>
      <c r="V144" s="124">
        <v>1.0</v>
      </c>
      <c r="W144" s="124"/>
      <c r="X144" s="125"/>
      <c r="Y144" s="126"/>
      <c r="Z144" s="125">
        <f t="shared" si="4"/>
        <v>2</v>
      </c>
      <c r="AA144" s="127" t="str">
        <f t="shared" si="5"/>
        <v>Moderado</v>
      </c>
      <c r="AB144" s="128">
        <f t="shared" si="6"/>
        <v>8</v>
      </c>
      <c r="AC144" s="129">
        <f t="shared" si="7"/>
        <v>0.12</v>
      </c>
      <c r="AD144" s="131"/>
    </row>
    <row r="145" ht="14.25" customHeight="1">
      <c r="A145" s="116" t="s">
        <v>539</v>
      </c>
      <c r="B145" s="117" t="s">
        <v>575</v>
      </c>
      <c r="C145" s="117" t="s">
        <v>658</v>
      </c>
      <c r="D145" s="117" t="s">
        <v>659</v>
      </c>
      <c r="E145" s="117" t="s">
        <v>660</v>
      </c>
      <c r="F145" s="117" t="s">
        <v>661</v>
      </c>
      <c r="G145" s="117" t="s">
        <v>652</v>
      </c>
      <c r="H145" s="117" t="s">
        <v>653</v>
      </c>
      <c r="I145" s="117">
        <v>2.0</v>
      </c>
      <c r="J145" s="117">
        <v>1.0</v>
      </c>
      <c r="K145" s="117" t="str">
        <f t="shared" si="1"/>
        <v>Si</v>
      </c>
      <c r="L145" s="118" t="s">
        <v>116</v>
      </c>
      <c r="M145" s="119">
        <v>0.4166666666666667</v>
      </c>
      <c r="N145" s="120">
        <v>0.33</v>
      </c>
      <c r="O145" s="121">
        <v>91.32</v>
      </c>
      <c r="P145" s="117">
        <v>1.0</v>
      </c>
      <c r="Q145" s="117">
        <f t="shared" si="2"/>
        <v>2.97</v>
      </c>
      <c r="R145" s="122">
        <f>+(IF(((M145*24)-P145)&lt;0,0,((M145*24)-P145)*'Estimación de pérdidas'!$F$72))*N145</f>
        <v>171303.8825</v>
      </c>
      <c r="S145" s="123" t="s">
        <v>117</v>
      </c>
      <c r="T145" s="124" t="s">
        <v>119</v>
      </c>
      <c r="U145" s="124">
        <f t="shared" si="3"/>
        <v>2</v>
      </c>
      <c r="V145" s="124">
        <v>1.0</v>
      </c>
      <c r="W145" s="124"/>
      <c r="X145" s="125"/>
      <c r="Y145" s="126"/>
      <c r="Z145" s="125">
        <f t="shared" si="4"/>
        <v>2</v>
      </c>
      <c r="AA145" s="127" t="str">
        <f t="shared" si="5"/>
        <v>Moderado</v>
      </c>
      <c r="AB145" s="128">
        <f t="shared" si="6"/>
        <v>8</v>
      </c>
      <c r="AC145" s="129">
        <f t="shared" si="7"/>
        <v>0.12</v>
      </c>
      <c r="AD145" s="131"/>
    </row>
    <row r="146" ht="14.25" customHeight="1">
      <c r="A146" s="116" t="s">
        <v>539</v>
      </c>
      <c r="B146" s="117" t="s">
        <v>575</v>
      </c>
      <c r="C146" s="117" t="s">
        <v>662</v>
      </c>
      <c r="D146" s="117" t="s">
        <v>663</v>
      </c>
      <c r="E146" s="117" t="s">
        <v>664</v>
      </c>
      <c r="F146" s="117" t="s">
        <v>665</v>
      </c>
      <c r="G146" s="117" t="s">
        <v>666</v>
      </c>
      <c r="H146" s="117" t="s">
        <v>667</v>
      </c>
      <c r="I146" s="117">
        <v>1.0</v>
      </c>
      <c r="J146" s="117">
        <v>1.0</v>
      </c>
      <c r="K146" s="117" t="str">
        <f t="shared" si="1"/>
        <v>No</v>
      </c>
      <c r="L146" s="118" t="s">
        <v>116</v>
      </c>
      <c r="M146" s="119">
        <v>0.4166666666666667</v>
      </c>
      <c r="N146" s="120">
        <v>0.0</v>
      </c>
      <c r="O146" s="121">
        <v>0.87</v>
      </c>
      <c r="P146" s="117">
        <v>22.791360052562418</v>
      </c>
      <c r="Q146" s="117">
        <f t="shared" si="2"/>
        <v>0</v>
      </c>
      <c r="R146" s="122">
        <f>+(IF(((M146*24)-P146)&lt;0,0,((M146*24)-P146)*'Estimación de pérdidas'!$F$72))*N146</f>
        <v>0</v>
      </c>
      <c r="S146" s="123" t="s">
        <v>117</v>
      </c>
      <c r="T146" s="124" t="s">
        <v>118</v>
      </c>
      <c r="U146" s="124">
        <f t="shared" si="3"/>
        <v>1</v>
      </c>
      <c r="V146" s="124">
        <v>2.0</v>
      </c>
      <c r="W146" s="124"/>
      <c r="X146" s="125"/>
      <c r="Y146" s="126"/>
      <c r="Z146" s="125">
        <f t="shared" si="4"/>
        <v>2</v>
      </c>
      <c r="AA146" s="127" t="str">
        <f t="shared" si="5"/>
        <v>Bajo</v>
      </c>
      <c r="AB146" s="128">
        <f t="shared" si="6"/>
        <v>5</v>
      </c>
      <c r="AC146" s="129">
        <f t="shared" si="7"/>
        <v>0.08</v>
      </c>
    </row>
    <row r="147" ht="14.25" hidden="1" customHeight="1">
      <c r="A147" s="116" t="s">
        <v>539</v>
      </c>
      <c r="B147" s="117" t="s">
        <v>575</v>
      </c>
      <c r="C147" s="117" t="s">
        <v>668</v>
      </c>
      <c r="D147" s="117" t="s">
        <v>669</v>
      </c>
      <c r="E147" s="117" t="s">
        <v>668</v>
      </c>
      <c r="F147" s="117" t="s">
        <v>670</v>
      </c>
      <c r="G147" s="117" t="s">
        <v>671</v>
      </c>
      <c r="H147" s="117" t="s">
        <v>672</v>
      </c>
      <c r="I147" s="117">
        <v>1.0</v>
      </c>
      <c r="J147" s="117">
        <v>1.0</v>
      </c>
      <c r="K147" s="117" t="str">
        <f t="shared" si="1"/>
        <v>No</v>
      </c>
      <c r="L147" s="118" t="s">
        <v>116</v>
      </c>
      <c r="M147" s="119">
        <v>0.3333333333333333</v>
      </c>
      <c r="N147" s="120">
        <v>1.0</v>
      </c>
      <c r="O147" s="121">
        <v>91.32</v>
      </c>
      <c r="P147" s="117">
        <v>1.0</v>
      </c>
      <c r="Q147" s="117">
        <f t="shared" si="2"/>
        <v>7</v>
      </c>
      <c r="R147" s="122">
        <f>+(IF(((M147*24)-P147)&lt;0,0,((M147*24)-P147)*'Estimación de pérdidas'!$F$72))*N147</f>
        <v>403746.5244</v>
      </c>
      <c r="S147" s="123" t="s">
        <v>117</v>
      </c>
      <c r="T147" s="124" t="s">
        <v>119</v>
      </c>
      <c r="U147" s="124">
        <f t="shared" si="3"/>
        <v>3</v>
      </c>
      <c r="V147" s="124">
        <v>2.0</v>
      </c>
      <c r="W147" s="124"/>
      <c r="X147" s="125">
        <v>1.0</v>
      </c>
      <c r="Y147" s="126"/>
      <c r="Z147" s="125">
        <f t="shared" si="4"/>
        <v>3</v>
      </c>
      <c r="AA147" s="127" t="str">
        <f t="shared" si="5"/>
        <v>Moderado</v>
      </c>
      <c r="AB147" s="128">
        <f t="shared" si="6"/>
        <v>13</v>
      </c>
      <c r="AC147" s="129">
        <f t="shared" si="7"/>
        <v>0.2007984064</v>
      </c>
      <c r="AD147" s="131"/>
    </row>
    <row r="148" ht="14.25" hidden="1" customHeight="1">
      <c r="A148" s="116" t="s">
        <v>539</v>
      </c>
      <c r="B148" s="117" t="s">
        <v>575</v>
      </c>
      <c r="C148" s="117" t="s">
        <v>673</v>
      </c>
      <c r="D148" s="117" t="s">
        <v>674</v>
      </c>
      <c r="E148" s="117" t="s">
        <v>673</v>
      </c>
      <c r="F148" s="117" t="s">
        <v>675</v>
      </c>
      <c r="G148" s="117" t="s">
        <v>671</v>
      </c>
      <c r="H148" s="117" t="s">
        <v>676</v>
      </c>
      <c r="I148" s="117">
        <v>1.0</v>
      </c>
      <c r="J148" s="117">
        <v>1.0</v>
      </c>
      <c r="K148" s="117" t="str">
        <f t="shared" si="1"/>
        <v>No</v>
      </c>
      <c r="L148" s="118" t="s">
        <v>116</v>
      </c>
      <c r="M148" s="119">
        <v>0.3333333333333333</v>
      </c>
      <c r="N148" s="120">
        <v>1.0</v>
      </c>
      <c r="O148" s="121">
        <v>91.32</v>
      </c>
      <c r="P148" s="117">
        <v>1.0</v>
      </c>
      <c r="Q148" s="117">
        <f t="shared" si="2"/>
        <v>7</v>
      </c>
      <c r="R148" s="122">
        <f>+(IF(((M148*24)-P148)&lt;0,0,((M148*24)-P148)*'Estimación de pérdidas'!$F$72))*N148</f>
        <v>403746.5244</v>
      </c>
      <c r="S148" s="123" t="s">
        <v>272</v>
      </c>
      <c r="T148" s="124" t="s">
        <v>119</v>
      </c>
      <c r="U148" s="124">
        <f t="shared" si="3"/>
        <v>3</v>
      </c>
      <c r="V148" s="124">
        <v>1.0</v>
      </c>
      <c r="W148" s="124"/>
      <c r="X148" s="125">
        <v>1.0</v>
      </c>
      <c r="Y148" s="126"/>
      <c r="Z148" s="125">
        <f t="shared" si="4"/>
        <v>3</v>
      </c>
      <c r="AA148" s="127" t="str">
        <f t="shared" si="5"/>
        <v>Moderado</v>
      </c>
      <c r="AB148" s="128">
        <f t="shared" si="6"/>
        <v>13</v>
      </c>
      <c r="AC148" s="129">
        <f t="shared" si="7"/>
        <v>0.1779887637</v>
      </c>
      <c r="AD148" s="131"/>
    </row>
    <row r="149" ht="14.25" hidden="1" customHeight="1">
      <c r="A149" s="116" t="s">
        <v>539</v>
      </c>
      <c r="B149" s="117" t="s">
        <v>575</v>
      </c>
      <c r="C149" s="117" t="s">
        <v>677</v>
      </c>
      <c r="D149" s="117" t="s">
        <v>678</v>
      </c>
      <c r="E149" s="117" t="s">
        <v>677</v>
      </c>
      <c r="F149" s="117" t="s">
        <v>679</v>
      </c>
      <c r="G149" s="117" t="s">
        <v>680</v>
      </c>
      <c r="H149" s="117" t="s">
        <v>681</v>
      </c>
      <c r="I149" s="117">
        <v>1.0</v>
      </c>
      <c r="J149" s="117">
        <v>1.0</v>
      </c>
      <c r="K149" s="117" t="str">
        <f t="shared" si="1"/>
        <v>No</v>
      </c>
      <c r="L149" s="118" t="s">
        <v>116</v>
      </c>
      <c r="M149" s="119">
        <v>0.25</v>
      </c>
      <c r="N149" s="120">
        <v>0.0</v>
      </c>
      <c r="O149" s="121">
        <v>91.32</v>
      </c>
      <c r="P149" s="117">
        <v>1.0</v>
      </c>
      <c r="Q149" s="117">
        <f t="shared" si="2"/>
        <v>0</v>
      </c>
      <c r="R149" s="122">
        <f>+(IF(((M149*24)-P149)&lt;0,0,((M149*24)-P149)*'Estimación de pérdidas'!$F$72))*N149</f>
        <v>0</v>
      </c>
      <c r="S149" s="123" t="s">
        <v>117</v>
      </c>
      <c r="T149" s="124" t="s">
        <v>118</v>
      </c>
      <c r="U149" s="124">
        <f t="shared" si="3"/>
        <v>1</v>
      </c>
      <c r="V149" s="124">
        <v>1.0</v>
      </c>
      <c r="W149" s="124"/>
      <c r="X149" s="125"/>
      <c r="Y149" s="126"/>
      <c r="Z149" s="125">
        <f t="shared" si="4"/>
        <v>1</v>
      </c>
      <c r="AA149" s="127" t="str">
        <f t="shared" si="5"/>
        <v>Bajo</v>
      </c>
      <c r="AB149" s="128">
        <f t="shared" si="6"/>
        <v>2</v>
      </c>
      <c r="AC149" s="129">
        <f t="shared" si="7"/>
        <v>0.05059644256</v>
      </c>
    </row>
    <row r="150" ht="14.25" hidden="1" customHeight="1">
      <c r="A150" s="116" t="s">
        <v>539</v>
      </c>
      <c r="B150" s="117" t="s">
        <v>575</v>
      </c>
      <c r="C150" s="117" t="s">
        <v>682</v>
      </c>
      <c r="D150" s="117" t="s">
        <v>683</v>
      </c>
      <c r="E150" s="117" t="s">
        <v>684</v>
      </c>
      <c r="F150" s="117" t="s">
        <v>685</v>
      </c>
      <c r="G150" s="117" t="s">
        <v>205</v>
      </c>
      <c r="H150" s="117" t="s">
        <v>486</v>
      </c>
      <c r="I150" s="117">
        <v>2.0</v>
      </c>
      <c r="J150" s="117">
        <v>1.0</v>
      </c>
      <c r="K150" s="117" t="str">
        <f t="shared" si="1"/>
        <v>Si</v>
      </c>
      <c r="L150" s="118" t="s">
        <v>287</v>
      </c>
      <c r="M150" s="119">
        <v>0.25</v>
      </c>
      <c r="N150" s="120">
        <v>0.0</v>
      </c>
      <c r="O150" s="121">
        <v>91.32</v>
      </c>
      <c r="P150" s="117">
        <v>1.0</v>
      </c>
      <c r="Q150" s="117">
        <f t="shared" si="2"/>
        <v>0</v>
      </c>
      <c r="R150" s="122">
        <f>+(IF(((M150*24)-P150)&lt;0,0,((M150*24)-P150)*'Estimación de pérdidas'!$F$72))*N150</f>
        <v>0</v>
      </c>
      <c r="S150" s="123" t="s">
        <v>117</v>
      </c>
      <c r="T150" s="124" t="s">
        <v>106</v>
      </c>
      <c r="U150" s="124">
        <f t="shared" si="3"/>
        <v>1</v>
      </c>
      <c r="V150" s="124">
        <v>2.0</v>
      </c>
      <c r="W150" s="124"/>
      <c r="X150" s="125"/>
      <c r="Y150" s="126"/>
      <c r="Z150" s="125">
        <f t="shared" si="4"/>
        <v>2</v>
      </c>
      <c r="AA150" s="127" t="str">
        <f t="shared" si="5"/>
        <v>Moderado</v>
      </c>
      <c r="AB150" s="128">
        <f t="shared" si="6"/>
        <v>12</v>
      </c>
      <c r="AC150" s="129">
        <f t="shared" si="7"/>
        <v>0.16</v>
      </c>
      <c r="AD150" s="131"/>
    </row>
    <row r="151" ht="14.25" hidden="1" customHeight="1">
      <c r="A151" s="116" t="s">
        <v>539</v>
      </c>
      <c r="B151" s="117" t="s">
        <v>575</v>
      </c>
      <c r="C151" s="117" t="s">
        <v>682</v>
      </c>
      <c r="D151" s="117" t="s">
        <v>686</v>
      </c>
      <c r="E151" s="117" t="s">
        <v>684</v>
      </c>
      <c r="F151" s="117" t="s">
        <v>685</v>
      </c>
      <c r="G151" s="117" t="s">
        <v>205</v>
      </c>
      <c r="H151" s="117" t="s">
        <v>486</v>
      </c>
      <c r="I151" s="117">
        <v>2.0</v>
      </c>
      <c r="J151" s="117">
        <v>1.0</v>
      </c>
      <c r="K151" s="117" t="str">
        <f t="shared" si="1"/>
        <v>Si</v>
      </c>
      <c r="L151" s="118" t="s">
        <v>287</v>
      </c>
      <c r="M151" s="119">
        <v>0.25</v>
      </c>
      <c r="N151" s="120">
        <v>0.0</v>
      </c>
      <c r="O151" s="121">
        <v>91.32</v>
      </c>
      <c r="P151" s="117">
        <v>1.0</v>
      </c>
      <c r="Q151" s="117">
        <f t="shared" si="2"/>
        <v>0</v>
      </c>
      <c r="R151" s="122">
        <f>+(IF(((M151*24)-P151)&lt;0,0,((M151*24)-P151)*'Estimación de pérdidas'!$F$72))*N151</f>
        <v>0</v>
      </c>
      <c r="S151" s="123" t="s">
        <v>117</v>
      </c>
      <c r="T151" s="124" t="s">
        <v>106</v>
      </c>
      <c r="U151" s="124">
        <f t="shared" si="3"/>
        <v>1</v>
      </c>
      <c r="V151" s="124">
        <v>2.0</v>
      </c>
      <c r="W151" s="124"/>
      <c r="X151" s="125"/>
      <c r="Y151" s="126"/>
      <c r="Z151" s="125">
        <f t="shared" si="4"/>
        <v>2</v>
      </c>
      <c r="AA151" s="127" t="str">
        <f t="shared" si="5"/>
        <v>Moderado</v>
      </c>
      <c r="AB151" s="128">
        <f t="shared" si="6"/>
        <v>12</v>
      </c>
      <c r="AC151" s="129">
        <f t="shared" si="7"/>
        <v>0.16</v>
      </c>
      <c r="AD151" s="131"/>
    </row>
    <row r="152" ht="14.25" hidden="1" customHeight="1">
      <c r="A152" s="116" t="s">
        <v>539</v>
      </c>
      <c r="B152" s="117" t="s">
        <v>575</v>
      </c>
      <c r="C152" s="117" t="s">
        <v>687</v>
      </c>
      <c r="D152" s="117" t="s">
        <v>688</v>
      </c>
      <c r="E152" s="117" t="s">
        <v>687</v>
      </c>
      <c r="F152" s="117" t="s">
        <v>689</v>
      </c>
      <c r="G152" s="117" t="s">
        <v>205</v>
      </c>
      <c r="H152" s="117" t="s">
        <v>491</v>
      </c>
      <c r="I152" s="117">
        <v>3.0</v>
      </c>
      <c r="J152" s="117">
        <v>2.0</v>
      </c>
      <c r="K152" s="117" t="str">
        <f t="shared" si="1"/>
        <v>Si</v>
      </c>
      <c r="L152" s="118" t="s">
        <v>287</v>
      </c>
      <c r="M152" s="119">
        <v>0.25</v>
      </c>
      <c r="N152" s="120">
        <v>0.0</v>
      </c>
      <c r="O152" s="121">
        <v>91.32</v>
      </c>
      <c r="P152" s="117">
        <v>1.0</v>
      </c>
      <c r="Q152" s="117">
        <f t="shared" si="2"/>
        <v>0</v>
      </c>
      <c r="R152" s="122">
        <f>+(IF(((M152*24)-P152)&lt;0,0,((M152*24)-P152)*'Estimación de pérdidas'!$F$72))*N152</f>
        <v>0</v>
      </c>
      <c r="S152" s="123" t="s">
        <v>117</v>
      </c>
      <c r="T152" s="124" t="s">
        <v>106</v>
      </c>
      <c r="U152" s="124">
        <f t="shared" si="3"/>
        <v>1</v>
      </c>
      <c r="V152" s="124">
        <v>2.0</v>
      </c>
      <c r="W152" s="124"/>
      <c r="X152" s="125"/>
      <c r="Y152" s="126"/>
      <c r="Z152" s="125">
        <f t="shared" si="4"/>
        <v>2</v>
      </c>
      <c r="AA152" s="127" t="str">
        <f t="shared" si="5"/>
        <v>Moderado</v>
      </c>
      <c r="AB152" s="128">
        <f t="shared" si="6"/>
        <v>12</v>
      </c>
      <c r="AC152" s="129">
        <f t="shared" si="7"/>
        <v>0.16</v>
      </c>
      <c r="AD152" s="131"/>
    </row>
    <row r="153" ht="14.25" hidden="1" customHeight="1">
      <c r="A153" s="116" t="s">
        <v>539</v>
      </c>
      <c r="B153" s="117" t="s">
        <v>575</v>
      </c>
      <c r="C153" s="117" t="s">
        <v>687</v>
      </c>
      <c r="D153" s="117" t="s">
        <v>690</v>
      </c>
      <c r="E153" s="117" t="s">
        <v>687</v>
      </c>
      <c r="F153" s="117" t="s">
        <v>689</v>
      </c>
      <c r="G153" s="117" t="s">
        <v>205</v>
      </c>
      <c r="H153" s="117" t="s">
        <v>491</v>
      </c>
      <c r="I153" s="117">
        <v>3.0</v>
      </c>
      <c r="J153" s="117">
        <v>2.0</v>
      </c>
      <c r="K153" s="117" t="str">
        <f t="shared" si="1"/>
        <v>Si</v>
      </c>
      <c r="L153" s="118" t="s">
        <v>287</v>
      </c>
      <c r="M153" s="119">
        <v>0.25</v>
      </c>
      <c r="N153" s="120">
        <v>0.0</v>
      </c>
      <c r="O153" s="121">
        <v>91.32</v>
      </c>
      <c r="P153" s="117">
        <v>1.0</v>
      </c>
      <c r="Q153" s="117">
        <f t="shared" si="2"/>
        <v>0</v>
      </c>
      <c r="R153" s="122">
        <f>+(IF(((M153*24)-P153)&lt;0,0,((M153*24)-P153)*'Estimación de pérdidas'!$F$72))*N153</f>
        <v>0</v>
      </c>
      <c r="S153" s="123" t="s">
        <v>117</v>
      </c>
      <c r="T153" s="124" t="s">
        <v>106</v>
      </c>
      <c r="U153" s="124">
        <f t="shared" si="3"/>
        <v>1</v>
      </c>
      <c r="V153" s="124">
        <v>2.0</v>
      </c>
      <c r="W153" s="124"/>
      <c r="X153" s="125"/>
      <c r="Y153" s="126"/>
      <c r="Z153" s="125">
        <f t="shared" si="4"/>
        <v>2</v>
      </c>
      <c r="AA153" s="127" t="str">
        <f t="shared" si="5"/>
        <v>Moderado</v>
      </c>
      <c r="AB153" s="128">
        <f t="shared" si="6"/>
        <v>12</v>
      </c>
      <c r="AC153" s="129">
        <f t="shared" si="7"/>
        <v>0.16</v>
      </c>
      <c r="AD153" s="131"/>
    </row>
    <row r="154" ht="14.25" hidden="1" customHeight="1">
      <c r="A154" s="116" t="s">
        <v>539</v>
      </c>
      <c r="B154" s="117" t="s">
        <v>575</v>
      </c>
      <c r="C154" s="117" t="s">
        <v>687</v>
      </c>
      <c r="D154" s="117" t="s">
        <v>691</v>
      </c>
      <c r="E154" s="117" t="s">
        <v>687</v>
      </c>
      <c r="F154" s="117" t="s">
        <v>689</v>
      </c>
      <c r="G154" s="117" t="s">
        <v>205</v>
      </c>
      <c r="H154" s="117" t="s">
        <v>491</v>
      </c>
      <c r="I154" s="117">
        <v>3.0</v>
      </c>
      <c r="J154" s="117">
        <v>2.0</v>
      </c>
      <c r="K154" s="117" t="str">
        <f t="shared" si="1"/>
        <v>Si</v>
      </c>
      <c r="L154" s="118" t="s">
        <v>287</v>
      </c>
      <c r="M154" s="119">
        <v>0.25</v>
      </c>
      <c r="N154" s="120">
        <v>0.0</v>
      </c>
      <c r="O154" s="121">
        <v>91.32</v>
      </c>
      <c r="P154" s="117">
        <v>1.0</v>
      </c>
      <c r="Q154" s="117">
        <f t="shared" si="2"/>
        <v>0</v>
      </c>
      <c r="R154" s="122">
        <f>+(IF(((M154*24)-P154)&lt;0,0,((M154*24)-P154)*'Estimación de pérdidas'!$F$72))*N154</f>
        <v>0</v>
      </c>
      <c r="S154" s="123" t="s">
        <v>117</v>
      </c>
      <c r="T154" s="124" t="s">
        <v>106</v>
      </c>
      <c r="U154" s="124">
        <f t="shared" si="3"/>
        <v>1</v>
      </c>
      <c r="V154" s="124">
        <v>2.0</v>
      </c>
      <c r="W154" s="124"/>
      <c r="X154" s="125"/>
      <c r="Y154" s="126"/>
      <c r="Z154" s="125">
        <f t="shared" si="4"/>
        <v>2</v>
      </c>
      <c r="AA154" s="127" t="str">
        <f t="shared" si="5"/>
        <v>Moderado</v>
      </c>
      <c r="AB154" s="128">
        <f t="shared" si="6"/>
        <v>12</v>
      </c>
      <c r="AC154" s="129">
        <f t="shared" si="7"/>
        <v>0.16</v>
      </c>
      <c r="AD154" s="131"/>
    </row>
    <row r="155" ht="14.25" hidden="1" customHeight="1">
      <c r="A155" s="116" t="s">
        <v>539</v>
      </c>
      <c r="B155" s="117" t="s">
        <v>575</v>
      </c>
      <c r="C155" s="117" t="s">
        <v>692</v>
      </c>
      <c r="D155" s="117" t="s">
        <v>693</v>
      </c>
      <c r="E155" s="117" t="s">
        <v>692</v>
      </c>
      <c r="F155" s="117" t="s">
        <v>694</v>
      </c>
      <c r="G155" s="117" t="s">
        <v>205</v>
      </c>
      <c r="H155" s="117" t="s">
        <v>491</v>
      </c>
      <c r="I155" s="117">
        <v>2.0</v>
      </c>
      <c r="J155" s="117">
        <v>1.0</v>
      </c>
      <c r="K155" s="117" t="str">
        <f t="shared" si="1"/>
        <v>Si</v>
      </c>
      <c r="L155" s="118" t="s">
        <v>287</v>
      </c>
      <c r="M155" s="119">
        <v>0.3333333333333333</v>
      </c>
      <c r="N155" s="120">
        <v>0.0</v>
      </c>
      <c r="O155" s="121">
        <v>91.32</v>
      </c>
      <c r="P155" s="117">
        <v>1.0</v>
      </c>
      <c r="Q155" s="117">
        <f t="shared" si="2"/>
        <v>0</v>
      </c>
      <c r="R155" s="122">
        <f>+(IF(((M155*24)-P155)&lt;0,0,((M155*24)-P155)*'Estimación de pérdidas'!$F$72))*N155</f>
        <v>0</v>
      </c>
      <c r="S155" s="123" t="s">
        <v>117</v>
      </c>
      <c r="T155" s="124" t="s">
        <v>106</v>
      </c>
      <c r="U155" s="124">
        <f t="shared" si="3"/>
        <v>1</v>
      </c>
      <c r="V155" s="124">
        <v>2.0</v>
      </c>
      <c r="W155" s="124"/>
      <c r="X155" s="125"/>
      <c r="Y155" s="126"/>
      <c r="Z155" s="125">
        <f t="shared" si="4"/>
        <v>2</v>
      </c>
      <c r="AA155" s="127" t="str">
        <f t="shared" si="5"/>
        <v>Moderado</v>
      </c>
      <c r="AB155" s="128">
        <f t="shared" si="6"/>
        <v>12</v>
      </c>
      <c r="AC155" s="129">
        <f t="shared" si="7"/>
        <v>0.16</v>
      </c>
      <c r="AD155" s="131"/>
    </row>
    <row r="156" ht="14.25" hidden="1" customHeight="1">
      <c r="A156" s="116" t="s">
        <v>539</v>
      </c>
      <c r="B156" s="117" t="s">
        <v>575</v>
      </c>
      <c r="C156" s="117" t="s">
        <v>692</v>
      </c>
      <c r="D156" s="117" t="s">
        <v>695</v>
      </c>
      <c r="E156" s="117" t="s">
        <v>692</v>
      </c>
      <c r="F156" s="117" t="s">
        <v>694</v>
      </c>
      <c r="G156" s="117" t="s">
        <v>205</v>
      </c>
      <c r="H156" s="117" t="s">
        <v>491</v>
      </c>
      <c r="I156" s="117">
        <v>2.0</v>
      </c>
      <c r="J156" s="117">
        <v>1.0</v>
      </c>
      <c r="K156" s="117" t="str">
        <f t="shared" si="1"/>
        <v>Si</v>
      </c>
      <c r="L156" s="118" t="s">
        <v>287</v>
      </c>
      <c r="M156" s="119">
        <v>0.3333333333333333</v>
      </c>
      <c r="N156" s="120">
        <v>0.0</v>
      </c>
      <c r="O156" s="121">
        <v>91.32</v>
      </c>
      <c r="P156" s="117">
        <v>1.0</v>
      </c>
      <c r="Q156" s="117">
        <f t="shared" si="2"/>
        <v>0</v>
      </c>
      <c r="R156" s="122">
        <f>+(IF(((M156*24)-P156)&lt;0,0,((M156*24)-P156)*'Estimación de pérdidas'!$F$72))*N156</f>
        <v>0</v>
      </c>
      <c r="S156" s="123" t="s">
        <v>117</v>
      </c>
      <c r="T156" s="124" t="s">
        <v>106</v>
      </c>
      <c r="U156" s="124">
        <f t="shared" si="3"/>
        <v>1</v>
      </c>
      <c r="V156" s="124">
        <v>2.0</v>
      </c>
      <c r="W156" s="124"/>
      <c r="X156" s="125"/>
      <c r="Y156" s="126"/>
      <c r="Z156" s="125">
        <f t="shared" si="4"/>
        <v>2</v>
      </c>
      <c r="AA156" s="127" t="str">
        <f t="shared" si="5"/>
        <v>Moderado</v>
      </c>
      <c r="AB156" s="128">
        <f t="shared" si="6"/>
        <v>12</v>
      </c>
      <c r="AC156" s="129">
        <f t="shared" si="7"/>
        <v>0.16</v>
      </c>
      <c r="AD156" s="131"/>
    </row>
    <row r="157" ht="14.25" hidden="1" customHeight="1">
      <c r="A157" s="116" t="s">
        <v>539</v>
      </c>
      <c r="B157" s="117" t="s">
        <v>575</v>
      </c>
      <c r="C157" s="117" t="s">
        <v>696</v>
      </c>
      <c r="D157" s="117" t="s">
        <v>697</v>
      </c>
      <c r="E157" s="117" t="s">
        <v>698</v>
      </c>
      <c r="F157" s="117" t="s">
        <v>699</v>
      </c>
      <c r="G157" s="117" t="s">
        <v>205</v>
      </c>
      <c r="H157" s="117" t="s">
        <v>700</v>
      </c>
      <c r="I157" s="117">
        <v>2.0</v>
      </c>
      <c r="J157" s="117">
        <v>1.0</v>
      </c>
      <c r="K157" s="117" t="str">
        <f t="shared" si="1"/>
        <v>Si</v>
      </c>
      <c r="L157" s="118" t="s">
        <v>287</v>
      </c>
      <c r="M157" s="119">
        <v>0.25</v>
      </c>
      <c r="N157" s="120">
        <v>0.0</v>
      </c>
      <c r="O157" s="121">
        <v>91.32</v>
      </c>
      <c r="P157" s="117">
        <v>1.0</v>
      </c>
      <c r="Q157" s="117">
        <f t="shared" si="2"/>
        <v>0</v>
      </c>
      <c r="R157" s="122">
        <f>+(IF(((M157*24)-P157)&lt;0,0,((M157*24)-P157)*'Estimación de pérdidas'!$F$72))*N157</f>
        <v>0</v>
      </c>
      <c r="S157" s="123" t="s">
        <v>117</v>
      </c>
      <c r="T157" s="124" t="s">
        <v>106</v>
      </c>
      <c r="U157" s="124">
        <f t="shared" si="3"/>
        <v>1</v>
      </c>
      <c r="V157" s="124">
        <v>2.0</v>
      </c>
      <c r="W157" s="124"/>
      <c r="X157" s="125"/>
      <c r="Y157" s="126"/>
      <c r="Z157" s="125">
        <f t="shared" si="4"/>
        <v>2</v>
      </c>
      <c r="AA157" s="127" t="str">
        <f t="shared" si="5"/>
        <v>Moderado</v>
      </c>
      <c r="AB157" s="128">
        <f t="shared" si="6"/>
        <v>12</v>
      </c>
      <c r="AC157" s="129">
        <f t="shared" si="7"/>
        <v>0.16</v>
      </c>
      <c r="AD157" s="131"/>
    </row>
    <row r="158" ht="14.25" hidden="1" customHeight="1">
      <c r="A158" s="116" t="s">
        <v>539</v>
      </c>
      <c r="B158" s="117" t="s">
        <v>575</v>
      </c>
      <c r="C158" s="117" t="s">
        <v>696</v>
      </c>
      <c r="D158" s="117" t="s">
        <v>701</v>
      </c>
      <c r="E158" s="117" t="s">
        <v>698</v>
      </c>
      <c r="F158" s="117" t="s">
        <v>699</v>
      </c>
      <c r="G158" s="117" t="s">
        <v>205</v>
      </c>
      <c r="H158" s="117" t="s">
        <v>700</v>
      </c>
      <c r="I158" s="117">
        <v>2.0</v>
      </c>
      <c r="J158" s="117">
        <v>1.0</v>
      </c>
      <c r="K158" s="117" t="str">
        <f t="shared" si="1"/>
        <v>Si</v>
      </c>
      <c r="L158" s="118" t="s">
        <v>287</v>
      </c>
      <c r="M158" s="119">
        <v>0.25</v>
      </c>
      <c r="N158" s="120">
        <v>0.0</v>
      </c>
      <c r="O158" s="121">
        <v>91.32</v>
      </c>
      <c r="P158" s="117">
        <v>1.0</v>
      </c>
      <c r="Q158" s="117">
        <f t="shared" si="2"/>
        <v>0</v>
      </c>
      <c r="R158" s="122">
        <f>+(IF(((M158*24)-P158)&lt;0,0,((M158*24)-P158)*'Estimación de pérdidas'!$F$72))*N158</f>
        <v>0</v>
      </c>
      <c r="S158" s="123" t="s">
        <v>117</v>
      </c>
      <c r="T158" s="124" t="s">
        <v>106</v>
      </c>
      <c r="U158" s="124">
        <f t="shared" si="3"/>
        <v>1</v>
      </c>
      <c r="V158" s="124">
        <v>2.0</v>
      </c>
      <c r="W158" s="124"/>
      <c r="X158" s="125"/>
      <c r="Y158" s="126"/>
      <c r="Z158" s="125">
        <f t="shared" si="4"/>
        <v>2</v>
      </c>
      <c r="AA158" s="127" t="str">
        <f t="shared" si="5"/>
        <v>Moderado</v>
      </c>
      <c r="AB158" s="128">
        <f t="shared" si="6"/>
        <v>12</v>
      </c>
      <c r="AC158" s="129">
        <f t="shared" si="7"/>
        <v>0.16</v>
      </c>
      <c r="AD158" s="131"/>
    </row>
    <row r="159" ht="14.25" hidden="1" customHeight="1">
      <c r="A159" s="116" t="s">
        <v>539</v>
      </c>
      <c r="B159" s="117" t="s">
        <v>575</v>
      </c>
      <c r="C159" s="117" t="s">
        <v>696</v>
      </c>
      <c r="D159" s="117" t="s">
        <v>702</v>
      </c>
      <c r="E159" s="117" t="s">
        <v>696</v>
      </c>
      <c r="F159" s="117" t="s">
        <v>699</v>
      </c>
      <c r="G159" s="117" t="s">
        <v>205</v>
      </c>
      <c r="H159" s="117" t="s">
        <v>700</v>
      </c>
      <c r="I159" s="117">
        <v>2.0</v>
      </c>
      <c r="J159" s="117">
        <v>1.0</v>
      </c>
      <c r="K159" s="117" t="str">
        <f t="shared" si="1"/>
        <v>Si</v>
      </c>
      <c r="L159" s="118" t="s">
        <v>287</v>
      </c>
      <c r="M159" s="119">
        <v>0.25</v>
      </c>
      <c r="N159" s="120">
        <v>0.0</v>
      </c>
      <c r="O159" s="121">
        <v>91.32</v>
      </c>
      <c r="P159" s="117">
        <v>1.0</v>
      </c>
      <c r="Q159" s="117">
        <f t="shared" si="2"/>
        <v>0</v>
      </c>
      <c r="R159" s="122">
        <f>+(IF(((M159*24)-P159)&lt;0,0,((M159*24)-P159)*'Estimación de pérdidas'!$F$72))*N159</f>
        <v>0</v>
      </c>
      <c r="S159" s="123" t="s">
        <v>117</v>
      </c>
      <c r="T159" s="124" t="s">
        <v>106</v>
      </c>
      <c r="U159" s="124">
        <f t="shared" si="3"/>
        <v>1</v>
      </c>
      <c r="V159" s="124">
        <v>2.0</v>
      </c>
      <c r="W159" s="124"/>
      <c r="X159" s="125"/>
      <c r="Y159" s="126"/>
      <c r="Z159" s="125">
        <f t="shared" si="4"/>
        <v>2</v>
      </c>
      <c r="AA159" s="127" t="str">
        <f t="shared" si="5"/>
        <v>Moderado</v>
      </c>
      <c r="AB159" s="128">
        <f t="shared" si="6"/>
        <v>12</v>
      </c>
      <c r="AC159" s="129">
        <f t="shared" si="7"/>
        <v>0.16</v>
      </c>
      <c r="AD159" s="131"/>
    </row>
    <row r="160" ht="14.25" hidden="1" customHeight="1">
      <c r="A160" s="116" t="s">
        <v>539</v>
      </c>
      <c r="B160" s="117" t="s">
        <v>575</v>
      </c>
      <c r="C160" s="117" t="s">
        <v>703</v>
      </c>
      <c r="D160" s="117" t="s">
        <v>704</v>
      </c>
      <c r="E160" s="117" t="s">
        <v>703</v>
      </c>
      <c r="F160" s="117" t="s">
        <v>705</v>
      </c>
      <c r="G160" s="117" t="s">
        <v>205</v>
      </c>
      <c r="H160" s="117" t="s">
        <v>491</v>
      </c>
      <c r="I160" s="117">
        <v>2.0</v>
      </c>
      <c r="J160" s="117">
        <v>1.0</v>
      </c>
      <c r="K160" s="117" t="str">
        <f t="shared" si="1"/>
        <v>Si</v>
      </c>
      <c r="L160" s="118" t="s">
        <v>287</v>
      </c>
      <c r="M160" s="119">
        <v>0.25</v>
      </c>
      <c r="N160" s="120">
        <v>0.0</v>
      </c>
      <c r="O160" s="121">
        <v>91.32</v>
      </c>
      <c r="P160" s="117">
        <v>1.0</v>
      </c>
      <c r="Q160" s="117">
        <f t="shared" si="2"/>
        <v>0</v>
      </c>
      <c r="R160" s="122">
        <f>+(IF(((M160*24)-P160)&lt;0,0,((M160*24)-P160)*'Estimación de pérdidas'!$F$72))*N160</f>
        <v>0</v>
      </c>
      <c r="S160" s="123" t="s">
        <v>117</v>
      </c>
      <c r="T160" s="124" t="s">
        <v>106</v>
      </c>
      <c r="U160" s="124">
        <f t="shared" si="3"/>
        <v>1</v>
      </c>
      <c r="V160" s="124">
        <v>2.0</v>
      </c>
      <c r="W160" s="124"/>
      <c r="X160" s="125"/>
      <c r="Y160" s="126"/>
      <c r="Z160" s="125">
        <f t="shared" si="4"/>
        <v>2</v>
      </c>
      <c r="AA160" s="127" t="str">
        <f t="shared" si="5"/>
        <v>Moderado</v>
      </c>
      <c r="AB160" s="128">
        <f t="shared" si="6"/>
        <v>12</v>
      </c>
      <c r="AC160" s="129">
        <f t="shared" si="7"/>
        <v>0.16</v>
      </c>
      <c r="AD160" s="131"/>
    </row>
    <row r="161" ht="14.25" hidden="1" customHeight="1">
      <c r="A161" s="116" t="s">
        <v>539</v>
      </c>
      <c r="B161" s="117" t="s">
        <v>575</v>
      </c>
      <c r="C161" s="117" t="s">
        <v>703</v>
      </c>
      <c r="D161" s="117" t="s">
        <v>706</v>
      </c>
      <c r="E161" s="117" t="s">
        <v>703</v>
      </c>
      <c r="F161" s="117" t="s">
        <v>705</v>
      </c>
      <c r="G161" s="117" t="s">
        <v>205</v>
      </c>
      <c r="H161" s="117" t="s">
        <v>491</v>
      </c>
      <c r="I161" s="117">
        <v>2.0</v>
      </c>
      <c r="J161" s="117">
        <v>1.0</v>
      </c>
      <c r="K161" s="117" t="str">
        <f t="shared" si="1"/>
        <v>Si</v>
      </c>
      <c r="L161" s="118" t="s">
        <v>287</v>
      </c>
      <c r="M161" s="119">
        <v>0.25</v>
      </c>
      <c r="N161" s="120">
        <v>0.0</v>
      </c>
      <c r="O161" s="121">
        <v>91.32</v>
      </c>
      <c r="P161" s="117">
        <v>1.0</v>
      </c>
      <c r="Q161" s="117">
        <f t="shared" si="2"/>
        <v>0</v>
      </c>
      <c r="R161" s="122">
        <f>+(IF(((M161*24)-P161)&lt;0,0,((M161*24)-P161)*'Estimación de pérdidas'!$F$72))*N161</f>
        <v>0</v>
      </c>
      <c r="S161" s="123" t="s">
        <v>117</v>
      </c>
      <c r="T161" s="124" t="s">
        <v>106</v>
      </c>
      <c r="U161" s="124">
        <f t="shared" si="3"/>
        <v>1</v>
      </c>
      <c r="V161" s="124">
        <v>2.0</v>
      </c>
      <c r="W161" s="124"/>
      <c r="X161" s="125"/>
      <c r="Y161" s="126"/>
      <c r="Z161" s="125">
        <f t="shared" si="4"/>
        <v>2</v>
      </c>
      <c r="AA161" s="127" t="str">
        <f t="shared" si="5"/>
        <v>Moderado</v>
      </c>
      <c r="AB161" s="128">
        <f t="shared" si="6"/>
        <v>12</v>
      </c>
      <c r="AC161" s="129">
        <f t="shared" si="7"/>
        <v>0.16</v>
      </c>
      <c r="AD161" s="131"/>
    </row>
    <row r="162" ht="14.25" hidden="1" customHeight="1">
      <c r="A162" s="116" t="s">
        <v>539</v>
      </c>
      <c r="B162" s="117" t="s">
        <v>575</v>
      </c>
      <c r="C162" s="117" t="s">
        <v>707</v>
      </c>
      <c r="D162" s="117" t="s">
        <v>708</v>
      </c>
      <c r="E162" s="117" t="s">
        <v>709</v>
      </c>
      <c r="F162" s="117" t="s">
        <v>710</v>
      </c>
      <c r="G162" s="117" t="s">
        <v>205</v>
      </c>
      <c r="H162" s="117" t="s">
        <v>491</v>
      </c>
      <c r="I162" s="117">
        <v>1.0</v>
      </c>
      <c r="J162" s="117">
        <v>1.0</v>
      </c>
      <c r="K162" s="117" t="str">
        <f t="shared" si="1"/>
        <v>No</v>
      </c>
      <c r="L162" s="118" t="s">
        <v>116</v>
      </c>
      <c r="M162" s="119">
        <v>0.25</v>
      </c>
      <c r="N162" s="120">
        <v>1.0</v>
      </c>
      <c r="O162" s="121">
        <v>0.02</v>
      </c>
      <c r="P162" s="117">
        <v>21.89520367936925</v>
      </c>
      <c r="Q162" s="117">
        <f t="shared" si="2"/>
        <v>0</v>
      </c>
      <c r="R162" s="122">
        <f>+(IF(((M162*24)-P162)&lt;0,0,((M162*24)-P162)*'Estimación de pérdidas'!$F$72))*N162</f>
        <v>0</v>
      </c>
      <c r="S162" s="123" t="s">
        <v>117</v>
      </c>
      <c r="T162" s="124" t="s">
        <v>106</v>
      </c>
      <c r="U162" s="124">
        <f t="shared" si="3"/>
        <v>1</v>
      </c>
      <c r="V162" s="124">
        <v>1.0</v>
      </c>
      <c r="W162" s="124"/>
      <c r="X162" s="125"/>
      <c r="Y162" s="126"/>
      <c r="Z162" s="125">
        <f t="shared" si="4"/>
        <v>1</v>
      </c>
      <c r="AA162" s="127" t="str">
        <f t="shared" si="5"/>
        <v>Bajo</v>
      </c>
      <c r="AB162" s="128">
        <f t="shared" si="6"/>
        <v>7</v>
      </c>
      <c r="AC162" s="129">
        <f t="shared" si="7"/>
        <v>0.1011928851</v>
      </c>
    </row>
    <row r="163" ht="14.25" hidden="1" customHeight="1">
      <c r="A163" s="116" t="s">
        <v>539</v>
      </c>
      <c r="B163" s="117" t="s">
        <v>575</v>
      </c>
      <c r="C163" s="117" t="s">
        <v>711</v>
      </c>
      <c r="D163" s="117" t="s">
        <v>712</v>
      </c>
      <c r="E163" s="117" t="s">
        <v>713</v>
      </c>
      <c r="F163" s="117" t="s">
        <v>714</v>
      </c>
      <c r="G163" s="117" t="s">
        <v>205</v>
      </c>
      <c r="H163" s="117" t="s">
        <v>700</v>
      </c>
      <c r="I163" s="117">
        <v>2.0</v>
      </c>
      <c r="J163" s="117">
        <v>1.0</v>
      </c>
      <c r="K163" s="117" t="str">
        <f t="shared" si="1"/>
        <v>Si</v>
      </c>
      <c r="L163" s="118" t="s">
        <v>287</v>
      </c>
      <c r="M163" s="119">
        <v>0.25</v>
      </c>
      <c r="N163" s="120">
        <v>0.0</v>
      </c>
      <c r="O163" s="121">
        <v>6.0</v>
      </c>
      <c r="P163" s="117">
        <v>20.461103810775295</v>
      </c>
      <c r="Q163" s="117">
        <f t="shared" si="2"/>
        <v>0</v>
      </c>
      <c r="R163" s="122">
        <f>+(IF(((M163*24)-P163)&lt;0,0,((M163*24)-P163)*'Estimación de pérdidas'!$F$72))*N163</f>
        <v>0</v>
      </c>
      <c r="S163" s="123" t="s">
        <v>117</v>
      </c>
      <c r="T163" s="124" t="s">
        <v>106</v>
      </c>
      <c r="U163" s="124">
        <f t="shared" si="3"/>
        <v>1</v>
      </c>
      <c r="V163" s="124">
        <v>1.0</v>
      </c>
      <c r="W163" s="124"/>
      <c r="X163" s="125"/>
      <c r="Y163" s="126"/>
      <c r="Z163" s="125">
        <f t="shared" si="4"/>
        <v>1</v>
      </c>
      <c r="AA163" s="127" t="str">
        <f t="shared" si="5"/>
        <v>Bajo</v>
      </c>
      <c r="AB163" s="128">
        <f t="shared" si="6"/>
        <v>7</v>
      </c>
      <c r="AC163" s="129">
        <f t="shared" si="7"/>
        <v>0.1011928851</v>
      </c>
    </row>
    <row r="164" ht="14.25" hidden="1" customHeight="1">
      <c r="A164" s="116" t="s">
        <v>539</v>
      </c>
      <c r="B164" s="117" t="s">
        <v>575</v>
      </c>
      <c r="C164" s="117" t="s">
        <v>715</v>
      </c>
      <c r="D164" s="117" t="s">
        <v>716</v>
      </c>
      <c r="E164" s="117" t="s">
        <v>713</v>
      </c>
      <c r="F164" s="117" t="s">
        <v>714</v>
      </c>
      <c r="G164" s="117" t="s">
        <v>205</v>
      </c>
      <c r="H164" s="117" t="s">
        <v>700</v>
      </c>
      <c r="I164" s="117">
        <v>2.0</v>
      </c>
      <c r="J164" s="117">
        <v>1.0</v>
      </c>
      <c r="K164" s="117" t="str">
        <f t="shared" si="1"/>
        <v>Si</v>
      </c>
      <c r="L164" s="118" t="s">
        <v>287</v>
      </c>
      <c r="M164" s="119">
        <v>0.25</v>
      </c>
      <c r="N164" s="120">
        <v>0.0</v>
      </c>
      <c r="O164" s="121">
        <v>0.87</v>
      </c>
      <c r="P164" s="117">
        <v>21.691360052562416</v>
      </c>
      <c r="Q164" s="117">
        <f t="shared" si="2"/>
        <v>0</v>
      </c>
      <c r="R164" s="122">
        <f>+(IF(((M164*24)-P164)&lt;0,0,((M164*24)-P164)*'Estimación de pérdidas'!$F$72))*N164</f>
        <v>0</v>
      </c>
      <c r="S164" s="123" t="s">
        <v>117</v>
      </c>
      <c r="T164" s="124" t="s">
        <v>106</v>
      </c>
      <c r="U164" s="124">
        <f t="shared" si="3"/>
        <v>1</v>
      </c>
      <c r="V164" s="124">
        <v>1.0</v>
      </c>
      <c r="W164" s="124"/>
      <c r="X164" s="125"/>
      <c r="Y164" s="126"/>
      <c r="Z164" s="125">
        <f t="shared" si="4"/>
        <v>1</v>
      </c>
      <c r="AA164" s="127" t="str">
        <f t="shared" si="5"/>
        <v>Bajo</v>
      </c>
      <c r="AB164" s="128">
        <f t="shared" si="6"/>
        <v>7</v>
      </c>
      <c r="AC164" s="129">
        <f t="shared" si="7"/>
        <v>0.1011928851</v>
      </c>
    </row>
    <row r="165" ht="14.25" hidden="1" customHeight="1">
      <c r="A165" s="116" t="s">
        <v>539</v>
      </c>
      <c r="B165" s="117" t="s">
        <v>575</v>
      </c>
      <c r="C165" s="117" t="s">
        <v>717</v>
      </c>
      <c r="D165" s="117" t="s">
        <v>718</v>
      </c>
      <c r="E165" s="117" t="s">
        <v>717</v>
      </c>
      <c r="F165" s="117" t="s">
        <v>719</v>
      </c>
      <c r="G165" s="117" t="s">
        <v>205</v>
      </c>
      <c r="H165" s="117" t="s">
        <v>491</v>
      </c>
      <c r="I165" s="117">
        <v>1.0</v>
      </c>
      <c r="J165" s="117">
        <v>1.0</v>
      </c>
      <c r="K165" s="117" t="str">
        <f t="shared" si="1"/>
        <v>No</v>
      </c>
      <c r="L165" s="118" t="s">
        <v>116</v>
      </c>
      <c r="M165" s="119">
        <v>0.25</v>
      </c>
      <c r="N165" s="120">
        <v>0.0</v>
      </c>
      <c r="O165" s="121">
        <v>91.32</v>
      </c>
      <c r="P165" s="117">
        <v>1.0</v>
      </c>
      <c r="Q165" s="117">
        <f t="shared" si="2"/>
        <v>0</v>
      </c>
      <c r="R165" s="122">
        <f>+(IF(((M165*24)-P165)&lt;0,0,((M165*24)-P165)*'Estimación de pérdidas'!$F$72))*N165</f>
        <v>0</v>
      </c>
      <c r="S165" s="123" t="s">
        <v>117</v>
      </c>
      <c r="T165" s="124" t="s">
        <v>106</v>
      </c>
      <c r="U165" s="124">
        <f t="shared" si="3"/>
        <v>1</v>
      </c>
      <c r="V165" s="124">
        <v>1.0</v>
      </c>
      <c r="W165" s="124"/>
      <c r="X165" s="125"/>
      <c r="Y165" s="126"/>
      <c r="Z165" s="125">
        <f t="shared" si="4"/>
        <v>1</v>
      </c>
      <c r="AA165" s="127" t="str">
        <f t="shared" si="5"/>
        <v>Bajo</v>
      </c>
      <c r="AB165" s="128">
        <f t="shared" si="6"/>
        <v>7</v>
      </c>
      <c r="AC165" s="129">
        <f t="shared" si="7"/>
        <v>0.1011928851</v>
      </c>
    </row>
    <row r="166" ht="14.25" hidden="1" customHeight="1">
      <c r="A166" s="116" t="s">
        <v>539</v>
      </c>
      <c r="B166" s="117" t="s">
        <v>575</v>
      </c>
      <c r="C166" s="117" t="s">
        <v>717</v>
      </c>
      <c r="D166" s="117" t="s">
        <v>720</v>
      </c>
      <c r="E166" s="117" t="s">
        <v>717</v>
      </c>
      <c r="F166" s="117" t="s">
        <v>719</v>
      </c>
      <c r="G166" s="117" t="s">
        <v>205</v>
      </c>
      <c r="H166" s="117" t="s">
        <v>491</v>
      </c>
      <c r="I166" s="117">
        <v>1.0</v>
      </c>
      <c r="J166" s="117">
        <v>1.0</v>
      </c>
      <c r="K166" s="117" t="str">
        <f t="shared" si="1"/>
        <v>No</v>
      </c>
      <c r="L166" s="118" t="s">
        <v>116</v>
      </c>
      <c r="M166" s="119">
        <v>0.25</v>
      </c>
      <c r="N166" s="120">
        <v>0.0</v>
      </c>
      <c r="O166" s="121">
        <v>91.32</v>
      </c>
      <c r="P166" s="117">
        <v>1.0</v>
      </c>
      <c r="Q166" s="117">
        <f t="shared" si="2"/>
        <v>0</v>
      </c>
      <c r="R166" s="122">
        <f>+(IF(((M166*24)-P166)&lt;0,0,((M166*24)-P166)*'Estimación de pérdidas'!$F$72))*N166</f>
        <v>0</v>
      </c>
      <c r="S166" s="123" t="s">
        <v>117</v>
      </c>
      <c r="T166" s="124" t="s">
        <v>106</v>
      </c>
      <c r="U166" s="124">
        <f t="shared" si="3"/>
        <v>1</v>
      </c>
      <c r="V166" s="124">
        <v>1.0</v>
      </c>
      <c r="W166" s="124"/>
      <c r="X166" s="125"/>
      <c r="Y166" s="126"/>
      <c r="Z166" s="125">
        <f t="shared" si="4"/>
        <v>1</v>
      </c>
      <c r="AA166" s="127" t="str">
        <f t="shared" si="5"/>
        <v>Bajo</v>
      </c>
      <c r="AB166" s="128">
        <f t="shared" si="6"/>
        <v>7</v>
      </c>
      <c r="AC166" s="129">
        <f t="shared" si="7"/>
        <v>0.1011928851</v>
      </c>
    </row>
    <row r="167" ht="14.25" hidden="1" customHeight="1">
      <c r="A167" s="116" t="s">
        <v>539</v>
      </c>
      <c r="B167" s="117" t="s">
        <v>575</v>
      </c>
      <c r="C167" s="117" t="s">
        <v>707</v>
      </c>
      <c r="D167" s="117" t="s">
        <v>721</v>
      </c>
      <c r="E167" s="117" t="s">
        <v>709</v>
      </c>
      <c r="F167" s="117" t="s">
        <v>722</v>
      </c>
      <c r="G167" s="117" t="s">
        <v>205</v>
      </c>
      <c r="H167" s="117" t="s">
        <v>491</v>
      </c>
      <c r="I167" s="117">
        <v>1.0</v>
      </c>
      <c r="J167" s="117">
        <v>1.0</v>
      </c>
      <c r="K167" s="117" t="str">
        <f t="shared" si="1"/>
        <v>No</v>
      </c>
      <c r="L167" s="118" t="s">
        <v>116</v>
      </c>
      <c r="M167" s="119">
        <v>0.25</v>
      </c>
      <c r="N167" s="120">
        <v>1.0</v>
      </c>
      <c r="O167" s="121">
        <v>2.34</v>
      </c>
      <c r="P167" s="117">
        <v>21.338830486202365</v>
      </c>
      <c r="Q167" s="117">
        <f t="shared" si="2"/>
        <v>0</v>
      </c>
      <c r="R167" s="122">
        <f>+(IF(((M167*24)-P167)&lt;0,0,((M167*24)-P167)*'Estimación de pérdidas'!$F$72))*N167</f>
        <v>0</v>
      </c>
      <c r="S167" s="123" t="s">
        <v>117</v>
      </c>
      <c r="T167" s="124" t="s">
        <v>106</v>
      </c>
      <c r="U167" s="124">
        <f t="shared" si="3"/>
        <v>1</v>
      </c>
      <c r="V167" s="124">
        <v>1.0</v>
      </c>
      <c r="W167" s="124"/>
      <c r="X167" s="125"/>
      <c r="Y167" s="126"/>
      <c r="Z167" s="125">
        <f t="shared" si="4"/>
        <v>1</v>
      </c>
      <c r="AA167" s="127" t="str">
        <f t="shared" si="5"/>
        <v>Bajo</v>
      </c>
      <c r="AB167" s="128">
        <f t="shared" si="6"/>
        <v>7</v>
      </c>
      <c r="AC167" s="129">
        <f t="shared" si="7"/>
        <v>0.1011928851</v>
      </c>
    </row>
    <row r="168" ht="14.25" hidden="1" customHeight="1">
      <c r="A168" s="116" t="s">
        <v>539</v>
      </c>
      <c r="B168" s="117" t="s">
        <v>575</v>
      </c>
      <c r="C168" s="117" t="s">
        <v>723</v>
      </c>
      <c r="D168" s="117" t="s">
        <v>724</v>
      </c>
      <c r="E168" s="117" t="s">
        <v>723</v>
      </c>
      <c r="F168" s="117" t="s">
        <v>725</v>
      </c>
      <c r="G168" s="117" t="s">
        <v>205</v>
      </c>
      <c r="H168" s="117" t="s">
        <v>491</v>
      </c>
      <c r="I168" s="117">
        <v>1.0</v>
      </c>
      <c r="J168" s="117">
        <v>1.0</v>
      </c>
      <c r="K168" s="117" t="str">
        <f t="shared" si="1"/>
        <v>No</v>
      </c>
      <c r="L168" s="118" t="s">
        <v>116</v>
      </c>
      <c r="M168" s="119">
        <v>0.33</v>
      </c>
      <c r="N168" s="120">
        <v>0.0</v>
      </c>
      <c r="O168" s="121"/>
      <c r="P168" s="117">
        <v>0.0</v>
      </c>
      <c r="Q168" s="117">
        <f t="shared" si="2"/>
        <v>0</v>
      </c>
      <c r="R168" s="122">
        <f>+(IF(((M168*24)-P168)&lt;0,0,((M168*24)-P168)*'Estimación de pérdidas'!$F$72))*N168</f>
        <v>0</v>
      </c>
      <c r="S168" s="123" t="s">
        <v>117</v>
      </c>
      <c r="T168" s="124" t="s">
        <v>119</v>
      </c>
      <c r="U168" s="124">
        <f t="shared" si="3"/>
        <v>1</v>
      </c>
      <c r="V168" s="124">
        <v>1.0</v>
      </c>
      <c r="W168" s="124"/>
      <c r="X168" s="125"/>
      <c r="Y168" s="126"/>
      <c r="Z168" s="125">
        <f t="shared" si="4"/>
        <v>1</v>
      </c>
      <c r="AA168" s="127" t="str">
        <f t="shared" si="5"/>
        <v>Bajo</v>
      </c>
      <c r="AB168" s="128">
        <f t="shared" si="6"/>
        <v>4</v>
      </c>
      <c r="AC168" s="129">
        <f t="shared" si="7"/>
        <v>0.07589466384</v>
      </c>
    </row>
    <row r="169" ht="14.25" hidden="1" customHeight="1">
      <c r="A169" s="116" t="s">
        <v>539</v>
      </c>
      <c r="B169" s="117" t="s">
        <v>575</v>
      </c>
      <c r="C169" s="117" t="s">
        <v>726</v>
      </c>
      <c r="D169" s="117" t="s">
        <v>727</v>
      </c>
      <c r="E169" s="117" t="s">
        <v>726</v>
      </c>
      <c r="F169" s="117" t="s">
        <v>728</v>
      </c>
      <c r="G169" s="117" t="s">
        <v>205</v>
      </c>
      <c r="H169" s="117" t="s">
        <v>729</v>
      </c>
      <c r="I169" s="117">
        <v>1.0</v>
      </c>
      <c r="J169" s="117">
        <v>1.0</v>
      </c>
      <c r="K169" s="117" t="str">
        <f t="shared" si="1"/>
        <v>No</v>
      </c>
      <c r="L169" s="118" t="s">
        <v>116</v>
      </c>
      <c r="M169" s="119">
        <v>0.25</v>
      </c>
      <c r="N169" s="120">
        <v>0.2</v>
      </c>
      <c r="O169" s="121">
        <v>91.33375000000001</v>
      </c>
      <c r="P169" s="117">
        <v>1.0</v>
      </c>
      <c r="Q169" s="117">
        <f t="shared" si="2"/>
        <v>1</v>
      </c>
      <c r="R169" s="122">
        <f>+(IF(((M169*24)-P169)&lt;0,0,((M169*24)-P169)*'Estimación de pérdidas'!$F$72))*N169</f>
        <v>57678.07491</v>
      </c>
      <c r="S169" s="123" t="s">
        <v>117</v>
      </c>
      <c r="T169" s="124" t="s">
        <v>106</v>
      </c>
      <c r="U169" s="124">
        <f t="shared" si="3"/>
        <v>2</v>
      </c>
      <c r="V169" s="124">
        <v>1.0</v>
      </c>
      <c r="W169" s="124"/>
      <c r="X169" s="125"/>
      <c r="Y169" s="126"/>
      <c r="Z169" s="125">
        <f t="shared" si="4"/>
        <v>2</v>
      </c>
      <c r="AA169" s="127" t="str">
        <f t="shared" si="5"/>
        <v>Moderado</v>
      </c>
      <c r="AB169" s="128">
        <f t="shared" si="6"/>
        <v>12</v>
      </c>
      <c r="AC169" s="129">
        <f t="shared" si="7"/>
        <v>0.16</v>
      </c>
      <c r="AD169" s="131"/>
    </row>
    <row r="170" ht="14.25" hidden="1" customHeight="1">
      <c r="A170" s="116" t="s">
        <v>539</v>
      </c>
      <c r="B170" s="117" t="s">
        <v>575</v>
      </c>
      <c r="C170" s="117" t="s">
        <v>730</v>
      </c>
      <c r="D170" s="117" t="s">
        <v>731</v>
      </c>
      <c r="E170" s="117" t="s">
        <v>730</v>
      </c>
      <c r="F170" s="117" t="s">
        <v>732</v>
      </c>
      <c r="G170" s="117" t="s">
        <v>205</v>
      </c>
      <c r="H170" s="117" t="s">
        <v>491</v>
      </c>
      <c r="I170" s="117">
        <v>1.0</v>
      </c>
      <c r="J170" s="117">
        <v>1.0</v>
      </c>
      <c r="K170" s="117" t="str">
        <f t="shared" si="1"/>
        <v>No</v>
      </c>
      <c r="L170" s="118" t="s">
        <v>116</v>
      </c>
      <c r="M170" s="119">
        <v>0.33</v>
      </c>
      <c r="N170" s="120">
        <v>0.0</v>
      </c>
      <c r="O170" s="121"/>
      <c r="P170" s="117">
        <v>0.0</v>
      </c>
      <c r="Q170" s="117">
        <f t="shared" si="2"/>
        <v>0</v>
      </c>
      <c r="R170" s="122">
        <f>+(IF(((M170*24)-P170)&lt;0,0,((M170*24)-P170)*'Estimación de pérdidas'!$F$72))*N170</f>
        <v>0</v>
      </c>
      <c r="S170" s="123" t="s">
        <v>117</v>
      </c>
      <c r="T170" s="124" t="s">
        <v>119</v>
      </c>
      <c r="U170" s="124">
        <f t="shared" si="3"/>
        <v>1</v>
      </c>
      <c r="V170" s="124">
        <v>1.0</v>
      </c>
      <c r="W170" s="124"/>
      <c r="X170" s="125"/>
      <c r="Y170" s="126"/>
      <c r="Z170" s="125">
        <f t="shared" si="4"/>
        <v>1</v>
      </c>
      <c r="AA170" s="127" t="str">
        <f t="shared" si="5"/>
        <v>Bajo</v>
      </c>
      <c r="AB170" s="128">
        <f t="shared" si="6"/>
        <v>4</v>
      </c>
      <c r="AC170" s="129">
        <f t="shared" si="7"/>
        <v>0.07589466384</v>
      </c>
    </row>
    <row r="171" ht="14.25" hidden="1" customHeight="1">
      <c r="A171" s="116" t="s">
        <v>539</v>
      </c>
      <c r="B171" s="117" t="s">
        <v>575</v>
      </c>
      <c r="C171" s="117" t="s">
        <v>733</v>
      </c>
      <c r="D171" s="117" t="s">
        <v>734</v>
      </c>
      <c r="E171" s="117" t="s">
        <v>733</v>
      </c>
      <c r="F171" s="117" t="s">
        <v>735</v>
      </c>
      <c r="G171" s="117" t="s">
        <v>205</v>
      </c>
      <c r="H171" s="117" t="s">
        <v>491</v>
      </c>
      <c r="I171" s="117">
        <v>1.0</v>
      </c>
      <c r="J171" s="117">
        <v>1.0</v>
      </c>
      <c r="K171" s="117" t="str">
        <f t="shared" si="1"/>
        <v>No</v>
      </c>
      <c r="L171" s="118" t="s">
        <v>116</v>
      </c>
      <c r="M171" s="119">
        <v>0.25</v>
      </c>
      <c r="N171" s="120">
        <v>0.0</v>
      </c>
      <c r="O171" s="121">
        <v>0.87</v>
      </c>
      <c r="P171" s="117">
        <v>22.791360052562418</v>
      </c>
      <c r="Q171" s="117">
        <f t="shared" si="2"/>
        <v>0</v>
      </c>
      <c r="R171" s="122">
        <f>+(IF(((M171*24)-P171)&lt;0,0,((M171*24)-P171)*'Estimación de pérdidas'!$F$72))*N171</f>
        <v>0</v>
      </c>
      <c r="S171" s="123" t="s">
        <v>117</v>
      </c>
      <c r="T171" s="124" t="s">
        <v>106</v>
      </c>
      <c r="U171" s="124">
        <f t="shared" si="3"/>
        <v>1</v>
      </c>
      <c r="V171" s="124">
        <v>1.0</v>
      </c>
      <c r="W171" s="124"/>
      <c r="X171" s="125"/>
      <c r="Y171" s="126"/>
      <c r="Z171" s="125">
        <f t="shared" si="4"/>
        <v>1</v>
      </c>
      <c r="AA171" s="127" t="str">
        <f t="shared" si="5"/>
        <v>Bajo</v>
      </c>
      <c r="AB171" s="128">
        <f t="shared" si="6"/>
        <v>7</v>
      </c>
      <c r="AC171" s="129">
        <f t="shared" si="7"/>
        <v>0.1011928851</v>
      </c>
    </row>
    <row r="172" ht="14.25" hidden="1" customHeight="1">
      <c r="A172" s="116" t="s">
        <v>539</v>
      </c>
      <c r="B172" s="117" t="s">
        <v>575</v>
      </c>
      <c r="C172" s="117" t="s">
        <v>736</v>
      </c>
      <c r="D172" s="117" t="s">
        <v>737</v>
      </c>
      <c r="E172" s="117" t="s">
        <v>736</v>
      </c>
      <c r="F172" s="117" t="s">
        <v>738</v>
      </c>
      <c r="G172" s="117" t="s">
        <v>205</v>
      </c>
      <c r="H172" s="117" t="s">
        <v>491</v>
      </c>
      <c r="I172" s="117">
        <v>1.0</v>
      </c>
      <c r="J172" s="117">
        <v>1.0</v>
      </c>
      <c r="K172" s="117" t="str">
        <f t="shared" si="1"/>
        <v>No</v>
      </c>
      <c r="L172" s="118" t="s">
        <v>116</v>
      </c>
      <c r="M172" s="119">
        <v>0.25</v>
      </c>
      <c r="N172" s="120">
        <v>0.0</v>
      </c>
      <c r="O172" s="121">
        <v>0.87</v>
      </c>
      <c r="P172" s="117">
        <v>22.791360052562418</v>
      </c>
      <c r="Q172" s="117">
        <f t="shared" si="2"/>
        <v>0</v>
      </c>
      <c r="R172" s="122">
        <f>+(IF(((M172*24)-P172)&lt;0,0,((M172*24)-P172)*'Estimación de pérdidas'!$F$72))*N172</f>
        <v>0</v>
      </c>
      <c r="S172" s="123" t="s">
        <v>117</v>
      </c>
      <c r="T172" s="124" t="s">
        <v>106</v>
      </c>
      <c r="U172" s="124">
        <f t="shared" si="3"/>
        <v>1</v>
      </c>
      <c r="V172" s="124">
        <v>1.0</v>
      </c>
      <c r="W172" s="124"/>
      <c r="X172" s="125"/>
      <c r="Y172" s="126"/>
      <c r="Z172" s="125">
        <f t="shared" si="4"/>
        <v>1</v>
      </c>
      <c r="AA172" s="127" t="str">
        <f t="shared" si="5"/>
        <v>Bajo</v>
      </c>
      <c r="AB172" s="128">
        <f t="shared" si="6"/>
        <v>7</v>
      </c>
      <c r="AC172" s="129">
        <f t="shared" si="7"/>
        <v>0.1011928851</v>
      </c>
    </row>
    <row r="173" ht="14.25" hidden="1" customHeight="1">
      <c r="A173" s="116" t="s">
        <v>539</v>
      </c>
      <c r="B173" s="117" t="s">
        <v>575</v>
      </c>
      <c r="C173" s="117" t="s">
        <v>739</v>
      </c>
      <c r="D173" s="117" t="s">
        <v>740</v>
      </c>
      <c r="E173" s="117" t="s">
        <v>739</v>
      </c>
      <c r="F173" s="117" t="s">
        <v>741</v>
      </c>
      <c r="G173" s="117" t="s">
        <v>205</v>
      </c>
      <c r="H173" s="117" t="s">
        <v>486</v>
      </c>
      <c r="I173" s="117">
        <v>2.0</v>
      </c>
      <c r="J173" s="117">
        <v>1.0</v>
      </c>
      <c r="K173" s="117" t="str">
        <f t="shared" si="1"/>
        <v>Si</v>
      </c>
      <c r="L173" s="118" t="s">
        <v>287</v>
      </c>
      <c r="M173" s="119">
        <v>0.25</v>
      </c>
      <c r="N173" s="120">
        <v>0.0</v>
      </c>
      <c r="O173" s="121">
        <v>91.32</v>
      </c>
      <c r="P173" s="117">
        <v>1.0</v>
      </c>
      <c r="Q173" s="117">
        <f t="shared" si="2"/>
        <v>0</v>
      </c>
      <c r="R173" s="122">
        <f>+(IF(((M173*24)-P173)&lt;0,0,((M173*24)-P173)*'Estimación de pérdidas'!$F$72))*N173</f>
        <v>0</v>
      </c>
      <c r="S173" s="123" t="s">
        <v>117</v>
      </c>
      <c r="T173" s="124" t="s">
        <v>106</v>
      </c>
      <c r="U173" s="124">
        <f t="shared" si="3"/>
        <v>1</v>
      </c>
      <c r="V173" s="124">
        <v>2.0</v>
      </c>
      <c r="W173" s="124"/>
      <c r="X173" s="125"/>
      <c r="Y173" s="126"/>
      <c r="Z173" s="125">
        <f t="shared" si="4"/>
        <v>2</v>
      </c>
      <c r="AA173" s="127" t="str">
        <f t="shared" si="5"/>
        <v>Moderado</v>
      </c>
      <c r="AB173" s="128">
        <f t="shared" si="6"/>
        <v>12</v>
      </c>
      <c r="AC173" s="129">
        <f t="shared" si="7"/>
        <v>0.16</v>
      </c>
      <c r="AD173" s="131"/>
    </row>
    <row r="174" ht="14.25" hidden="1" customHeight="1">
      <c r="A174" s="116" t="s">
        <v>539</v>
      </c>
      <c r="B174" s="117" t="s">
        <v>575</v>
      </c>
      <c r="C174" s="117" t="s">
        <v>739</v>
      </c>
      <c r="D174" s="117" t="s">
        <v>742</v>
      </c>
      <c r="E174" s="117" t="s">
        <v>739</v>
      </c>
      <c r="F174" s="117" t="s">
        <v>741</v>
      </c>
      <c r="G174" s="117" t="s">
        <v>205</v>
      </c>
      <c r="H174" s="117" t="s">
        <v>486</v>
      </c>
      <c r="I174" s="117">
        <v>2.0</v>
      </c>
      <c r="J174" s="117">
        <v>1.0</v>
      </c>
      <c r="K174" s="117" t="str">
        <f t="shared" si="1"/>
        <v>Si</v>
      </c>
      <c r="L174" s="118" t="s">
        <v>287</v>
      </c>
      <c r="M174" s="119">
        <v>0.25</v>
      </c>
      <c r="N174" s="120">
        <v>0.0</v>
      </c>
      <c r="O174" s="121">
        <v>91.32</v>
      </c>
      <c r="P174" s="117">
        <v>1.0</v>
      </c>
      <c r="Q174" s="117">
        <f t="shared" si="2"/>
        <v>0</v>
      </c>
      <c r="R174" s="122">
        <f>+(IF(((M174*24)-P174)&lt;0,0,((M174*24)-P174)*'Estimación de pérdidas'!$F$72))*N174</f>
        <v>0</v>
      </c>
      <c r="S174" s="123" t="s">
        <v>117</v>
      </c>
      <c r="T174" s="124" t="s">
        <v>106</v>
      </c>
      <c r="U174" s="124">
        <f t="shared" si="3"/>
        <v>1</v>
      </c>
      <c r="V174" s="124">
        <v>2.0</v>
      </c>
      <c r="W174" s="124"/>
      <c r="X174" s="125"/>
      <c r="Y174" s="126"/>
      <c r="Z174" s="125">
        <f t="shared" si="4"/>
        <v>2</v>
      </c>
      <c r="AA174" s="127" t="str">
        <f t="shared" si="5"/>
        <v>Moderado</v>
      </c>
      <c r="AB174" s="128">
        <f t="shared" si="6"/>
        <v>12</v>
      </c>
      <c r="AC174" s="129">
        <f t="shared" si="7"/>
        <v>0.16</v>
      </c>
      <c r="AD174" s="131"/>
    </row>
    <row r="175" ht="14.25" hidden="1" customHeight="1">
      <c r="A175" s="116" t="s">
        <v>539</v>
      </c>
      <c r="B175" s="117" t="s">
        <v>575</v>
      </c>
      <c r="C175" s="117" t="s">
        <v>717</v>
      </c>
      <c r="D175" s="117" t="s">
        <v>743</v>
      </c>
      <c r="E175" s="117" t="s">
        <v>717</v>
      </c>
      <c r="F175" s="117" t="s">
        <v>744</v>
      </c>
      <c r="G175" s="117" t="s">
        <v>205</v>
      </c>
      <c r="H175" s="117" t="s">
        <v>491</v>
      </c>
      <c r="I175" s="117">
        <v>2.0</v>
      </c>
      <c r="J175" s="117">
        <v>1.0</v>
      </c>
      <c r="K175" s="117" t="str">
        <f t="shared" si="1"/>
        <v>Si</v>
      </c>
      <c r="L175" s="118" t="s">
        <v>287</v>
      </c>
      <c r="M175" s="119">
        <v>0.25</v>
      </c>
      <c r="N175" s="120">
        <v>0.0</v>
      </c>
      <c r="O175" s="121">
        <v>91.32</v>
      </c>
      <c r="P175" s="117">
        <v>1.0</v>
      </c>
      <c r="Q175" s="117">
        <f t="shared" si="2"/>
        <v>0</v>
      </c>
      <c r="R175" s="122">
        <f>+(IF(((M175*24)-P175)&lt;0,0,((M175*24)-P175)*'Estimación de pérdidas'!$F$72))*N175</f>
        <v>0</v>
      </c>
      <c r="S175" s="123" t="s">
        <v>117</v>
      </c>
      <c r="T175" s="124" t="s">
        <v>106</v>
      </c>
      <c r="U175" s="124">
        <f t="shared" si="3"/>
        <v>1</v>
      </c>
      <c r="V175" s="124">
        <v>1.0</v>
      </c>
      <c r="W175" s="124"/>
      <c r="X175" s="125"/>
      <c r="Y175" s="126"/>
      <c r="Z175" s="125">
        <f t="shared" si="4"/>
        <v>1</v>
      </c>
      <c r="AA175" s="127" t="str">
        <f t="shared" si="5"/>
        <v>Bajo</v>
      </c>
      <c r="AB175" s="128">
        <f t="shared" si="6"/>
        <v>7</v>
      </c>
      <c r="AC175" s="129">
        <f t="shared" si="7"/>
        <v>0.1011928851</v>
      </c>
    </row>
    <row r="176" ht="14.25" hidden="1" customHeight="1">
      <c r="A176" s="116" t="s">
        <v>539</v>
      </c>
      <c r="B176" s="117" t="s">
        <v>575</v>
      </c>
      <c r="C176" s="117" t="s">
        <v>717</v>
      </c>
      <c r="D176" s="117" t="s">
        <v>745</v>
      </c>
      <c r="E176" s="117" t="s">
        <v>717</v>
      </c>
      <c r="F176" s="117" t="s">
        <v>744</v>
      </c>
      <c r="G176" s="117" t="s">
        <v>205</v>
      </c>
      <c r="H176" s="117" t="s">
        <v>491</v>
      </c>
      <c r="I176" s="117">
        <v>2.0</v>
      </c>
      <c r="J176" s="117">
        <v>1.0</v>
      </c>
      <c r="K176" s="117" t="str">
        <f t="shared" si="1"/>
        <v>Si</v>
      </c>
      <c r="L176" s="118" t="s">
        <v>287</v>
      </c>
      <c r="M176" s="119">
        <v>0.25</v>
      </c>
      <c r="N176" s="120">
        <v>0.0</v>
      </c>
      <c r="O176" s="121">
        <v>91.32</v>
      </c>
      <c r="P176" s="117">
        <v>1.0</v>
      </c>
      <c r="Q176" s="117">
        <f t="shared" si="2"/>
        <v>0</v>
      </c>
      <c r="R176" s="122">
        <f>+(IF(((M176*24)-P176)&lt;0,0,((M176*24)-P176)*'Estimación de pérdidas'!$F$72))*N176</f>
        <v>0</v>
      </c>
      <c r="S176" s="123" t="s">
        <v>117</v>
      </c>
      <c r="T176" s="124" t="s">
        <v>106</v>
      </c>
      <c r="U176" s="124">
        <f t="shared" si="3"/>
        <v>1</v>
      </c>
      <c r="V176" s="124">
        <v>1.0</v>
      </c>
      <c r="W176" s="124"/>
      <c r="X176" s="125"/>
      <c r="Y176" s="126"/>
      <c r="Z176" s="125">
        <f t="shared" si="4"/>
        <v>1</v>
      </c>
      <c r="AA176" s="127" t="str">
        <f t="shared" si="5"/>
        <v>Bajo</v>
      </c>
      <c r="AB176" s="128">
        <f t="shared" si="6"/>
        <v>7</v>
      </c>
      <c r="AC176" s="129">
        <f t="shared" si="7"/>
        <v>0.1011928851</v>
      </c>
    </row>
    <row r="177" ht="14.25" hidden="1" customHeight="1">
      <c r="A177" s="116" t="s">
        <v>539</v>
      </c>
      <c r="B177" s="117" t="s">
        <v>575</v>
      </c>
      <c r="C177" s="117" t="s">
        <v>746</v>
      </c>
      <c r="D177" s="117" t="s">
        <v>747</v>
      </c>
      <c r="E177" s="117" t="s">
        <v>746</v>
      </c>
      <c r="F177" s="117" t="s">
        <v>748</v>
      </c>
      <c r="G177" s="117" t="s">
        <v>205</v>
      </c>
      <c r="H177" s="117" t="s">
        <v>491</v>
      </c>
      <c r="I177" s="117">
        <v>2.0</v>
      </c>
      <c r="J177" s="117">
        <v>1.0</v>
      </c>
      <c r="K177" s="117" t="str">
        <f t="shared" si="1"/>
        <v>Si</v>
      </c>
      <c r="L177" s="118" t="s">
        <v>287</v>
      </c>
      <c r="M177" s="119">
        <v>0.25</v>
      </c>
      <c r="N177" s="120">
        <v>0.0</v>
      </c>
      <c r="O177" s="121">
        <v>91.32</v>
      </c>
      <c r="P177" s="117">
        <v>1.0</v>
      </c>
      <c r="Q177" s="117">
        <f t="shared" si="2"/>
        <v>0</v>
      </c>
      <c r="R177" s="122">
        <f>+(IF(((M177*24)-P177)&lt;0,0,((M177*24)-P177)*'Estimación de pérdidas'!$F$72))*N177</f>
        <v>0</v>
      </c>
      <c r="S177" s="123" t="s">
        <v>117</v>
      </c>
      <c r="T177" s="124" t="s">
        <v>106</v>
      </c>
      <c r="U177" s="124">
        <f t="shared" si="3"/>
        <v>1</v>
      </c>
      <c r="V177" s="124">
        <v>1.0</v>
      </c>
      <c r="W177" s="124"/>
      <c r="X177" s="125"/>
      <c r="Y177" s="126"/>
      <c r="Z177" s="125">
        <f t="shared" si="4"/>
        <v>1</v>
      </c>
      <c r="AA177" s="127" t="str">
        <f t="shared" si="5"/>
        <v>Bajo</v>
      </c>
      <c r="AB177" s="128">
        <f t="shared" si="6"/>
        <v>7</v>
      </c>
      <c r="AC177" s="129">
        <f t="shared" si="7"/>
        <v>0.1011928851</v>
      </c>
    </row>
    <row r="178" ht="14.25" hidden="1" customHeight="1">
      <c r="A178" s="116" t="s">
        <v>539</v>
      </c>
      <c r="B178" s="117" t="s">
        <v>575</v>
      </c>
      <c r="C178" s="117" t="s">
        <v>746</v>
      </c>
      <c r="D178" s="117" t="s">
        <v>749</v>
      </c>
      <c r="E178" s="117" t="s">
        <v>746</v>
      </c>
      <c r="F178" s="117" t="s">
        <v>748</v>
      </c>
      <c r="G178" s="117" t="s">
        <v>205</v>
      </c>
      <c r="H178" s="117" t="s">
        <v>491</v>
      </c>
      <c r="I178" s="117">
        <v>2.0</v>
      </c>
      <c r="J178" s="117">
        <v>1.0</v>
      </c>
      <c r="K178" s="117" t="str">
        <f t="shared" si="1"/>
        <v>Si</v>
      </c>
      <c r="L178" s="118" t="s">
        <v>287</v>
      </c>
      <c r="M178" s="119">
        <v>0.25</v>
      </c>
      <c r="N178" s="120">
        <v>0.0</v>
      </c>
      <c r="O178" s="121">
        <v>91.32</v>
      </c>
      <c r="P178" s="117">
        <v>1.0</v>
      </c>
      <c r="Q178" s="117">
        <f t="shared" si="2"/>
        <v>0</v>
      </c>
      <c r="R178" s="122">
        <f>+(IF(((M178*24)-P178)&lt;0,0,((M178*24)-P178)*'Estimación de pérdidas'!$F$72))*N178</f>
        <v>0</v>
      </c>
      <c r="S178" s="123" t="s">
        <v>117</v>
      </c>
      <c r="T178" s="124" t="s">
        <v>106</v>
      </c>
      <c r="U178" s="124">
        <f t="shared" si="3"/>
        <v>1</v>
      </c>
      <c r="V178" s="124">
        <v>1.0</v>
      </c>
      <c r="W178" s="124"/>
      <c r="X178" s="125"/>
      <c r="Y178" s="126"/>
      <c r="Z178" s="125">
        <f t="shared" si="4"/>
        <v>1</v>
      </c>
      <c r="AA178" s="127" t="str">
        <f t="shared" si="5"/>
        <v>Bajo</v>
      </c>
      <c r="AB178" s="128">
        <f t="shared" si="6"/>
        <v>7</v>
      </c>
      <c r="AC178" s="129">
        <f t="shared" si="7"/>
        <v>0.1011928851</v>
      </c>
    </row>
    <row r="179" ht="14.25" hidden="1" customHeight="1">
      <c r="A179" s="116" t="s">
        <v>539</v>
      </c>
      <c r="B179" s="117" t="s">
        <v>575</v>
      </c>
      <c r="C179" s="117" t="s">
        <v>750</v>
      </c>
      <c r="D179" s="117" t="s">
        <v>751</v>
      </c>
      <c r="E179" s="117" t="s">
        <v>750</v>
      </c>
      <c r="F179" s="117" t="s">
        <v>752</v>
      </c>
      <c r="G179" s="117" t="s">
        <v>205</v>
      </c>
      <c r="H179" s="117" t="s">
        <v>491</v>
      </c>
      <c r="I179" s="117">
        <v>2.0</v>
      </c>
      <c r="J179" s="117">
        <v>1.0</v>
      </c>
      <c r="K179" s="117" t="str">
        <f t="shared" si="1"/>
        <v>Si</v>
      </c>
      <c r="L179" s="118" t="s">
        <v>287</v>
      </c>
      <c r="M179" s="119">
        <v>0.25</v>
      </c>
      <c r="N179" s="120">
        <v>0.0</v>
      </c>
      <c r="O179" s="121">
        <v>91.32</v>
      </c>
      <c r="P179" s="117">
        <v>1.0</v>
      </c>
      <c r="Q179" s="117">
        <f t="shared" si="2"/>
        <v>0</v>
      </c>
      <c r="R179" s="122">
        <f>+(IF(((M179*24)-P179)&lt;0,0,((M179*24)-P179)*'Estimación de pérdidas'!$F$72))*N179</f>
        <v>0</v>
      </c>
      <c r="S179" s="123" t="s">
        <v>117</v>
      </c>
      <c r="T179" s="124" t="s">
        <v>106</v>
      </c>
      <c r="U179" s="124">
        <f t="shared" si="3"/>
        <v>1</v>
      </c>
      <c r="V179" s="124">
        <v>1.0</v>
      </c>
      <c r="W179" s="124"/>
      <c r="X179" s="125"/>
      <c r="Y179" s="126"/>
      <c r="Z179" s="125">
        <f t="shared" si="4"/>
        <v>1</v>
      </c>
      <c r="AA179" s="127" t="str">
        <f t="shared" si="5"/>
        <v>Bajo</v>
      </c>
      <c r="AB179" s="128">
        <f t="shared" si="6"/>
        <v>7</v>
      </c>
      <c r="AC179" s="129">
        <f t="shared" si="7"/>
        <v>0.1011928851</v>
      </c>
    </row>
    <row r="180" ht="14.25" hidden="1" customHeight="1">
      <c r="A180" s="116" t="s">
        <v>539</v>
      </c>
      <c r="B180" s="117" t="s">
        <v>575</v>
      </c>
      <c r="C180" s="117" t="s">
        <v>750</v>
      </c>
      <c r="D180" s="117" t="s">
        <v>753</v>
      </c>
      <c r="E180" s="117" t="s">
        <v>750</v>
      </c>
      <c r="F180" s="117" t="s">
        <v>752</v>
      </c>
      <c r="G180" s="117" t="s">
        <v>205</v>
      </c>
      <c r="H180" s="117" t="s">
        <v>491</v>
      </c>
      <c r="I180" s="117">
        <v>2.0</v>
      </c>
      <c r="J180" s="117">
        <v>1.0</v>
      </c>
      <c r="K180" s="117" t="str">
        <f t="shared" si="1"/>
        <v>Si</v>
      </c>
      <c r="L180" s="118" t="s">
        <v>287</v>
      </c>
      <c r="M180" s="119">
        <v>0.25</v>
      </c>
      <c r="N180" s="120">
        <v>0.0</v>
      </c>
      <c r="O180" s="121">
        <v>91.32</v>
      </c>
      <c r="P180" s="117">
        <v>1.0</v>
      </c>
      <c r="Q180" s="117">
        <f t="shared" si="2"/>
        <v>0</v>
      </c>
      <c r="R180" s="122">
        <f>+(IF(((M180*24)-P180)&lt;0,0,((M180*24)-P180)*'Estimación de pérdidas'!$F$72))*N180</f>
        <v>0</v>
      </c>
      <c r="S180" s="123" t="s">
        <v>117</v>
      </c>
      <c r="T180" s="124" t="s">
        <v>106</v>
      </c>
      <c r="U180" s="124">
        <f t="shared" si="3"/>
        <v>1</v>
      </c>
      <c r="V180" s="124">
        <v>1.0</v>
      </c>
      <c r="W180" s="124"/>
      <c r="X180" s="125"/>
      <c r="Y180" s="126"/>
      <c r="Z180" s="125">
        <f t="shared" si="4"/>
        <v>1</v>
      </c>
      <c r="AA180" s="127" t="str">
        <f t="shared" si="5"/>
        <v>Bajo</v>
      </c>
      <c r="AB180" s="128">
        <f t="shared" si="6"/>
        <v>7</v>
      </c>
      <c r="AC180" s="129">
        <f t="shared" si="7"/>
        <v>0.1011928851</v>
      </c>
    </row>
    <row r="181" ht="14.25" hidden="1" customHeight="1">
      <c r="A181" s="116" t="s">
        <v>539</v>
      </c>
      <c r="B181" s="117" t="s">
        <v>575</v>
      </c>
      <c r="C181" s="117" t="s">
        <v>754</v>
      </c>
      <c r="D181" s="117" t="s">
        <v>755</v>
      </c>
      <c r="E181" s="117" t="s">
        <v>756</v>
      </c>
      <c r="F181" s="117" t="s">
        <v>757</v>
      </c>
      <c r="G181" s="117" t="s">
        <v>472</v>
      </c>
      <c r="H181" s="117" t="s">
        <v>496</v>
      </c>
      <c r="I181" s="117">
        <v>1.0</v>
      </c>
      <c r="J181" s="117">
        <v>1.0</v>
      </c>
      <c r="K181" s="117" t="str">
        <f t="shared" si="1"/>
        <v>No</v>
      </c>
      <c r="L181" s="118" t="s">
        <v>116</v>
      </c>
      <c r="M181" s="119">
        <v>0.25</v>
      </c>
      <c r="N181" s="120">
        <v>0.0</v>
      </c>
      <c r="O181" s="121"/>
      <c r="P181" s="117">
        <v>0.0</v>
      </c>
      <c r="Q181" s="117">
        <f t="shared" si="2"/>
        <v>0</v>
      </c>
      <c r="R181" s="122">
        <f>+(IF(((M181*24)-P181)&lt;0,0,((M181*24)-P181)*'Estimación de pérdidas'!$F$72))*N181</f>
        <v>0</v>
      </c>
      <c r="S181" s="123" t="s">
        <v>117</v>
      </c>
      <c r="T181" s="124" t="s">
        <v>119</v>
      </c>
      <c r="U181" s="124">
        <f t="shared" si="3"/>
        <v>1</v>
      </c>
      <c r="V181" s="124">
        <v>1.0</v>
      </c>
      <c r="W181" s="124"/>
      <c r="X181" s="125"/>
      <c r="Y181" s="126"/>
      <c r="Z181" s="125">
        <f t="shared" si="4"/>
        <v>1</v>
      </c>
      <c r="AA181" s="127" t="str">
        <f t="shared" si="5"/>
        <v>Bajo</v>
      </c>
      <c r="AB181" s="128">
        <f t="shared" si="6"/>
        <v>4</v>
      </c>
      <c r="AC181" s="129">
        <f t="shared" si="7"/>
        <v>0.07589466384</v>
      </c>
    </row>
    <row r="182" ht="14.25" hidden="1" customHeight="1">
      <c r="A182" s="116" t="s">
        <v>539</v>
      </c>
      <c r="B182" s="117" t="s">
        <v>575</v>
      </c>
      <c r="C182" s="117" t="s">
        <v>754</v>
      </c>
      <c r="D182" s="117" t="s">
        <v>758</v>
      </c>
      <c r="E182" s="117" t="s">
        <v>759</v>
      </c>
      <c r="F182" s="117" t="s">
        <v>760</v>
      </c>
      <c r="G182" s="117" t="s">
        <v>472</v>
      </c>
      <c r="H182" s="117" t="s">
        <v>496</v>
      </c>
      <c r="I182" s="117">
        <v>1.0</v>
      </c>
      <c r="J182" s="117">
        <v>1.0</v>
      </c>
      <c r="K182" s="117" t="str">
        <f t="shared" si="1"/>
        <v>No</v>
      </c>
      <c r="L182" s="118" t="s">
        <v>116</v>
      </c>
      <c r="M182" s="119">
        <v>0.25</v>
      </c>
      <c r="N182" s="120">
        <v>0.0</v>
      </c>
      <c r="O182" s="121"/>
      <c r="P182" s="117">
        <v>0.0</v>
      </c>
      <c r="Q182" s="117">
        <f t="shared" si="2"/>
        <v>0</v>
      </c>
      <c r="R182" s="122">
        <f>+(IF(((M182*24)-P182)&lt;0,0,((M182*24)-P182)*'Estimación de pérdidas'!$F$72))*N182</f>
        <v>0</v>
      </c>
      <c r="S182" s="123" t="s">
        <v>117</v>
      </c>
      <c r="T182" s="124" t="s">
        <v>119</v>
      </c>
      <c r="U182" s="124">
        <f t="shared" si="3"/>
        <v>1</v>
      </c>
      <c r="V182" s="124">
        <v>1.0</v>
      </c>
      <c r="W182" s="124"/>
      <c r="X182" s="125"/>
      <c r="Y182" s="126"/>
      <c r="Z182" s="125">
        <f t="shared" si="4"/>
        <v>1</v>
      </c>
      <c r="AA182" s="127" t="str">
        <f t="shared" si="5"/>
        <v>Bajo</v>
      </c>
      <c r="AB182" s="128">
        <f t="shared" si="6"/>
        <v>4</v>
      </c>
      <c r="AC182" s="129">
        <f t="shared" si="7"/>
        <v>0.07589466384</v>
      </c>
    </row>
    <row r="183" ht="14.25" hidden="1" customHeight="1">
      <c r="A183" s="116" t="s">
        <v>403</v>
      </c>
      <c r="B183" s="117" t="s">
        <v>575</v>
      </c>
      <c r="C183" s="117" t="s">
        <v>761</v>
      </c>
      <c r="D183" s="117" t="s">
        <v>762</v>
      </c>
      <c r="E183" s="117" t="s">
        <v>526</v>
      </c>
      <c r="F183" s="117" t="s">
        <v>763</v>
      </c>
      <c r="G183" s="117" t="s">
        <v>408</v>
      </c>
      <c r="H183" s="117" t="s">
        <v>764</v>
      </c>
      <c r="I183" s="117">
        <v>1.0</v>
      </c>
      <c r="J183" s="117">
        <v>1.0</v>
      </c>
      <c r="K183" s="117" t="str">
        <f t="shared" si="1"/>
        <v>No</v>
      </c>
      <c r="L183" s="118" t="s">
        <v>116</v>
      </c>
      <c r="M183" s="119">
        <v>0.3333333333333333</v>
      </c>
      <c r="N183" s="120">
        <v>0.0</v>
      </c>
      <c r="O183" s="121"/>
      <c r="P183" s="117">
        <v>0.0</v>
      </c>
      <c r="Q183" s="117">
        <f t="shared" si="2"/>
        <v>0</v>
      </c>
      <c r="R183" s="122">
        <f>+(IF(((M183*24)-P183)&lt;0,0,((M183*24)-P183)*'Estimación de pérdidas'!$F$72))*N183</f>
        <v>0</v>
      </c>
      <c r="S183" s="123" t="s">
        <v>272</v>
      </c>
      <c r="T183" s="124" t="s">
        <v>106</v>
      </c>
      <c r="U183" s="124">
        <f t="shared" si="3"/>
        <v>1</v>
      </c>
      <c r="V183" s="124">
        <v>1.0</v>
      </c>
      <c r="W183" s="124">
        <v>4.0</v>
      </c>
      <c r="X183" s="125"/>
      <c r="Y183" s="126"/>
      <c r="Z183" s="125">
        <f t="shared" si="4"/>
        <v>4</v>
      </c>
      <c r="AA183" s="127" t="str">
        <f t="shared" si="5"/>
        <v>Alto</v>
      </c>
      <c r="AB183" s="128">
        <f t="shared" si="6"/>
        <v>22</v>
      </c>
      <c r="AC183" s="129">
        <f t="shared" si="7"/>
        <v>0.3035786554</v>
      </c>
      <c r="AD183" s="130"/>
    </row>
    <row r="184" ht="14.25" hidden="1" customHeight="1">
      <c r="A184" s="116" t="s">
        <v>403</v>
      </c>
      <c r="B184" s="117" t="s">
        <v>575</v>
      </c>
      <c r="C184" s="117" t="s">
        <v>765</v>
      </c>
      <c r="D184" s="117" t="s">
        <v>766</v>
      </c>
      <c r="E184" s="117" t="s">
        <v>526</v>
      </c>
      <c r="F184" s="117" t="s">
        <v>407</v>
      </c>
      <c r="G184" s="117" t="s">
        <v>408</v>
      </c>
      <c r="H184" s="117" t="s">
        <v>409</v>
      </c>
      <c r="I184" s="117">
        <v>1.0</v>
      </c>
      <c r="J184" s="117">
        <v>1.0</v>
      </c>
      <c r="K184" s="117" t="str">
        <f t="shared" si="1"/>
        <v>No</v>
      </c>
      <c r="L184" s="118" t="s">
        <v>116</v>
      </c>
      <c r="M184" s="119">
        <v>0.3333333333333333</v>
      </c>
      <c r="N184" s="120">
        <v>0.0</v>
      </c>
      <c r="O184" s="121"/>
      <c r="P184" s="117">
        <v>0.0</v>
      </c>
      <c r="Q184" s="117">
        <f t="shared" si="2"/>
        <v>0</v>
      </c>
      <c r="R184" s="122">
        <f>+(IF(((M184*24)-P184)&lt;0,0,((M184*24)-P184)*'Estimación de pérdidas'!$F$72))*N184</f>
        <v>0</v>
      </c>
      <c r="S184" s="123" t="s">
        <v>272</v>
      </c>
      <c r="T184" s="124" t="s">
        <v>106</v>
      </c>
      <c r="U184" s="124">
        <f t="shared" si="3"/>
        <v>1</v>
      </c>
      <c r="V184" s="124">
        <v>1.0</v>
      </c>
      <c r="W184" s="124">
        <v>4.0</v>
      </c>
      <c r="X184" s="125"/>
      <c r="Y184" s="126"/>
      <c r="Z184" s="125">
        <f t="shared" si="4"/>
        <v>4</v>
      </c>
      <c r="AA184" s="127" t="str">
        <f t="shared" si="5"/>
        <v>Alto</v>
      </c>
      <c r="AB184" s="128">
        <f t="shared" si="6"/>
        <v>22</v>
      </c>
      <c r="AC184" s="129">
        <f t="shared" si="7"/>
        <v>0.3035786554</v>
      </c>
      <c r="AD184" s="130"/>
    </row>
    <row r="185" ht="14.25" hidden="1" customHeight="1">
      <c r="A185" s="116" t="s">
        <v>403</v>
      </c>
      <c r="B185" s="117" t="s">
        <v>575</v>
      </c>
      <c r="C185" s="117" t="s">
        <v>765</v>
      </c>
      <c r="D185" s="117" t="s">
        <v>767</v>
      </c>
      <c r="E185" s="117" t="s">
        <v>526</v>
      </c>
      <c r="F185" s="117" t="s">
        <v>407</v>
      </c>
      <c r="G185" s="117" t="s">
        <v>408</v>
      </c>
      <c r="H185" s="117" t="s">
        <v>409</v>
      </c>
      <c r="I185" s="117">
        <v>1.0</v>
      </c>
      <c r="J185" s="117">
        <v>1.0</v>
      </c>
      <c r="K185" s="117" t="str">
        <f t="shared" si="1"/>
        <v>No</v>
      </c>
      <c r="L185" s="118" t="s">
        <v>116</v>
      </c>
      <c r="M185" s="119">
        <v>0.3333333333333333</v>
      </c>
      <c r="N185" s="120">
        <v>0.0</v>
      </c>
      <c r="O185" s="121"/>
      <c r="P185" s="117">
        <v>0.0</v>
      </c>
      <c r="Q185" s="117">
        <f t="shared" si="2"/>
        <v>0</v>
      </c>
      <c r="R185" s="122">
        <f>+(IF(((M185*24)-P185)&lt;0,0,((M185*24)-P185)*'Estimación de pérdidas'!$F$72))*N185</f>
        <v>0</v>
      </c>
      <c r="S185" s="123" t="s">
        <v>272</v>
      </c>
      <c r="T185" s="124" t="s">
        <v>106</v>
      </c>
      <c r="U185" s="124">
        <f t="shared" si="3"/>
        <v>1</v>
      </c>
      <c r="V185" s="124">
        <v>1.0</v>
      </c>
      <c r="W185" s="124">
        <v>4.0</v>
      </c>
      <c r="X185" s="125"/>
      <c r="Y185" s="126"/>
      <c r="Z185" s="125">
        <f t="shared" si="4"/>
        <v>4</v>
      </c>
      <c r="AA185" s="127" t="str">
        <f t="shared" si="5"/>
        <v>Alto</v>
      </c>
      <c r="AB185" s="128">
        <f t="shared" si="6"/>
        <v>22</v>
      </c>
      <c r="AC185" s="129">
        <f t="shared" si="7"/>
        <v>0.3035786554</v>
      </c>
      <c r="AD185" s="130"/>
    </row>
    <row r="186" ht="14.25" hidden="1" customHeight="1">
      <c r="A186" s="116" t="s">
        <v>403</v>
      </c>
      <c r="B186" s="117" t="s">
        <v>575</v>
      </c>
      <c r="C186" s="117" t="s">
        <v>524</v>
      </c>
      <c r="D186" s="117" t="s">
        <v>768</v>
      </c>
      <c r="E186" s="117" t="s">
        <v>526</v>
      </c>
      <c r="F186" s="117" t="s">
        <v>407</v>
      </c>
      <c r="G186" s="117" t="s">
        <v>408</v>
      </c>
      <c r="H186" s="117" t="s">
        <v>409</v>
      </c>
      <c r="I186" s="117">
        <v>1.0</v>
      </c>
      <c r="J186" s="117">
        <v>1.0</v>
      </c>
      <c r="K186" s="117" t="str">
        <f t="shared" si="1"/>
        <v>No</v>
      </c>
      <c r="L186" s="118" t="s">
        <v>116</v>
      </c>
      <c r="M186" s="119">
        <v>0.3333333333333333</v>
      </c>
      <c r="N186" s="120">
        <v>0.0</v>
      </c>
      <c r="O186" s="121"/>
      <c r="P186" s="117">
        <v>0.0</v>
      </c>
      <c r="Q186" s="117">
        <f t="shared" si="2"/>
        <v>0</v>
      </c>
      <c r="R186" s="122">
        <f>+(IF(((M186*24)-P186)&lt;0,0,((M186*24)-P186)*'Estimación de pérdidas'!$F$72))*N186</f>
        <v>0</v>
      </c>
      <c r="S186" s="123" t="s">
        <v>272</v>
      </c>
      <c r="T186" s="124" t="s">
        <v>106</v>
      </c>
      <c r="U186" s="124">
        <f t="shared" si="3"/>
        <v>1</v>
      </c>
      <c r="V186" s="124">
        <v>1.0</v>
      </c>
      <c r="W186" s="124">
        <v>4.0</v>
      </c>
      <c r="X186" s="125"/>
      <c r="Y186" s="126"/>
      <c r="Z186" s="125">
        <f t="shared" si="4"/>
        <v>4</v>
      </c>
      <c r="AA186" s="127" t="str">
        <f t="shared" si="5"/>
        <v>Alto</v>
      </c>
      <c r="AB186" s="128">
        <f t="shared" si="6"/>
        <v>22</v>
      </c>
      <c r="AC186" s="129">
        <f t="shared" si="7"/>
        <v>0.3035786554</v>
      </c>
      <c r="AD186" s="130"/>
    </row>
    <row r="187" ht="14.25" hidden="1" customHeight="1">
      <c r="A187" s="116" t="s">
        <v>403</v>
      </c>
      <c r="B187" s="117" t="s">
        <v>575</v>
      </c>
      <c r="C187" s="117" t="s">
        <v>524</v>
      </c>
      <c r="D187" s="117" t="s">
        <v>769</v>
      </c>
      <c r="E187" s="117" t="s">
        <v>526</v>
      </c>
      <c r="F187" s="117" t="s">
        <v>407</v>
      </c>
      <c r="G187" s="117" t="s">
        <v>408</v>
      </c>
      <c r="H187" s="117" t="s">
        <v>409</v>
      </c>
      <c r="I187" s="117">
        <v>1.0</v>
      </c>
      <c r="J187" s="117">
        <v>1.0</v>
      </c>
      <c r="K187" s="117" t="str">
        <f t="shared" si="1"/>
        <v>No</v>
      </c>
      <c r="L187" s="118" t="s">
        <v>116</v>
      </c>
      <c r="M187" s="119">
        <v>0.3333333333333333</v>
      </c>
      <c r="N187" s="120">
        <v>0.0</v>
      </c>
      <c r="O187" s="121"/>
      <c r="P187" s="117">
        <v>0.0</v>
      </c>
      <c r="Q187" s="117">
        <f t="shared" si="2"/>
        <v>0</v>
      </c>
      <c r="R187" s="122">
        <f>+(IF(((M187*24)-P187)&lt;0,0,((M187*24)-P187)*'Estimación de pérdidas'!$F$72))*N187</f>
        <v>0</v>
      </c>
      <c r="S187" s="123" t="s">
        <v>272</v>
      </c>
      <c r="T187" s="124" t="s">
        <v>106</v>
      </c>
      <c r="U187" s="124">
        <f t="shared" si="3"/>
        <v>1</v>
      </c>
      <c r="V187" s="124">
        <v>1.0</v>
      </c>
      <c r="W187" s="124">
        <v>4.0</v>
      </c>
      <c r="X187" s="125"/>
      <c r="Y187" s="126"/>
      <c r="Z187" s="125">
        <f t="shared" si="4"/>
        <v>4</v>
      </c>
      <c r="AA187" s="127" t="str">
        <f t="shared" si="5"/>
        <v>Alto</v>
      </c>
      <c r="AB187" s="128">
        <f t="shared" si="6"/>
        <v>22</v>
      </c>
      <c r="AC187" s="129">
        <f t="shared" si="7"/>
        <v>0.3035786554</v>
      </c>
      <c r="AD187" s="130"/>
    </row>
    <row r="188" ht="14.25" hidden="1" customHeight="1">
      <c r="A188" s="116" t="s">
        <v>539</v>
      </c>
      <c r="B188" s="117" t="s">
        <v>575</v>
      </c>
      <c r="C188" s="117" t="s">
        <v>770</v>
      </c>
      <c r="D188" s="117" t="s">
        <v>771</v>
      </c>
      <c r="E188" s="117" t="s">
        <v>770</v>
      </c>
      <c r="F188" s="117" t="s">
        <v>772</v>
      </c>
      <c r="G188" s="117" t="s">
        <v>531</v>
      </c>
      <c r="H188" s="117" t="s">
        <v>773</v>
      </c>
      <c r="I188" s="117">
        <v>1.0</v>
      </c>
      <c r="J188" s="117">
        <v>1.0</v>
      </c>
      <c r="K188" s="117" t="str">
        <f t="shared" si="1"/>
        <v>No</v>
      </c>
      <c r="L188" s="118" t="s">
        <v>116</v>
      </c>
      <c r="M188" s="119">
        <v>0.3333333333333333</v>
      </c>
      <c r="N188" s="120">
        <v>0.0</v>
      </c>
      <c r="O188" s="121"/>
      <c r="P188" s="117">
        <v>0.0</v>
      </c>
      <c r="Q188" s="117">
        <f t="shared" si="2"/>
        <v>0</v>
      </c>
      <c r="R188" s="122">
        <f>+(IF(((M188*24)-P188)&lt;0,0,((M188*24)-P188)*'Estimación de pérdidas'!$F$72))*N188</f>
        <v>0</v>
      </c>
      <c r="S188" s="123" t="s">
        <v>272</v>
      </c>
      <c r="T188" s="124" t="s">
        <v>118</v>
      </c>
      <c r="U188" s="124">
        <f t="shared" si="3"/>
        <v>1</v>
      </c>
      <c r="V188" s="124">
        <v>2.0</v>
      </c>
      <c r="W188" s="124"/>
      <c r="X188" s="125">
        <v>2.0</v>
      </c>
      <c r="Y188" s="126"/>
      <c r="Z188" s="125">
        <f t="shared" si="4"/>
        <v>2</v>
      </c>
      <c r="AA188" s="127" t="str">
        <f t="shared" si="5"/>
        <v>Bajo</v>
      </c>
      <c r="AB188" s="128">
        <f t="shared" si="6"/>
        <v>5</v>
      </c>
      <c r="AC188" s="129">
        <f t="shared" si="7"/>
        <v>0.1073312629</v>
      </c>
    </row>
    <row r="189" ht="14.25" hidden="1" customHeight="1">
      <c r="A189" s="116" t="s">
        <v>539</v>
      </c>
      <c r="B189" s="117" t="s">
        <v>575</v>
      </c>
      <c r="C189" s="117" t="s">
        <v>774</v>
      </c>
      <c r="D189" s="117" t="s">
        <v>775</v>
      </c>
      <c r="E189" s="117" t="s">
        <v>774</v>
      </c>
      <c r="F189" s="117" t="s">
        <v>776</v>
      </c>
      <c r="G189" s="117" t="s">
        <v>531</v>
      </c>
      <c r="H189" s="117" t="s">
        <v>623</v>
      </c>
      <c r="I189" s="117">
        <v>1.0</v>
      </c>
      <c r="J189" s="117">
        <v>1.0</v>
      </c>
      <c r="K189" s="117" t="str">
        <f t="shared" si="1"/>
        <v>No</v>
      </c>
      <c r="L189" s="118" t="s">
        <v>116</v>
      </c>
      <c r="M189" s="119">
        <v>0.3333333333333333</v>
      </c>
      <c r="N189" s="120">
        <v>0.0</v>
      </c>
      <c r="O189" s="121">
        <v>91.32</v>
      </c>
      <c r="P189" s="117">
        <v>1.0</v>
      </c>
      <c r="Q189" s="117">
        <f t="shared" si="2"/>
        <v>0</v>
      </c>
      <c r="R189" s="122">
        <f>+(IF(((M189*24)-P189)&lt;0,0,((M189*24)-P189)*'Estimación de pérdidas'!$F$72))*N189</f>
        <v>0</v>
      </c>
      <c r="S189" s="123" t="s">
        <v>117</v>
      </c>
      <c r="T189" s="124" t="s">
        <v>118</v>
      </c>
      <c r="U189" s="124">
        <f t="shared" si="3"/>
        <v>1</v>
      </c>
      <c r="V189" s="124">
        <v>2.0</v>
      </c>
      <c r="W189" s="124"/>
      <c r="X189" s="125"/>
      <c r="Y189" s="126"/>
      <c r="Z189" s="125">
        <f t="shared" si="4"/>
        <v>2</v>
      </c>
      <c r="AA189" s="127" t="str">
        <f t="shared" si="5"/>
        <v>Bajo</v>
      </c>
      <c r="AB189" s="128">
        <f t="shared" si="6"/>
        <v>5</v>
      </c>
      <c r="AC189" s="129">
        <f t="shared" si="7"/>
        <v>0.08</v>
      </c>
    </row>
    <row r="190" ht="14.25" hidden="1" customHeight="1">
      <c r="A190" s="116" t="s">
        <v>539</v>
      </c>
      <c r="B190" s="117" t="s">
        <v>575</v>
      </c>
      <c r="C190" s="117" t="s">
        <v>777</v>
      </c>
      <c r="D190" s="117" t="s">
        <v>778</v>
      </c>
      <c r="E190" s="117" t="s">
        <v>777</v>
      </c>
      <c r="F190" s="117" t="s">
        <v>779</v>
      </c>
      <c r="G190" s="117" t="s">
        <v>531</v>
      </c>
      <c r="H190" s="117" t="s">
        <v>532</v>
      </c>
      <c r="I190" s="117">
        <v>1.0</v>
      </c>
      <c r="J190" s="117">
        <v>1.0</v>
      </c>
      <c r="K190" s="117" t="str">
        <f t="shared" si="1"/>
        <v>No</v>
      </c>
      <c r="L190" s="118" t="s">
        <v>116</v>
      </c>
      <c r="M190" s="119">
        <v>0.3333333333333333</v>
      </c>
      <c r="N190" s="120">
        <v>1.0</v>
      </c>
      <c r="O190" s="121">
        <v>91.32</v>
      </c>
      <c r="P190" s="117">
        <v>1.0</v>
      </c>
      <c r="Q190" s="117">
        <f t="shared" si="2"/>
        <v>7</v>
      </c>
      <c r="R190" s="122">
        <f>+(IF(((M190*24)-P190)&lt;0,0,((M190*24)-P190)*'Estimación de pérdidas'!$F$72))*N190</f>
        <v>403746.5244</v>
      </c>
      <c r="S190" s="123" t="s">
        <v>272</v>
      </c>
      <c r="T190" s="124" t="s">
        <v>118</v>
      </c>
      <c r="U190" s="124">
        <f t="shared" si="3"/>
        <v>3</v>
      </c>
      <c r="V190" s="124">
        <v>2.0</v>
      </c>
      <c r="W190" s="124"/>
      <c r="X190" s="125">
        <v>2.0</v>
      </c>
      <c r="Y190" s="126"/>
      <c r="Z190" s="125">
        <f t="shared" si="4"/>
        <v>3</v>
      </c>
      <c r="AA190" s="127" t="str">
        <f t="shared" si="5"/>
        <v>Moderado</v>
      </c>
      <c r="AB190" s="128">
        <f t="shared" si="6"/>
        <v>9</v>
      </c>
      <c r="AC190" s="129">
        <f t="shared" si="7"/>
        <v>0.1475127113</v>
      </c>
      <c r="AD190" s="131"/>
    </row>
    <row r="191" ht="14.25" hidden="1" customHeight="1">
      <c r="A191" s="116" t="s">
        <v>539</v>
      </c>
      <c r="B191" s="117" t="s">
        <v>575</v>
      </c>
      <c r="C191" s="117" t="s">
        <v>780</v>
      </c>
      <c r="D191" s="117" t="s">
        <v>781</v>
      </c>
      <c r="E191" s="117" t="s">
        <v>782</v>
      </c>
      <c r="F191" s="117" t="s">
        <v>783</v>
      </c>
      <c r="G191" s="117" t="s">
        <v>531</v>
      </c>
      <c r="H191" s="117" t="s">
        <v>532</v>
      </c>
      <c r="I191" s="117">
        <v>1.0</v>
      </c>
      <c r="J191" s="117">
        <v>1.0</v>
      </c>
      <c r="K191" s="117" t="str">
        <f t="shared" si="1"/>
        <v>No</v>
      </c>
      <c r="L191" s="118" t="s">
        <v>116</v>
      </c>
      <c r="M191" s="119">
        <v>0.3333333333333333</v>
      </c>
      <c r="N191" s="120">
        <v>1.0</v>
      </c>
      <c r="O191" s="121">
        <v>91.32</v>
      </c>
      <c r="P191" s="117">
        <v>1.0</v>
      </c>
      <c r="Q191" s="117">
        <f t="shared" si="2"/>
        <v>7</v>
      </c>
      <c r="R191" s="122">
        <f>+(IF(((M191*24)-P191)&lt;0,0,((M191*24)-P191)*'Estimación de pérdidas'!$F$72))*N191</f>
        <v>403746.5244</v>
      </c>
      <c r="S191" s="123" t="s">
        <v>272</v>
      </c>
      <c r="T191" s="124" t="s">
        <v>118</v>
      </c>
      <c r="U191" s="124">
        <f t="shared" si="3"/>
        <v>3</v>
      </c>
      <c r="V191" s="124">
        <v>2.0</v>
      </c>
      <c r="W191" s="124"/>
      <c r="X191" s="125">
        <v>2.0</v>
      </c>
      <c r="Y191" s="126"/>
      <c r="Z191" s="125">
        <f t="shared" si="4"/>
        <v>3</v>
      </c>
      <c r="AA191" s="127" t="str">
        <f t="shared" si="5"/>
        <v>Moderado</v>
      </c>
      <c r="AB191" s="128">
        <f t="shared" si="6"/>
        <v>9</v>
      </c>
      <c r="AC191" s="129">
        <f t="shared" si="7"/>
        <v>0.1475127113</v>
      </c>
      <c r="AD191" s="131"/>
    </row>
    <row r="192" ht="14.25" hidden="1" customHeight="1">
      <c r="A192" s="116" t="s">
        <v>539</v>
      </c>
      <c r="B192" s="117" t="s">
        <v>575</v>
      </c>
      <c r="C192" s="117" t="s">
        <v>784</v>
      </c>
      <c r="D192" s="117" t="s">
        <v>785</v>
      </c>
      <c r="E192" s="117" t="s">
        <v>784</v>
      </c>
      <c r="F192" s="117" t="s">
        <v>786</v>
      </c>
      <c r="G192" s="117" t="s">
        <v>531</v>
      </c>
      <c r="H192" s="117" t="s">
        <v>787</v>
      </c>
      <c r="I192" s="117">
        <v>1.0</v>
      </c>
      <c r="J192" s="117">
        <v>1.0</v>
      </c>
      <c r="K192" s="117" t="str">
        <f t="shared" si="1"/>
        <v>No</v>
      </c>
      <c r="L192" s="118" t="s">
        <v>116</v>
      </c>
      <c r="M192" s="119">
        <v>0.5</v>
      </c>
      <c r="N192" s="120">
        <v>1.0</v>
      </c>
      <c r="O192" s="121">
        <v>91.32</v>
      </c>
      <c r="P192" s="117">
        <v>1.0</v>
      </c>
      <c r="Q192" s="117">
        <f t="shared" si="2"/>
        <v>11</v>
      </c>
      <c r="R192" s="122">
        <f>+(IF(((M192*24)-P192)&lt;0,0,((M192*24)-P192)*'Estimación de pérdidas'!$F$72))*N192</f>
        <v>634458.8241</v>
      </c>
      <c r="S192" s="123" t="s">
        <v>272</v>
      </c>
      <c r="T192" s="124" t="s">
        <v>118</v>
      </c>
      <c r="U192" s="124">
        <f t="shared" si="3"/>
        <v>4</v>
      </c>
      <c r="V192" s="124">
        <v>2.0</v>
      </c>
      <c r="W192" s="124"/>
      <c r="X192" s="125">
        <v>2.0</v>
      </c>
      <c r="Y192" s="126"/>
      <c r="Z192" s="125">
        <f t="shared" si="4"/>
        <v>4</v>
      </c>
      <c r="AA192" s="127" t="str">
        <f t="shared" si="5"/>
        <v>Moderado</v>
      </c>
      <c r="AB192" s="128">
        <f t="shared" si="6"/>
        <v>14</v>
      </c>
      <c r="AC192" s="129">
        <f t="shared" si="7"/>
        <v>0.1752712184</v>
      </c>
      <c r="AD192" s="130"/>
    </row>
    <row r="193" ht="14.25" hidden="1" customHeight="1">
      <c r="A193" s="116" t="s">
        <v>539</v>
      </c>
      <c r="B193" s="117" t="s">
        <v>575</v>
      </c>
      <c r="C193" s="117" t="s">
        <v>788</v>
      </c>
      <c r="D193" s="117" t="s">
        <v>789</v>
      </c>
      <c r="E193" s="117" t="s">
        <v>788</v>
      </c>
      <c r="F193" s="117" t="s">
        <v>790</v>
      </c>
      <c r="G193" s="117" t="s">
        <v>531</v>
      </c>
      <c r="H193" s="117" t="s">
        <v>623</v>
      </c>
      <c r="I193" s="117">
        <v>1.0</v>
      </c>
      <c r="J193" s="117">
        <v>1.0</v>
      </c>
      <c r="K193" s="117" t="str">
        <f t="shared" si="1"/>
        <v>No</v>
      </c>
      <c r="L193" s="118" t="s">
        <v>116</v>
      </c>
      <c r="M193" s="119">
        <v>1.5</v>
      </c>
      <c r="N193" s="120">
        <v>0.0</v>
      </c>
      <c r="O193" s="121">
        <v>0.87</v>
      </c>
      <c r="P193" s="117">
        <v>22.791360052562418</v>
      </c>
      <c r="Q193" s="117">
        <f t="shared" si="2"/>
        <v>0</v>
      </c>
      <c r="R193" s="122">
        <f>+(IF(((M193*24)-P193)&lt;0,0,((M193*24)-P193)*'Estimación de pérdidas'!$F$72))*N193</f>
        <v>0</v>
      </c>
      <c r="S193" s="123" t="s">
        <v>117</v>
      </c>
      <c r="T193" s="124" t="s">
        <v>118</v>
      </c>
      <c r="U193" s="124">
        <f t="shared" si="3"/>
        <v>1</v>
      </c>
      <c r="V193" s="124">
        <v>2.0</v>
      </c>
      <c r="W193" s="124"/>
      <c r="X193" s="125"/>
      <c r="Y193" s="126"/>
      <c r="Z193" s="125">
        <f t="shared" si="4"/>
        <v>2</v>
      </c>
      <c r="AA193" s="127" t="str">
        <f t="shared" si="5"/>
        <v>Bajo</v>
      </c>
      <c r="AB193" s="128">
        <f t="shared" si="6"/>
        <v>5</v>
      </c>
      <c r="AC193" s="129">
        <f t="shared" si="7"/>
        <v>0.08</v>
      </c>
    </row>
    <row r="194" ht="14.25" hidden="1" customHeight="1">
      <c r="A194" s="116" t="s">
        <v>539</v>
      </c>
      <c r="B194" s="117" t="s">
        <v>575</v>
      </c>
      <c r="C194" s="117" t="s">
        <v>774</v>
      </c>
      <c r="D194" s="117" t="s">
        <v>791</v>
      </c>
      <c r="E194" s="117" t="s">
        <v>774</v>
      </c>
      <c r="F194" s="117" t="s">
        <v>792</v>
      </c>
      <c r="G194" s="117" t="s">
        <v>531</v>
      </c>
      <c r="H194" s="117" t="s">
        <v>623</v>
      </c>
      <c r="I194" s="117">
        <v>1.0</v>
      </c>
      <c r="J194" s="117">
        <v>1.0</v>
      </c>
      <c r="K194" s="117" t="str">
        <f t="shared" si="1"/>
        <v>No</v>
      </c>
      <c r="L194" s="118" t="s">
        <v>116</v>
      </c>
      <c r="M194" s="119">
        <v>0.3333333333333333</v>
      </c>
      <c r="N194" s="120">
        <v>0.0</v>
      </c>
      <c r="O194" s="121">
        <v>91.32</v>
      </c>
      <c r="P194" s="117">
        <v>1.0</v>
      </c>
      <c r="Q194" s="117">
        <f t="shared" si="2"/>
        <v>0</v>
      </c>
      <c r="R194" s="122">
        <f>+(IF(((M194*24)-P194)&lt;0,0,((M194*24)-P194)*'Estimación de pérdidas'!$F$72))*N194</f>
        <v>0</v>
      </c>
      <c r="S194" s="123" t="s">
        <v>117</v>
      </c>
      <c r="T194" s="124" t="s">
        <v>118</v>
      </c>
      <c r="U194" s="124">
        <f t="shared" si="3"/>
        <v>1</v>
      </c>
      <c r="V194" s="124">
        <v>2.0</v>
      </c>
      <c r="W194" s="124"/>
      <c r="X194" s="125"/>
      <c r="Y194" s="126"/>
      <c r="Z194" s="125">
        <f t="shared" si="4"/>
        <v>2</v>
      </c>
      <c r="AA194" s="127" t="str">
        <f t="shared" si="5"/>
        <v>Bajo</v>
      </c>
      <c r="AB194" s="128">
        <f t="shared" si="6"/>
        <v>5</v>
      </c>
      <c r="AC194" s="129">
        <f t="shared" si="7"/>
        <v>0.08</v>
      </c>
    </row>
    <row r="195" ht="14.25" hidden="1" customHeight="1">
      <c r="A195" s="116" t="s">
        <v>539</v>
      </c>
      <c r="B195" s="117" t="s">
        <v>575</v>
      </c>
      <c r="C195" s="117" t="s">
        <v>793</v>
      </c>
      <c r="D195" s="117" t="s">
        <v>794</v>
      </c>
      <c r="E195" s="117" t="s">
        <v>793</v>
      </c>
      <c r="F195" s="117" t="s">
        <v>795</v>
      </c>
      <c r="G195" s="117" t="s">
        <v>531</v>
      </c>
      <c r="H195" s="117" t="s">
        <v>773</v>
      </c>
      <c r="I195" s="117">
        <v>1.0</v>
      </c>
      <c r="J195" s="117">
        <v>1.0</v>
      </c>
      <c r="K195" s="117" t="str">
        <f t="shared" si="1"/>
        <v>No</v>
      </c>
      <c r="L195" s="118" t="s">
        <v>116</v>
      </c>
      <c r="M195" s="119">
        <v>0.5</v>
      </c>
      <c r="N195" s="120">
        <v>0.0</v>
      </c>
      <c r="O195" s="121"/>
      <c r="P195" s="117">
        <v>0.0</v>
      </c>
      <c r="Q195" s="117">
        <f t="shared" si="2"/>
        <v>0</v>
      </c>
      <c r="R195" s="122">
        <f>+(IF(((M195*24)-P195)&lt;0,0,((M195*24)-P195)*'Estimación de pérdidas'!$F$72))*N195</f>
        <v>0</v>
      </c>
      <c r="S195" s="123" t="s">
        <v>272</v>
      </c>
      <c r="T195" s="124" t="s">
        <v>132</v>
      </c>
      <c r="U195" s="124">
        <f t="shared" si="3"/>
        <v>1</v>
      </c>
      <c r="V195" s="124">
        <v>1.0</v>
      </c>
      <c r="W195" s="124"/>
      <c r="X195" s="125">
        <v>2.0</v>
      </c>
      <c r="Y195" s="126"/>
      <c r="Z195" s="125">
        <f t="shared" si="4"/>
        <v>2</v>
      </c>
      <c r="AA195" s="127" t="str">
        <f t="shared" si="5"/>
        <v>Bajo</v>
      </c>
      <c r="AB195" s="128">
        <f t="shared" si="6"/>
        <v>3</v>
      </c>
      <c r="AC195" s="129">
        <f t="shared" si="7"/>
        <v>0.0438178046</v>
      </c>
    </row>
    <row r="196" ht="14.25" hidden="1" customHeight="1">
      <c r="A196" s="116" t="s">
        <v>539</v>
      </c>
      <c r="B196" s="117" t="s">
        <v>575</v>
      </c>
      <c r="C196" s="117" t="s">
        <v>796</v>
      </c>
      <c r="D196" s="117" t="s">
        <v>797</v>
      </c>
      <c r="E196" s="117" t="s">
        <v>796</v>
      </c>
      <c r="F196" s="117" t="s">
        <v>798</v>
      </c>
      <c r="G196" s="117" t="s">
        <v>509</v>
      </c>
      <c r="H196" s="117" t="s">
        <v>571</v>
      </c>
      <c r="I196" s="117">
        <v>1.0</v>
      </c>
      <c r="J196" s="117">
        <v>1.0</v>
      </c>
      <c r="K196" s="117" t="str">
        <f t="shared" si="1"/>
        <v>No</v>
      </c>
      <c r="L196" s="118" t="s">
        <v>116</v>
      </c>
      <c r="M196" s="119">
        <v>1.75</v>
      </c>
      <c r="N196" s="120">
        <v>1.0</v>
      </c>
      <c r="O196" s="121">
        <v>91.32</v>
      </c>
      <c r="P196" s="117">
        <v>1.0</v>
      </c>
      <c r="Q196" s="117">
        <f t="shared" si="2"/>
        <v>41</v>
      </c>
      <c r="R196" s="122">
        <f>+(IF(((M196*24)-P196)&lt;0,0,((M196*24)-P196)*'Estimación de pérdidas'!$F$72))*N196</f>
        <v>2364801.071</v>
      </c>
      <c r="S196" s="123" t="s">
        <v>117</v>
      </c>
      <c r="T196" s="124" t="s">
        <v>118</v>
      </c>
      <c r="U196" s="124">
        <f t="shared" si="3"/>
        <v>5</v>
      </c>
      <c r="V196" s="124">
        <v>2.0</v>
      </c>
      <c r="W196" s="124"/>
      <c r="X196" s="125"/>
      <c r="Y196" s="126"/>
      <c r="Z196" s="125">
        <f t="shared" si="4"/>
        <v>5</v>
      </c>
      <c r="AA196" s="127" t="str">
        <f t="shared" si="5"/>
        <v>Alto</v>
      </c>
      <c r="AB196" s="128">
        <f t="shared" si="6"/>
        <v>19</v>
      </c>
      <c r="AC196" s="129">
        <f t="shared" si="7"/>
        <v>0.1926655133</v>
      </c>
      <c r="AD196" s="130"/>
    </row>
    <row r="197" ht="14.25" hidden="1" customHeight="1">
      <c r="A197" s="116" t="s">
        <v>539</v>
      </c>
      <c r="B197" s="117" t="s">
        <v>575</v>
      </c>
      <c r="C197" s="117" t="s">
        <v>799</v>
      </c>
      <c r="D197" s="117" t="s">
        <v>800</v>
      </c>
      <c r="E197" s="117" t="s">
        <v>799</v>
      </c>
      <c r="F197" s="117" t="s">
        <v>801</v>
      </c>
      <c r="G197" s="117" t="s">
        <v>211</v>
      </c>
      <c r="H197" s="117" t="s">
        <v>802</v>
      </c>
      <c r="I197" s="117">
        <v>1.0</v>
      </c>
      <c r="J197" s="117">
        <v>1.0</v>
      </c>
      <c r="K197" s="117" t="str">
        <f t="shared" si="1"/>
        <v>No</v>
      </c>
      <c r="L197" s="118" t="s">
        <v>116</v>
      </c>
      <c r="M197" s="119">
        <v>1.0</v>
      </c>
      <c r="N197" s="120">
        <v>1.0</v>
      </c>
      <c r="O197" s="121">
        <v>91.32</v>
      </c>
      <c r="P197" s="117">
        <v>1.0</v>
      </c>
      <c r="Q197" s="117">
        <f t="shared" si="2"/>
        <v>23</v>
      </c>
      <c r="R197" s="122">
        <f>+(IF(((M197*24)-P197)&lt;0,0,((M197*24)-P197)*'Estimación de pérdidas'!$F$72))*N197</f>
        <v>1326595.723</v>
      </c>
      <c r="S197" s="123" t="s">
        <v>117</v>
      </c>
      <c r="T197" s="124" t="s">
        <v>132</v>
      </c>
      <c r="U197" s="124">
        <f t="shared" si="3"/>
        <v>5</v>
      </c>
      <c r="V197" s="124">
        <v>1.0</v>
      </c>
      <c r="W197" s="124"/>
      <c r="X197" s="125"/>
      <c r="Y197" s="126"/>
      <c r="Z197" s="125">
        <f t="shared" si="4"/>
        <v>5</v>
      </c>
      <c r="AA197" s="127" t="str">
        <f t="shared" si="5"/>
        <v>Moderado</v>
      </c>
      <c r="AB197" s="128">
        <f t="shared" si="6"/>
        <v>15</v>
      </c>
      <c r="AC197" s="129">
        <f t="shared" si="7"/>
        <v>0.09121403401</v>
      </c>
      <c r="AD197" s="131"/>
    </row>
    <row r="198" ht="14.25" hidden="1" customHeight="1">
      <c r="A198" s="116" t="s">
        <v>539</v>
      </c>
      <c r="B198" s="117" t="s">
        <v>575</v>
      </c>
      <c r="C198" s="117" t="s">
        <v>774</v>
      </c>
      <c r="D198" s="117" t="s">
        <v>803</v>
      </c>
      <c r="E198" s="117" t="s">
        <v>804</v>
      </c>
      <c r="F198" s="117" t="s">
        <v>805</v>
      </c>
      <c r="G198" s="117" t="s">
        <v>211</v>
      </c>
      <c r="H198" s="117" t="s">
        <v>806</v>
      </c>
      <c r="I198" s="117">
        <v>1.0</v>
      </c>
      <c r="J198" s="117">
        <v>1.0</v>
      </c>
      <c r="K198" s="117" t="str">
        <f t="shared" si="1"/>
        <v>No</v>
      </c>
      <c r="L198" s="118" t="s">
        <v>116</v>
      </c>
      <c r="M198" s="119">
        <v>0.3333333333333333</v>
      </c>
      <c r="N198" s="120">
        <v>0.0</v>
      </c>
      <c r="O198" s="121">
        <v>91.32</v>
      </c>
      <c r="P198" s="117">
        <v>1.0</v>
      </c>
      <c r="Q198" s="117">
        <f t="shared" si="2"/>
        <v>0</v>
      </c>
      <c r="R198" s="122">
        <f>+(IF(((M198*24)-P198)&lt;0,0,((M198*24)-P198)*'Estimación de pérdidas'!$F$72))*N198</f>
        <v>0</v>
      </c>
      <c r="S198" s="123" t="s">
        <v>272</v>
      </c>
      <c r="T198" s="124" t="s">
        <v>132</v>
      </c>
      <c r="U198" s="124">
        <f t="shared" si="3"/>
        <v>1</v>
      </c>
      <c r="V198" s="124">
        <v>1.0</v>
      </c>
      <c r="W198" s="124"/>
      <c r="X198" s="125">
        <v>1.0</v>
      </c>
      <c r="Y198" s="126"/>
      <c r="Z198" s="125">
        <f t="shared" si="4"/>
        <v>1</v>
      </c>
      <c r="AA198" s="127" t="str">
        <f t="shared" si="5"/>
        <v>Bajo</v>
      </c>
      <c r="AB198" s="128">
        <f t="shared" si="6"/>
        <v>1</v>
      </c>
      <c r="AC198" s="129">
        <f t="shared" si="7"/>
        <v>0.03098386677</v>
      </c>
    </row>
    <row r="199" ht="14.25" hidden="1" customHeight="1">
      <c r="A199" s="116" t="s">
        <v>539</v>
      </c>
      <c r="B199" s="117" t="s">
        <v>575</v>
      </c>
      <c r="C199" s="117" t="s">
        <v>807</v>
      </c>
      <c r="D199" s="117" t="s">
        <v>808</v>
      </c>
      <c r="E199" s="117" t="s">
        <v>807</v>
      </c>
      <c r="F199" s="117" t="s">
        <v>809</v>
      </c>
      <c r="G199" s="117" t="s">
        <v>211</v>
      </c>
      <c r="H199" s="117" t="s">
        <v>810</v>
      </c>
      <c r="I199" s="117">
        <v>1.0</v>
      </c>
      <c r="J199" s="117">
        <v>1.0</v>
      </c>
      <c r="K199" s="117" t="str">
        <f t="shared" si="1"/>
        <v>No</v>
      </c>
      <c r="L199" s="118" t="s">
        <v>116</v>
      </c>
      <c r="M199" s="119">
        <v>1.0</v>
      </c>
      <c r="N199" s="120">
        <v>1.0</v>
      </c>
      <c r="O199" s="121">
        <v>91.32</v>
      </c>
      <c r="P199" s="117">
        <v>1.0</v>
      </c>
      <c r="Q199" s="117">
        <f t="shared" si="2"/>
        <v>23</v>
      </c>
      <c r="R199" s="122">
        <f>+(IF(((M199*24)-P199)&lt;0,0,((M199*24)-P199)*'Estimación de pérdidas'!$F$72))*N199</f>
        <v>1326595.723</v>
      </c>
      <c r="S199" s="123" t="s">
        <v>117</v>
      </c>
      <c r="T199" s="124" t="s">
        <v>132</v>
      </c>
      <c r="U199" s="124">
        <f t="shared" si="3"/>
        <v>5</v>
      </c>
      <c r="V199" s="124">
        <v>1.0</v>
      </c>
      <c r="W199" s="124"/>
      <c r="X199" s="125"/>
      <c r="Y199" s="126"/>
      <c r="Z199" s="125">
        <f t="shared" si="4"/>
        <v>5</v>
      </c>
      <c r="AA199" s="127" t="str">
        <f t="shared" si="5"/>
        <v>Moderado</v>
      </c>
      <c r="AB199" s="128">
        <f t="shared" si="6"/>
        <v>15</v>
      </c>
      <c r="AC199" s="129">
        <f t="shared" si="7"/>
        <v>0.09121403401</v>
      </c>
      <c r="AD199" s="131"/>
    </row>
    <row r="200" ht="14.25" hidden="1" customHeight="1">
      <c r="A200" s="116" t="s">
        <v>539</v>
      </c>
      <c r="B200" s="117" t="s">
        <v>575</v>
      </c>
      <c r="C200" s="117" t="s">
        <v>811</v>
      </c>
      <c r="D200" s="117" t="s">
        <v>812</v>
      </c>
      <c r="E200" s="117" t="s">
        <v>813</v>
      </c>
      <c r="F200" s="117" t="s">
        <v>814</v>
      </c>
      <c r="G200" s="117" t="s">
        <v>211</v>
      </c>
      <c r="H200" s="117" t="s">
        <v>815</v>
      </c>
      <c r="I200" s="117">
        <v>1.0</v>
      </c>
      <c r="J200" s="117">
        <v>1.0</v>
      </c>
      <c r="K200" s="117" t="str">
        <f t="shared" si="1"/>
        <v>No</v>
      </c>
      <c r="L200" s="118" t="s">
        <v>116</v>
      </c>
      <c r="M200" s="119">
        <v>0.3333333333333333</v>
      </c>
      <c r="N200" s="120">
        <v>1.0</v>
      </c>
      <c r="O200" s="121">
        <v>0.87</v>
      </c>
      <c r="P200" s="117">
        <v>21.691360052562416</v>
      </c>
      <c r="Q200" s="117">
        <f t="shared" si="2"/>
        <v>0</v>
      </c>
      <c r="R200" s="122">
        <f>+(IF(((M200*24)-P200)&lt;0,0,((M200*24)-P200)*'Estimación de pérdidas'!$F$72))*N200</f>
        <v>0</v>
      </c>
      <c r="S200" s="123" t="s">
        <v>117</v>
      </c>
      <c r="T200" s="124" t="s">
        <v>132</v>
      </c>
      <c r="U200" s="124">
        <f t="shared" si="3"/>
        <v>1</v>
      </c>
      <c r="V200" s="124">
        <v>1.0</v>
      </c>
      <c r="W200" s="124"/>
      <c r="X200" s="125"/>
      <c r="Y200" s="126"/>
      <c r="Z200" s="125">
        <f t="shared" si="4"/>
        <v>1</v>
      </c>
      <c r="AA200" s="127" t="str">
        <f t="shared" si="5"/>
        <v>Bajo</v>
      </c>
      <c r="AB200" s="128">
        <f t="shared" si="6"/>
        <v>1</v>
      </c>
      <c r="AC200" s="129">
        <f t="shared" si="7"/>
        <v>0.02529822128</v>
      </c>
    </row>
    <row r="201" ht="14.25" hidden="1" customHeight="1">
      <c r="A201" s="116" t="s">
        <v>539</v>
      </c>
      <c r="B201" s="117" t="s">
        <v>575</v>
      </c>
      <c r="C201" s="117" t="s">
        <v>816</v>
      </c>
      <c r="D201" s="117" t="s">
        <v>817</v>
      </c>
      <c r="E201" s="117" t="s">
        <v>818</v>
      </c>
      <c r="F201" s="117" t="s">
        <v>819</v>
      </c>
      <c r="G201" s="117" t="s">
        <v>622</v>
      </c>
      <c r="H201" s="117" t="s">
        <v>631</v>
      </c>
      <c r="I201" s="117">
        <v>1.0</v>
      </c>
      <c r="J201" s="117">
        <v>1.0</v>
      </c>
      <c r="K201" s="117" t="str">
        <f t="shared" si="1"/>
        <v>No</v>
      </c>
      <c r="L201" s="118" t="s">
        <v>116</v>
      </c>
      <c r="M201" s="119">
        <v>1.0</v>
      </c>
      <c r="N201" s="120">
        <v>0.2</v>
      </c>
      <c r="O201" s="121">
        <v>91.32</v>
      </c>
      <c r="P201" s="117">
        <v>1.0</v>
      </c>
      <c r="Q201" s="117">
        <f t="shared" si="2"/>
        <v>4.6</v>
      </c>
      <c r="R201" s="122">
        <f>+(IF(((M201*24)-P201)&lt;0,0,((M201*24)-P201)*'Estimación de pérdidas'!$F$72))*N201</f>
        <v>265319.1446</v>
      </c>
      <c r="S201" s="123" t="s">
        <v>117</v>
      </c>
      <c r="T201" s="124" t="s">
        <v>132</v>
      </c>
      <c r="U201" s="124">
        <f t="shared" si="3"/>
        <v>3</v>
      </c>
      <c r="V201" s="124">
        <v>2.0</v>
      </c>
      <c r="W201" s="124"/>
      <c r="X201" s="125"/>
      <c r="Y201" s="126"/>
      <c r="Z201" s="125">
        <f t="shared" si="4"/>
        <v>3</v>
      </c>
      <c r="AA201" s="127" t="str">
        <f t="shared" si="5"/>
        <v>Bajo</v>
      </c>
      <c r="AB201" s="128">
        <f t="shared" si="6"/>
        <v>6</v>
      </c>
      <c r="AC201" s="129">
        <f t="shared" si="7"/>
        <v>0.06449806199</v>
      </c>
    </row>
    <row r="202" ht="14.25" hidden="1" customHeight="1">
      <c r="A202" s="116" t="s">
        <v>539</v>
      </c>
      <c r="B202" s="117" t="s">
        <v>575</v>
      </c>
      <c r="C202" s="117" t="s">
        <v>820</v>
      </c>
      <c r="D202" s="117" t="s">
        <v>821</v>
      </c>
      <c r="E202" s="117" t="s">
        <v>804</v>
      </c>
      <c r="F202" s="117" t="s">
        <v>822</v>
      </c>
      <c r="G202" s="117" t="s">
        <v>211</v>
      </c>
      <c r="H202" s="117" t="s">
        <v>212</v>
      </c>
      <c r="I202" s="117">
        <v>1.0</v>
      </c>
      <c r="J202" s="117">
        <v>1.0</v>
      </c>
      <c r="K202" s="117" t="str">
        <f t="shared" si="1"/>
        <v>No</v>
      </c>
      <c r="L202" s="118" t="s">
        <v>116</v>
      </c>
      <c r="M202" s="119">
        <v>1.0</v>
      </c>
      <c r="N202" s="120">
        <v>0.0</v>
      </c>
      <c r="O202" s="121">
        <v>91.32</v>
      </c>
      <c r="P202" s="117">
        <v>1.0</v>
      </c>
      <c r="Q202" s="117">
        <f t="shared" si="2"/>
        <v>0</v>
      </c>
      <c r="R202" s="122">
        <f>+(IF(((M202*24)-P202)&lt;0,0,((M202*24)-P202)*'Estimación de pérdidas'!$F$72))*N202</f>
        <v>0</v>
      </c>
      <c r="S202" s="123" t="s">
        <v>117</v>
      </c>
      <c r="T202" s="124" t="s">
        <v>132</v>
      </c>
      <c r="U202" s="124">
        <f t="shared" si="3"/>
        <v>1</v>
      </c>
      <c r="V202" s="124">
        <v>1.0</v>
      </c>
      <c r="W202" s="124"/>
      <c r="X202" s="125"/>
      <c r="Y202" s="126"/>
      <c r="Z202" s="125">
        <f t="shared" si="4"/>
        <v>1</v>
      </c>
      <c r="AA202" s="127" t="str">
        <f t="shared" si="5"/>
        <v>Bajo</v>
      </c>
      <c r="AB202" s="128">
        <f t="shared" si="6"/>
        <v>1</v>
      </c>
      <c r="AC202" s="129">
        <f t="shared" si="7"/>
        <v>0.02529822128</v>
      </c>
    </row>
    <row r="203" ht="14.25" hidden="1" customHeight="1">
      <c r="A203" s="116" t="s">
        <v>539</v>
      </c>
      <c r="B203" s="117" t="s">
        <v>575</v>
      </c>
      <c r="C203" s="117" t="s">
        <v>823</v>
      </c>
      <c r="D203" s="117" t="s">
        <v>824</v>
      </c>
      <c r="E203" s="117" t="s">
        <v>823</v>
      </c>
      <c r="F203" s="117" t="s">
        <v>825</v>
      </c>
      <c r="G203" s="117" t="s">
        <v>211</v>
      </c>
      <c r="H203" s="117" t="s">
        <v>826</v>
      </c>
      <c r="I203" s="117">
        <v>1.0</v>
      </c>
      <c r="J203" s="117">
        <v>1.0</v>
      </c>
      <c r="K203" s="117" t="str">
        <f t="shared" si="1"/>
        <v>No</v>
      </c>
      <c r="L203" s="118" t="s">
        <v>116</v>
      </c>
      <c r="M203" s="119">
        <v>0.3333333333333333</v>
      </c>
      <c r="N203" s="120">
        <v>0.0</v>
      </c>
      <c r="O203" s="121">
        <v>0.87</v>
      </c>
      <c r="P203" s="117">
        <v>22.791360052562418</v>
      </c>
      <c r="Q203" s="117">
        <f t="shared" si="2"/>
        <v>0</v>
      </c>
      <c r="R203" s="122">
        <f>+(IF(((M203*24)-P203)&lt;0,0,((M203*24)-P203)*'Estimación de pérdidas'!$F$72))*N203</f>
        <v>0</v>
      </c>
      <c r="S203" s="123" t="s">
        <v>117</v>
      </c>
      <c r="T203" s="124" t="s">
        <v>132</v>
      </c>
      <c r="U203" s="124">
        <f t="shared" si="3"/>
        <v>1</v>
      </c>
      <c r="V203" s="124">
        <v>1.0</v>
      </c>
      <c r="W203" s="124"/>
      <c r="X203" s="125"/>
      <c r="Y203" s="126"/>
      <c r="Z203" s="125">
        <f t="shared" si="4"/>
        <v>1</v>
      </c>
      <c r="AA203" s="127" t="str">
        <f t="shared" si="5"/>
        <v>Bajo</v>
      </c>
      <c r="AB203" s="128">
        <f t="shared" si="6"/>
        <v>1</v>
      </c>
      <c r="AC203" s="129">
        <f t="shared" si="7"/>
        <v>0.02529822128</v>
      </c>
    </row>
    <row r="204" ht="14.25" hidden="1" customHeight="1">
      <c r="A204" s="116" t="s">
        <v>539</v>
      </c>
      <c r="B204" s="117" t="s">
        <v>575</v>
      </c>
      <c r="C204" s="117" t="s">
        <v>827</v>
      </c>
      <c r="D204" s="117" t="s">
        <v>828</v>
      </c>
      <c r="E204" s="117" t="s">
        <v>829</v>
      </c>
      <c r="F204" s="117" t="s">
        <v>830</v>
      </c>
      <c r="G204" s="117" t="s">
        <v>211</v>
      </c>
      <c r="H204" s="117" t="s">
        <v>831</v>
      </c>
      <c r="I204" s="117">
        <v>1.0</v>
      </c>
      <c r="J204" s="117">
        <v>1.0</v>
      </c>
      <c r="K204" s="117" t="str">
        <f t="shared" si="1"/>
        <v>No</v>
      </c>
      <c r="L204" s="118" t="s">
        <v>116</v>
      </c>
      <c r="M204" s="119">
        <v>1.0</v>
      </c>
      <c r="N204" s="120">
        <v>1.0</v>
      </c>
      <c r="O204" s="121">
        <v>91.32</v>
      </c>
      <c r="P204" s="117">
        <v>1.0</v>
      </c>
      <c r="Q204" s="117">
        <f t="shared" si="2"/>
        <v>23</v>
      </c>
      <c r="R204" s="122">
        <f>+(IF(((M204*24)-P204)&lt;0,0,((M204*24)-P204)*'Estimación de pérdidas'!$F$72))*N204</f>
        <v>1326595.723</v>
      </c>
      <c r="S204" s="123" t="s">
        <v>117</v>
      </c>
      <c r="T204" s="124" t="s">
        <v>132</v>
      </c>
      <c r="U204" s="124">
        <f t="shared" si="3"/>
        <v>5</v>
      </c>
      <c r="V204" s="124">
        <v>1.0</v>
      </c>
      <c r="W204" s="124"/>
      <c r="X204" s="125"/>
      <c r="Y204" s="126"/>
      <c r="Z204" s="125">
        <f t="shared" si="4"/>
        <v>5</v>
      </c>
      <c r="AA204" s="127" t="str">
        <f t="shared" si="5"/>
        <v>Moderado</v>
      </c>
      <c r="AB204" s="128">
        <f t="shared" si="6"/>
        <v>15</v>
      </c>
      <c r="AC204" s="129">
        <f t="shared" si="7"/>
        <v>0.09121403401</v>
      </c>
      <c r="AD204" s="131"/>
    </row>
    <row r="205" ht="14.25" hidden="1" customHeight="1">
      <c r="A205" s="116" t="s">
        <v>539</v>
      </c>
      <c r="B205" s="117" t="s">
        <v>575</v>
      </c>
      <c r="C205" s="117" t="s">
        <v>774</v>
      </c>
      <c r="D205" s="117" t="s">
        <v>832</v>
      </c>
      <c r="E205" s="117" t="s">
        <v>804</v>
      </c>
      <c r="F205" s="117" t="s">
        <v>833</v>
      </c>
      <c r="G205" s="117" t="s">
        <v>211</v>
      </c>
      <c r="H205" s="117" t="s">
        <v>806</v>
      </c>
      <c r="I205" s="117">
        <v>1.0</v>
      </c>
      <c r="J205" s="117">
        <v>1.0</v>
      </c>
      <c r="K205" s="117" t="str">
        <f t="shared" si="1"/>
        <v>No</v>
      </c>
      <c r="L205" s="118" t="s">
        <v>116</v>
      </c>
      <c r="M205" s="119">
        <v>1.0</v>
      </c>
      <c r="N205" s="120">
        <v>0.0</v>
      </c>
      <c r="O205" s="121">
        <v>91.32</v>
      </c>
      <c r="P205" s="117">
        <v>1.0</v>
      </c>
      <c r="Q205" s="117">
        <f t="shared" si="2"/>
        <v>0</v>
      </c>
      <c r="R205" s="122">
        <f>+(IF(((M205*24)-P205)&lt;0,0,((M205*24)-P205)*'Estimación de pérdidas'!$F$72))*N205</f>
        <v>0</v>
      </c>
      <c r="S205" s="123" t="s">
        <v>272</v>
      </c>
      <c r="T205" s="124" t="s">
        <v>132</v>
      </c>
      <c r="U205" s="124">
        <f t="shared" si="3"/>
        <v>1</v>
      </c>
      <c r="V205" s="124">
        <v>1.0</v>
      </c>
      <c r="W205" s="124"/>
      <c r="X205" s="125">
        <v>1.0</v>
      </c>
      <c r="Y205" s="126"/>
      <c r="Z205" s="125">
        <f t="shared" si="4"/>
        <v>1</v>
      </c>
      <c r="AA205" s="127" t="str">
        <f t="shared" si="5"/>
        <v>Bajo</v>
      </c>
      <c r="AB205" s="128">
        <f t="shared" si="6"/>
        <v>1</v>
      </c>
      <c r="AC205" s="129">
        <f t="shared" si="7"/>
        <v>0.03098386677</v>
      </c>
    </row>
    <row r="206" ht="14.25" hidden="1" customHeight="1">
      <c r="A206" s="116" t="s">
        <v>539</v>
      </c>
      <c r="B206" s="117" t="s">
        <v>575</v>
      </c>
      <c r="C206" s="117" t="s">
        <v>834</v>
      </c>
      <c r="D206" s="117" t="s">
        <v>835</v>
      </c>
      <c r="E206" s="117" t="s">
        <v>834</v>
      </c>
      <c r="F206" s="117" t="s">
        <v>836</v>
      </c>
      <c r="G206" s="117" t="s">
        <v>211</v>
      </c>
      <c r="H206" s="117" t="s">
        <v>212</v>
      </c>
      <c r="I206" s="117">
        <v>1.0</v>
      </c>
      <c r="J206" s="117">
        <v>1.0</v>
      </c>
      <c r="K206" s="117" t="str">
        <f t="shared" si="1"/>
        <v>No</v>
      </c>
      <c r="L206" s="118" t="s">
        <v>116</v>
      </c>
      <c r="M206" s="119">
        <v>1.0</v>
      </c>
      <c r="N206" s="120">
        <v>0.0</v>
      </c>
      <c r="O206" s="121">
        <v>91.32</v>
      </c>
      <c r="P206" s="117">
        <v>1.0</v>
      </c>
      <c r="Q206" s="117">
        <f t="shared" si="2"/>
        <v>0</v>
      </c>
      <c r="R206" s="122">
        <f>+(IF(((M206*24)-P206)&lt;0,0,((M206*24)-P206)*'Estimación de pérdidas'!$F$72))*N206</f>
        <v>0</v>
      </c>
      <c r="S206" s="123" t="s">
        <v>117</v>
      </c>
      <c r="T206" s="124" t="s">
        <v>132</v>
      </c>
      <c r="U206" s="124">
        <f t="shared" si="3"/>
        <v>1</v>
      </c>
      <c r="V206" s="124">
        <v>1.0</v>
      </c>
      <c r="W206" s="124"/>
      <c r="X206" s="125"/>
      <c r="Y206" s="126"/>
      <c r="Z206" s="125">
        <f t="shared" si="4"/>
        <v>1</v>
      </c>
      <c r="AA206" s="127" t="str">
        <f t="shared" si="5"/>
        <v>Bajo</v>
      </c>
      <c r="AB206" s="128">
        <f t="shared" si="6"/>
        <v>1</v>
      </c>
      <c r="AC206" s="129">
        <f t="shared" si="7"/>
        <v>0.02529822128</v>
      </c>
    </row>
    <row r="207" ht="14.25" hidden="1" customHeight="1">
      <c r="A207" s="116" t="s">
        <v>539</v>
      </c>
      <c r="B207" s="117" t="s">
        <v>575</v>
      </c>
      <c r="C207" s="117" t="s">
        <v>837</v>
      </c>
      <c r="D207" s="117" t="s">
        <v>838</v>
      </c>
      <c r="E207" s="117" t="s">
        <v>837</v>
      </c>
      <c r="F207" s="117" t="s">
        <v>839</v>
      </c>
      <c r="G207" s="117" t="s">
        <v>840</v>
      </c>
      <c r="H207" s="117" t="s">
        <v>841</v>
      </c>
      <c r="I207" s="117">
        <v>1.0</v>
      </c>
      <c r="J207" s="117">
        <v>1.0</v>
      </c>
      <c r="K207" s="117" t="str">
        <f t="shared" si="1"/>
        <v>No</v>
      </c>
      <c r="L207" s="118" t="s">
        <v>116</v>
      </c>
      <c r="M207" s="119">
        <v>0.5</v>
      </c>
      <c r="N207" s="120">
        <v>1.0</v>
      </c>
      <c r="O207" s="121">
        <v>91.32</v>
      </c>
      <c r="P207" s="117">
        <v>1.0</v>
      </c>
      <c r="Q207" s="117">
        <f t="shared" si="2"/>
        <v>11</v>
      </c>
      <c r="R207" s="122">
        <f>+(IF(((M207*24)-P207)&lt;0,0,((M207*24)-P207)*'Estimación de pérdidas'!$F$72))*N207</f>
        <v>634458.8241</v>
      </c>
      <c r="S207" s="123" t="s">
        <v>117</v>
      </c>
      <c r="T207" s="124" t="s">
        <v>132</v>
      </c>
      <c r="U207" s="124">
        <f t="shared" si="3"/>
        <v>4</v>
      </c>
      <c r="V207" s="124">
        <v>1.0</v>
      </c>
      <c r="W207" s="124"/>
      <c r="X207" s="125"/>
      <c r="Y207" s="126"/>
      <c r="Z207" s="125">
        <f t="shared" si="4"/>
        <v>4</v>
      </c>
      <c r="AA207" s="127" t="str">
        <f t="shared" si="5"/>
        <v>Moderado</v>
      </c>
      <c r="AB207" s="128">
        <f t="shared" si="6"/>
        <v>10</v>
      </c>
      <c r="AC207" s="129">
        <f t="shared" si="7"/>
        <v>0.07375635566</v>
      </c>
      <c r="AD207" s="130"/>
    </row>
    <row r="208" ht="14.25" hidden="1" customHeight="1">
      <c r="A208" s="116" t="s">
        <v>539</v>
      </c>
      <c r="B208" s="117" t="s">
        <v>575</v>
      </c>
      <c r="C208" s="117" t="s">
        <v>842</v>
      </c>
      <c r="D208" s="117" t="s">
        <v>843</v>
      </c>
      <c r="E208" s="117" t="s">
        <v>844</v>
      </c>
      <c r="F208" s="117" t="s">
        <v>845</v>
      </c>
      <c r="G208" s="117" t="s">
        <v>615</v>
      </c>
      <c r="H208" s="117" t="s">
        <v>846</v>
      </c>
      <c r="I208" s="117">
        <v>1.0</v>
      </c>
      <c r="J208" s="117">
        <v>1.0</v>
      </c>
      <c r="K208" s="117" t="str">
        <f t="shared" si="1"/>
        <v>No</v>
      </c>
      <c r="L208" s="118" t="s">
        <v>116</v>
      </c>
      <c r="M208" s="119">
        <v>0.3333333333333333</v>
      </c>
      <c r="N208" s="120">
        <v>1.0</v>
      </c>
      <c r="O208" s="121">
        <v>91.32</v>
      </c>
      <c r="P208" s="117">
        <v>1.0</v>
      </c>
      <c r="Q208" s="117">
        <f t="shared" si="2"/>
        <v>7</v>
      </c>
      <c r="R208" s="122">
        <f>+(IF(((M208*24)-P208)&lt;0,0,((M208*24)-P208)*'Estimación de pérdidas'!$F$72))*N208</f>
        <v>403746.5244</v>
      </c>
      <c r="S208" s="123" t="s">
        <v>272</v>
      </c>
      <c r="T208" s="124" t="s">
        <v>119</v>
      </c>
      <c r="U208" s="124">
        <f t="shared" si="3"/>
        <v>3</v>
      </c>
      <c r="V208" s="124">
        <v>1.0</v>
      </c>
      <c r="W208" s="124"/>
      <c r="X208" s="125">
        <v>2.0</v>
      </c>
      <c r="Y208" s="126"/>
      <c r="Z208" s="125">
        <f t="shared" si="4"/>
        <v>3</v>
      </c>
      <c r="AA208" s="127" t="str">
        <f t="shared" si="5"/>
        <v>Moderado</v>
      </c>
      <c r="AB208" s="128">
        <f t="shared" si="6"/>
        <v>13</v>
      </c>
      <c r="AC208" s="129">
        <f t="shared" si="7"/>
        <v>0.2007984064</v>
      </c>
      <c r="AD208" s="131"/>
    </row>
    <row r="209" ht="14.25" hidden="1" customHeight="1">
      <c r="A209" s="116" t="s">
        <v>847</v>
      </c>
      <c r="B209" s="117" t="s">
        <v>848</v>
      </c>
      <c r="C209" s="117" t="s">
        <v>849</v>
      </c>
      <c r="D209" s="117" t="s">
        <v>850</v>
      </c>
      <c r="E209" s="117" t="s">
        <v>851</v>
      </c>
      <c r="F209" s="117" t="s">
        <v>585</v>
      </c>
      <c r="G209" s="117" t="s">
        <v>586</v>
      </c>
      <c r="H209" s="117" t="s">
        <v>587</v>
      </c>
      <c r="I209" s="117">
        <v>1.0</v>
      </c>
      <c r="J209" s="117">
        <v>1.0</v>
      </c>
      <c r="K209" s="117" t="str">
        <f t="shared" si="1"/>
        <v>No</v>
      </c>
      <c r="L209" s="118" t="s">
        <v>116</v>
      </c>
      <c r="M209" s="119">
        <v>0.25</v>
      </c>
      <c r="N209" s="120">
        <v>0.0</v>
      </c>
      <c r="O209" s="121">
        <v>91.32</v>
      </c>
      <c r="P209" s="117">
        <v>1.0</v>
      </c>
      <c r="Q209" s="117">
        <f t="shared" si="2"/>
        <v>0</v>
      </c>
      <c r="R209" s="122">
        <f>+(IF(((M209*24)-P209)&lt;0,0,((M209*24)-P209)*'Estimación de pérdidas'!$F$72))*N209</f>
        <v>0</v>
      </c>
      <c r="S209" s="123" t="s">
        <v>117</v>
      </c>
      <c r="T209" s="124" t="s">
        <v>132</v>
      </c>
      <c r="U209" s="124">
        <f t="shared" si="3"/>
        <v>1</v>
      </c>
      <c r="V209" s="124">
        <v>1.0</v>
      </c>
      <c r="W209" s="124"/>
      <c r="X209" s="125"/>
      <c r="Y209" s="126"/>
      <c r="Z209" s="125">
        <f t="shared" si="4"/>
        <v>1</v>
      </c>
      <c r="AA209" s="127" t="str">
        <f t="shared" si="5"/>
        <v>Bajo</v>
      </c>
      <c r="AB209" s="128">
        <f t="shared" si="6"/>
        <v>1</v>
      </c>
      <c r="AC209" s="129">
        <f t="shared" si="7"/>
        <v>0.02529822128</v>
      </c>
    </row>
    <row r="210" ht="14.25" hidden="1" customHeight="1">
      <c r="A210" s="116" t="s">
        <v>847</v>
      </c>
      <c r="B210" s="117" t="s">
        <v>848</v>
      </c>
      <c r="C210" s="117" t="s">
        <v>849</v>
      </c>
      <c r="D210" s="117" t="s">
        <v>852</v>
      </c>
      <c r="E210" s="117" t="s">
        <v>851</v>
      </c>
      <c r="F210" s="117" t="s">
        <v>585</v>
      </c>
      <c r="G210" s="117" t="s">
        <v>586</v>
      </c>
      <c r="H210" s="117" t="s">
        <v>587</v>
      </c>
      <c r="I210" s="117">
        <v>1.0</v>
      </c>
      <c r="J210" s="117">
        <v>1.0</v>
      </c>
      <c r="K210" s="117" t="str">
        <f t="shared" si="1"/>
        <v>No</v>
      </c>
      <c r="L210" s="118" t="s">
        <v>116</v>
      </c>
      <c r="M210" s="119">
        <v>0.25</v>
      </c>
      <c r="N210" s="120">
        <v>0.0</v>
      </c>
      <c r="O210" s="121">
        <v>91.32</v>
      </c>
      <c r="P210" s="117">
        <v>1.0</v>
      </c>
      <c r="Q210" s="117">
        <f t="shared" si="2"/>
        <v>0</v>
      </c>
      <c r="R210" s="122">
        <f>+(IF(((M210*24)-P210)&lt;0,0,((M210*24)-P210)*'Estimación de pérdidas'!$F$72))*N210</f>
        <v>0</v>
      </c>
      <c r="S210" s="123" t="s">
        <v>117</v>
      </c>
      <c r="T210" s="124" t="s">
        <v>132</v>
      </c>
      <c r="U210" s="124">
        <f t="shared" si="3"/>
        <v>1</v>
      </c>
      <c r="V210" s="124">
        <v>1.0</v>
      </c>
      <c r="W210" s="124"/>
      <c r="X210" s="125"/>
      <c r="Y210" s="126"/>
      <c r="Z210" s="125">
        <f t="shared" si="4"/>
        <v>1</v>
      </c>
      <c r="AA210" s="127" t="str">
        <f t="shared" si="5"/>
        <v>Bajo</v>
      </c>
      <c r="AB210" s="128">
        <f t="shared" si="6"/>
        <v>1</v>
      </c>
      <c r="AC210" s="129">
        <f t="shared" si="7"/>
        <v>0.02529822128</v>
      </c>
    </row>
    <row r="211" ht="14.25" hidden="1" customHeight="1">
      <c r="A211" s="116" t="s">
        <v>847</v>
      </c>
      <c r="B211" s="117" t="s">
        <v>848</v>
      </c>
      <c r="C211" s="117" t="s">
        <v>849</v>
      </c>
      <c r="D211" s="117" t="s">
        <v>853</v>
      </c>
      <c r="E211" s="117" t="s">
        <v>851</v>
      </c>
      <c r="F211" s="117" t="s">
        <v>585</v>
      </c>
      <c r="G211" s="117" t="s">
        <v>586</v>
      </c>
      <c r="H211" s="117" t="s">
        <v>587</v>
      </c>
      <c r="I211" s="117">
        <v>1.0</v>
      </c>
      <c r="J211" s="117">
        <v>1.0</v>
      </c>
      <c r="K211" s="117" t="str">
        <f t="shared" si="1"/>
        <v>No</v>
      </c>
      <c r="L211" s="118" t="s">
        <v>116</v>
      </c>
      <c r="M211" s="119">
        <v>0.25</v>
      </c>
      <c r="N211" s="120">
        <v>0.0</v>
      </c>
      <c r="O211" s="121">
        <v>91.32</v>
      </c>
      <c r="P211" s="117">
        <v>1.0</v>
      </c>
      <c r="Q211" s="117">
        <f t="shared" si="2"/>
        <v>0</v>
      </c>
      <c r="R211" s="122">
        <f>+(IF(((M211*24)-P211)&lt;0,0,((M211*24)-P211)*'Estimación de pérdidas'!$F$72))*N211</f>
        <v>0</v>
      </c>
      <c r="S211" s="123" t="s">
        <v>117</v>
      </c>
      <c r="T211" s="124" t="s">
        <v>132</v>
      </c>
      <c r="U211" s="124">
        <f t="shared" si="3"/>
        <v>1</v>
      </c>
      <c r="V211" s="124">
        <v>1.0</v>
      </c>
      <c r="W211" s="124"/>
      <c r="X211" s="125"/>
      <c r="Y211" s="126"/>
      <c r="Z211" s="125">
        <f t="shared" si="4"/>
        <v>1</v>
      </c>
      <c r="AA211" s="127" t="str">
        <f t="shared" si="5"/>
        <v>Bajo</v>
      </c>
      <c r="AB211" s="128">
        <f t="shared" si="6"/>
        <v>1</v>
      </c>
      <c r="AC211" s="129">
        <f t="shared" si="7"/>
        <v>0.02529822128</v>
      </c>
    </row>
    <row r="212" ht="14.25" hidden="1" customHeight="1">
      <c r="A212" s="116" t="s">
        <v>847</v>
      </c>
      <c r="B212" s="117" t="s">
        <v>848</v>
      </c>
      <c r="C212" s="117" t="s">
        <v>849</v>
      </c>
      <c r="D212" s="117" t="s">
        <v>854</v>
      </c>
      <c r="E212" s="117" t="s">
        <v>851</v>
      </c>
      <c r="F212" s="117" t="s">
        <v>585</v>
      </c>
      <c r="G212" s="117" t="s">
        <v>586</v>
      </c>
      <c r="H212" s="117" t="s">
        <v>587</v>
      </c>
      <c r="I212" s="117">
        <v>1.0</v>
      </c>
      <c r="J212" s="117">
        <v>1.0</v>
      </c>
      <c r="K212" s="117" t="str">
        <f t="shared" si="1"/>
        <v>No</v>
      </c>
      <c r="L212" s="118" t="s">
        <v>116</v>
      </c>
      <c r="M212" s="119">
        <v>0.25</v>
      </c>
      <c r="N212" s="120">
        <v>0.0</v>
      </c>
      <c r="O212" s="121">
        <v>91.32</v>
      </c>
      <c r="P212" s="117">
        <v>1.0</v>
      </c>
      <c r="Q212" s="117">
        <f t="shared" si="2"/>
        <v>0</v>
      </c>
      <c r="R212" s="122">
        <f>+(IF(((M212*24)-P212)&lt;0,0,((M212*24)-P212)*'Estimación de pérdidas'!$F$72))*N212</f>
        <v>0</v>
      </c>
      <c r="S212" s="123" t="s">
        <v>117</v>
      </c>
      <c r="T212" s="124" t="s">
        <v>132</v>
      </c>
      <c r="U212" s="124">
        <f t="shared" si="3"/>
        <v>1</v>
      </c>
      <c r="V212" s="124">
        <v>1.0</v>
      </c>
      <c r="W212" s="124"/>
      <c r="X212" s="125"/>
      <c r="Y212" s="126"/>
      <c r="Z212" s="125">
        <f t="shared" si="4"/>
        <v>1</v>
      </c>
      <c r="AA212" s="127" t="str">
        <f t="shared" si="5"/>
        <v>Bajo</v>
      </c>
      <c r="AB212" s="128">
        <f t="shared" si="6"/>
        <v>1</v>
      </c>
      <c r="AC212" s="129">
        <f t="shared" si="7"/>
        <v>0.02529822128</v>
      </c>
    </row>
    <row r="213" ht="14.25" hidden="1" customHeight="1">
      <c r="A213" s="116" t="s">
        <v>539</v>
      </c>
      <c r="B213" s="117" t="s">
        <v>855</v>
      </c>
      <c r="C213" s="117" t="s">
        <v>856</v>
      </c>
      <c r="D213" s="117" t="s">
        <v>857</v>
      </c>
      <c r="E213" s="117" t="s">
        <v>856</v>
      </c>
      <c r="F213" s="117" t="s">
        <v>858</v>
      </c>
      <c r="G213" s="117" t="s">
        <v>313</v>
      </c>
      <c r="H213" s="117" t="s">
        <v>859</v>
      </c>
      <c r="I213" s="117">
        <v>1.0</v>
      </c>
      <c r="J213" s="117">
        <v>1.0</v>
      </c>
      <c r="K213" s="117" t="str">
        <f t="shared" si="1"/>
        <v>No</v>
      </c>
      <c r="L213" s="118" t="s">
        <v>116</v>
      </c>
      <c r="M213" s="119">
        <v>0.3333333333333333</v>
      </c>
      <c r="N213" s="120">
        <v>1.0</v>
      </c>
      <c r="O213" s="121">
        <v>91.32</v>
      </c>
      <c r="P213" s="117">
        <v>1.0</v>
      </c>
      <c r="Q213" s="117">
        <f t="shared" si="2"/>
        <v>7</v>
      </c>
      <c r="R213" s="122">
        <f>+(IF(((M213*24)-P213)&lt;0,0,((M213*24)-P213)*'Estimación de pérdidas'!$F$72))*N213</f>
        <v>403746.5244</v>
      </c>
      <c r="S213" s="123" t="s">
        <v>117</v>
      </c>
      <c r="T213" s="124" t="s">
        <v>119</v>
      </c>
      <c r="U213" s="124">
        <f t="shared" si="3"/>
        <v>3</v>
      </c>
      <c r="V213" s="124">
        <v>1.0</v>
      </c>
      <c r="W213" s="124"/>
      <c r="X213" s="125"/>
      <c r="Y213" s="126"/>
      <c r="Z213" s="125">
        <f t="shared" si="4"/>
        <v>3</v>
      </c>
      <c r="AA213" s="127" t="str">
        <f t="shared" si="5"/>
        <v>Moderado</v>
      </c>
      <c r="AB213" s="128">
        <f t="shared" si="6"/>
        <v>13</v>
      </c>
      <c r="AC213" s="129">
        <f t="shared" si="7"/>
        <v>0.1697056275</v>
      </c>
      <c r="AD213" s="131"/>
    </row>
    <row r="214" ht="14.25" hidden="1" customHeight="1">
      <c r="A214" s="116" t="s">
        <v>539</v>
      </c>
      <c r="B214" s="117" t="s">
        <v>855</v>
      </c>
      <c r="C214" s="117" t="s">
        <v>860</v>
      </c>
      <c r="D214" s="117" t="s">
        <v>861</v>
      </c>
      <c r="E214" s="117" t="s">
        <v>860</v>
      </c>
      <c r="F214" s="117" t="s">
        <v>862</v>
      </c>
      <c r="G214" s="117" t="s">
        <v>179</v>
      </c>
      <c r="H214" s="117" t="s">
        <v>597</v>
      </c>
      <c r="I214" s="117">
        <v>1.0</v>
      </c>
      <c r="J214" s="117">
        <v>1.0</v>
      </c>
      <c r="K214" s="117" t="str">
        <f t="shared" si="1"/>
        <v>No</v>
      </c>
      <c r="L214" s="118" t="s">
        <v>116</v>
      </c>
      <c r="M214" s="119">
        <v>0.3333333333333333</v>
      </c>
      <c r="N214" s="120">
        <v>1.0</v>
      </c>
      <c r="O214" s="121">
        <v>47.64521739130434</v>
      </c>
      <c r="P214" s="117">
        <v>12.0</v>
      </c>
      <c r="Q214" s="117">
        <f t="shared" si="2"/>
        <v>0</v>
      </c>
      <c r="R214" s="122">
        <f>+(IF(((M214*24)-P214)&lt;0,0,((M214*24)-P214)*'Estimación de pérdidas'!$F$72))*N214</f>
        <v>0</v>
      </c>
      <c r="S214" s="123" t="s">
        <v>117</v>
      </c>
      <c r="T214" s="124" t="s">
        <v>119</v>
      </c>
      <c r="U214" s="124">
        <f t="shared" si="3"/>
        <v>1</v>
      </c>
      <c r="V214" s="124">
        <v>1.0</v>
      </c>
      <c r="W214" s="124"/>
      <c r="X214" s="125"/>
      <c r="Y214" s="126"/>
      <c r="Z214" s="125">
        <f t="shared" si="4"/>
        <v>1</v>
      </c>
      <c r="AA214" s="127" t="str">
        <f t="shared" si="5"/>
        <v>Bajo</v>
      </c>
      <c r="AB214" s="128">
        <f t="shared" si="6"/>
        <v>4</v>
      </c>
      <c r="AC214" s="129">
        <f t="shared" si="7"/>
        <v>0.07589466384</v>
      </c>
    </row>
    <row r="215" ht="14.25" hidden="1" customHeight="1">
      <c r="A215" s="116" t="s">
        <v>539</v>
      </c>
      <c r="B215" s="117" t="s">
        <v>855</v>
      </c>
      <c r="C215" s="117" t="s">
        <v>863</v>
      </c>
      <c r="D215" s="117" t="s">
        <v>864</v>
      </c>
      <c r="E215" s="117" t="s">
        <v>863</v>
      </c>
      <c r="F215" s="117" t="s">
        <v>865</v>
      </c>
      <c r="G215" s="117" t="s">
        <v>179</v>
      </c>
      <c r="H215" s="117" t="s">
        <v>597</v>
      </c>
      <c r="I215" s="117">
        <v>1.0</v>
      </c>
      <c r="J215" s="117">
        <v>1.0</v>
      </c>
      <c r="K215" s="117" t="str">
        <f t="shared" si="1"/>
        <v>No</v>
      </c>
      <c r="L215" s="118" t="s">
        <v>116</v>
      </c>
      <c r="M215" s="119">
        <v>0.3333333333333333</v>
      </c>
      <c r="N215" s="120">
        <v>1.0</v>
      </c>
      <c r="O215" s="121">
        <v>47.64521739130434</v>
      </c>
      <c r="P215" s="117">
        <v>12.0</v>
      </c>
      <c r="Q215" s="117">
        <f t="shared" si="2"/>
        <v>0</v>
      </c>
      <c r="R215" s="122">
        <f>+(IF(((M215*24)-P215)&lt;0,0,((M215*24)-P215)*'Estimación de pérdidas'!$F$72))*N215</f>
        <v>0</v>
      </c>
      <c r="S215" s="123" t="s">
        <v>117</v>
      </c>
      <c r="T215" s="124" t="s">
        <v>119</v>
      </c>
      <c r="U215" s="124">
        <f t="shared" si="3"/>
        <v>1</v>
      </c>
      <c r="V215" s="124">
        <v>1.0</v>
      </c>
      <c r="W215" s="124"/>
      <c r="X215" s="125"/>
      <c r="Y215" s="126"/>
      <c r="Z215" s="125">
        <f t="shared" si="4"/>
        <v>1</v>
      </c>
      <c r="AA215" s="127" t="str">
        <f t="shared" si="5"/>
        <v>Bajo</v>
      </c>
      <c r="AB215" s="128">
        <f t="shared" si="6"/>
        <v>4</v>
      </c>
      <c r="AC215" s="129">
        <f t="shared" si="7"/>
        <v>0.07589466384</v>
      </c>
    </row>
    <row r="216" ht="14.25" hidden="1" customHeight="1">
      <c r="A216" s="116" t="s">
        <v>539</v>
      </c>
      <c r="B216" s="117" t="s">
        <v>855</v>
      </c>
      <c r="C216" s="117" t="s">
        <v>866</v>
      </c>
      <c r="D216" s="117" t="s">
        <v>867</v>
      </c>
      <c r="E216" s="117" t="s">
        <v>866</v>
      </c>
      <c r="F216" s="117" t="s">
        <v>868</v>
      </c>
      <c r="G216" s="117" t="s">
        <v>179</v>
      </c>
      <c r="H216" s="117" t="s">
        <v>597</v>
      </c>
      <c r="I216" s="117">
        <v>1.0</v>
      </c>
      <c r="J216" s="117">
        <v>1.0</v>
      </c>
      <c r="K216" s="117" t="str">
        <f t="shared" si="1"/>
        <v>No</v>
      </c>
      <c r="L216" s="118" t="s">
        <v>116</v>
      </c>
      <c r="M216" s="119">
        <v>0.3333333333333333</v>
      </c>
      <c r="N216" s="120">
        <v>1.0</v>
      </c>
      <c r="O216" s="121">
        <v>47.64521739130434</v>
      </c>
      <c r="P216" s="117">
        <v>12.0</v>
      </c>
      <c r="Q216" s="117">
        <f t="shared" si="2"/>
        <v>0</v>
      </c>
      <c r="R216" s="122">
        <f>+(IF(((M216*24)-P216)&lt;0,0,((M216*24)-P216)*'Estimación de pérdidas'!$F$72))*N216</f>
        <v>0</v>
      </c>
      <c r="S216" s="123" t="s">
        <v>117</v>
      </c>
      <c r="T216" s="124" t="s">
        <v>119</v>
      </c>
      <c r="U216" s="124">
        <f t="shared" si="3"/>
        <v>1</v>
      </c>
      <c r="V216" s="124">
        <v>1.0</v>
      </c>
      <c r="W216" s="124"/>
      <c r="X216" s="125"/>
      <c r="Y216" s="126"/>
      <c r="Z216" s="125">
        <f t="shared" si="4"/>
        <v>1</v>
      </c>
      <c r="AA216" s="127" t="str">
        <f t="shared" si="5"/>
        <v>Bajo</v>
      </c>
      <c r="AB216" s="128">
        <f t="shared" si="6"/>
        <v>4</v>
      </c>
      <c r="AC216" s="129">
        <f t="shared" si="7"/>
        <v>0.07589466384</v>
      </c>
    </row>
    <row r="217" ht="14.25" hidden="1" customHeight="1">
      <c r="A217" s="116" t="s">
        <v>539</v>
      </c>
      <c r="B217" s="117" t="s">
        <v>855</v>
      </c>
      <c r="C217" s="117" t="s">
        <v>869</v>
      </c>
      <c r="D217" s="117" t="s">
        <v>870</v>
      </c>
      <c r="E217" s="117" t="s">
        <v>871</v>
      </c>
      <c r="F217" s="117" t="s">
        <v>872</v>
      </c>
      <c r="G217" s="117" t="s">
        <v>188</v>
      </c>
      <c r="H217" s="117" t="s">
        <v>606</v>
      </c>
      <c r="I217" s="117">
        <v>1.0</v>
      </c>
      <c r="J217" s="117">
        <v>1.0</v>
      </c>
      <c r="K217" s="117" t="str">
        <f t="shared" si="1"/>
        <v>No</v>
      </c>
      <c r="L217" s="118" t="s">
        <v>116</v>
      </c>
      <c r="M217" s="119">
        <v>0.5</v>
      </c>
      <c r="N217" s="120">
        <v>0.0</v>
      </c>
      <c r="O217" s="121">
        <v>47.64521739130434</v>
      </c>
      <c r="P217" s="117">
        <v>12.0</v>
      </c>
      <c r="Q217" s="117">
        <f t="shared" si="2"/>
        <v>0</v>
      </c>
      <c r="R217" s="122">
        <f>+(IF(((M217*24)-P217)&lt;0,0,((M217*24)-P217)*'Estimación de pérdidas'!$F$72))*N217</f>
        <v>0</v>
      </c>
      <c r="S217" s="123" t="s">
        <v>117</v>
      </c>
      <c r="T217" s="124" t="s">
        <v>119</v>
      </c>
      <c r="U217" s="124">
        <f t="shared" si="3"/>
        <v>1</v>
      </c>
      <c r="V217" s="124">
        <v>1.0</v>
      </c>
      <c r="W217" s="124">
        <v>4.0</v>
      </c>
      <c r="X217" s="125"/>
      <c r="Y217" s="126"/>
      <c r="Z217" s="125">
        <f t="shared" si="4"/>
        <v>4</v>
      </c>
      <c r="AA217" s="127" t="str">
        <f t="shared" si="5"/>
        <v>Moderado</v>
      </c>
      <c r="AB217" s="128">
        <f t="shared" si="6"/>
        <v>18</v>
      </c>
      <c r="AC217" s="129">
        <f t="shared" si="7"/>
        <v>0.2276839915</v>
      </c>
      <c r="AD217" s="130"/>
    </row>
    <row r="218" ht="14.25" hidden="1" customHeight="1">
      <c r="A218" s="116" t="s">
        <v>539</v>
      </c>
      <c r="B218" s="117" t="s">
        <v>855</v>
      </c>
      <c r="C218" s="117" t="s">
        <v>873</v>
      </c>
      <c r="D218" s="117" t="s">
        <v>874</v>
      </c>
      <c r="E218" s="117" t="s">
        <v>873</v>
      </c>
      <c r="F218" s="117" t="s">
        <v>875</v>
      </c>
      <c r="G218" s="117" t="s">
        <v>205</v>
      </c>
      <c r="H218" s="117" t="s">
        <v>486</v>
      </c>
      <c r="I218" s="117">
        <v>1.0</v>
      </c>
      <c r="J218" s="117">
        <v>1.0</v>
      </c>
      <c r="K218" s="117" t="str">
        <f t="shared" si="1"/>
        <v>No</v>
      </c>
      <c r="L218" s="118" t="s">
        <v>116</v>
      </c>
      <c r="M218" s="119">
        <v>0.3333333333333333</v>
      </c>
      <c r="N218" s="120">
        <v>0.025</v>
      </c>
      <c r="O218" s="121">
        <v>47.65</v>
      </c>
      <c r="P218" s="117">
        <v>12.0</v>
      </c>
      <c r="Q218" s="117">
        <f t="shared" si="2"/>
        <v>0</v>
      </c>
      <c r="R218" s="122">
        <f>+(IF(((M218*24)-P218)&lt;0,0,((M218*24)-P218)*'Estimación de pérdidas'!$F$72))*N218</f>
        <v>0</v>
      </c>
      <c r="S218" s="123" t="s">
        <v>117</v>
      </c>
      <c r="T218" s="124" t="s">
        <v>106</v>
      </c>
      <c r="U218" s="124">
        <f t="shared" si="3"/>
        <v>1</v>
      </c>
      <c r="V218" s="124">
        <v>1.0</v>
      </c>
      <c r="W218" s="124"/>
      <c r="X218" s="125"/>
      <c r="Y218" s="126"/>
      <c r="Z218" s="125">
        <f t="shared" si="4"/>
        <v>1</v>
      </c>
      <c r="AA218" s="127" t="str">
        <f t="shared" si="5"/>
        <v>Bajo</v>
      </c>
      <c r="AB218" s="128">
        <f t="shared" si="6"/>
        <v>7</v>
      </c>
      <c r="AC218" s="129">
        <f t="shared" si="7"/>
        <v>0.1011928851</v>
      </c>
    </row>
    <row r="219" ht="14.25" hidden="1" customHeight="1">
      <c r="A219" s="116" t="s">
        <v>539</v>
      </c>
      <c r="B219" s="117" t="s">
        <v>855</v>
      </c>
      <c r="C219" s="117" t="s">
        <v>873</v>
      </c>
      <c r="D219" s="117" t="s">
        <v>876</v>
      </c>
      <c r="E219" s="117" t="s">
        <v>873</v>
      </c>
      <c r="F219" s="117" t="s">
        <v>877</v>
      </c>
      <c r="G219" s="117" t="s">
        <v>205</v>
      </c>
      <c r="H219" s="117" t="s">
        <v>486</v>
      </c>
      <c r="I219" s="117">
        <v>1.0</v>
      </c>
      <c r="J219" s="117">
        <v>1.0</v>
      </c>
      <c r="K219" s="117" t="str">
        <f t="shared" si="1"/>
        <v>No</v>
      </c>
      <c r="L219" s="118" t="s">
        <v>116</v>
      </c>
      <c r="M219" s="119">
        <v>0.3333333333333333</v>
      </c>
      <c r="N219" s="120">
        <v>0.025</v>
      </c>
      <c r="O219" s="121">
        <v>47.65</v>
      </c>
      <c r="P219" s="117">
        <v>12.0</v>
      </c>
      <c r="Q219" s="117">
        <f t="shared" si="2"/>
        <v>0</v>
      </c>
      <c r="R219" s="122">
        <f>+(IF(((M219*24)-P219)&lt;0,0,((M219*24)-P219)*'Estimación de pérdidas'!$F$72))*N219</f>
        <v>0</v>
      </c>
      <c r="S219" s="123" t="s">
        <v>117</v>
      </c>
      <c r="T219" s="124" t="s">
        <v>106</v>
      </c>
      <c r="U219" s="124">
        <f t="shared" si="3"/>
        <v>1</v>
      </c>
      <c r="V219" s="124">
        <v>1.0</v>
      </c>
      <c r="W219" s="124"/>
      <c r="X219" s="125"/>
      <c r="Y219" s="126"/>
      <c r="Z219" s="125">
        <f t="shared" si="4"/>
        <v>1</v>
      </c>
      <c r="AA219" s="127" t="str">
        <f t="shared" si="5"/>
        <v>Bajo</v>
      </c>
      <c r="AB219" s="128">
        <f t="shared" si="6"/>
        <v>7</v>
      </c>
      <c r="AC219" s="129">
        <f t="shared" si="7"/>
        <v>0.1011928851</v>
      </c>
    </row>
    <row r="220" ht="14.25" hidden="1" customHeight="1">
      <c r="A220" s="116" t="s">
        <v>539</v>
      </c>
      <c r="B220" s="117" t="s">
        <v>855</v>
      </c>
      <c r="C220" s="117" t="s">
        <v>873</v>
      </c>
      <c r="D220" s="117" t="s">
        <v>878</v>
      </c>
      <c r="E220" s="117" t="s">
        <v>873</v>
      </c>
      <c r="F220" s="117" t="s">
        <v>879</v>
      </c>
      <c r="G220" s="117" t="s">
        <v>205</v>
      </c>
      <c r="H220" s="117" t="s">
        <v>486</v>
      </c>
      <c r="I220" s="117">
        <v>1.0</v>
      </c>
      <c r="J220" s="117">
        <v>1.0</v>
      </c>
      <c r="K220" s="117" t="str">
        <f t="shared" si="1"/>
        <v>No</v>
      </c>
      <c r="L220" s="118" t="s">
        <v>116</v>
      </c>
      <c r="M220" s="119">
        <v>0.3333333333333333</v>
      </c>
      <c r="N220" s="120">
        <v>0.025</v>
      </c>
      <c r="O220" s="121">
        <v>47.65</v>
      </c>
      <c r="P220" s="117">
        <v>12.0</v>
      </c>
      <c r="Q220" s="117">
        <f t="shared" si="2"/>
        <v>0</v>
      </c>
      <c r="R220" s="122">
        <f>+(IF(((M220*24)-P220)&lt;0,0,((M220*24)-P220)*'Estimación de pérdidas'!$F$72))*N220</f>
        <v>0</v>
      </c>
      <c r="S220" s="123" t="s">
        <v>117</v>
      </c>
      <c r="T220" s="124" t="s">
        <v>106</v>
      </c>
      <c r="U220" s="124">
        <f t="shared" si="3"/>
        <v>1</v>
      </c>
      <c r="V220" s="124">
        <v>1.0</v>
      </c>
      <c r="W220" s="124"/>
      <c r="X220" s="125"/>
      <c r="Y220" s="126"/>
      <c r="Z220" s="125">
        <f t="shared" si="4"/>
        <v>1</v>
      </c>
      <c r="AA220" s="127" t="str">
        <f t="shared" si="5"/>
        <v>Bajo</v>
      </c>
      <c r="AB220" s="128">
        <f t="shared" si="6"/>
        <v>7</v>
      </c>
      <c r="AC220" s="129">
        <f t="shared" si="7"/>
        <v>0.1011928851</v>
      </c>
    </row>
    <row r="221" ht="14.25" hidden="1" customHeight="1">
      <c r="A221" s="116" t="s">
        <v>539</v>
      </c>
      <c r="B221" s="117" t="s">
        <v>855</v>
      </c>
      <c r="C221" s="117" t="s">
        <v>873</v>
      </c>
      <c r="D221" s="117" t="s">
        <v>880</v>
      </c>
      <c r="E221" s="117" t="s">
        <v>873</v>
      </c>
      <c r="F221" s="117" t="s">
        <v>881</v>
      </c>
      <c r="G221" s="117" t="s">
        <v>205</v>
      </c>
      <c r="H221" s="117" t="s">
        <v>486</v>
      </c>
      <c r="I221" s="117">
        <v>1.0</v>
      </c>
      <c r="J221" s="117">
        <v>1.0</v>
      </c>
      <c r="K221" s="117" t="str">
        <f t="shared" si="1"/>
        <v>No</v>
      </c>
      <c r="L221" s="118" t="s">
        <v>116</v>
      </c>
      <c r="M221" s="119">
        <v>0.3333333333333333</v>
      </c>
      <c r="N221" s="120">
        <v>0.025</v>
      </c>
      <c r="O221" s="121">
        <v>47.65</v>
      </c>
      <c r="P221" s="117">
        <v>12.0</v>
      </c>
      <c r="Q221" s="117">
        <f t="shared" si="2"/>
        <v>0</v>
      </c>
      <c r="R221" s="122">
        <f>+(IF(((M221*24)-P221)&lt;0,0,((M221*24)-P221)*'Estimación de pérdidas'!$F$72))*N221</f>
        <v>0</v>
      </c>
      <c r="S221" s="123" t="s">
        <v>117</v>
      </c>
      <c r="T221" s="124" t="s">
        <v>106</v>
      </c>
      <c r="U221" s="124">
        <f t="shared" si="3"/>
        <v>1</v>
      </c>
      <c r="V221" s="124">
        <v>1.0</v>
      </c>
      <c r="W221" s="124"/>
      <c r="X221" s="125"/>
      <c r="Y221" s="126"/>
      <c r="Z221" s="125">
        <f t="shared" si="4"/>
        <v>1</v>
      </c>
      <c r="AA221" s="127" t="str">
        <f t="shared" si="5"/>
        <v>Bajo</v>
      </c>
      <c r="AB221" s="128">
        <f t="shared" si="6"/>
        <v>7</v>
      </c>
      <c r="AC221" s="129">
        <f t="shared" si="7"/>
        <v>0.1011928851</v>
      </c>
    </row>
    <row r="222" ht="14.25" hidden="1" customHeight="1">
      <c r="A222" s="116" t="s">
        <v>539</v>
      </c>
      <c r="B222" s="117" t="s">
        <v>855</v>
      </c>
      <c r="C222" s="117" t="s">
        <v>873</v>
      </c>
      <c r="D222" s="117" t="s">
        <v>882</v>
      </c>
      <c r="E222" s="117" t="s">
        <v>873</v>
      </c>
      <c r="F222" s="117" t="s">
        <v>883</v>
      </c>
      <c r="G222" s="117" t="s">
        <v>205</v>
      </c>
      <c r="H222" s="117" t="s">
        <v>486</v>
      </c>
      <c r="I222" s="117">
        <v>1.0</v>
      </c>
      <c r="J222" s="117">
        <v>1.0</v>
      </c>
      <c r="K222" s="117" t="str">
        <f t="shared" si="1"/>
        <v>No</v>
      </c>
      <c r="L222" s="118" t="s">
        <v>116</v>
      </c>
      <c r="M222" s="119">
        <v>0.3333333333333333</v>
      </c>
      <c r="N222" s="120">
        <v>0.025</v>
      </c>
      <c r="O222" s="121">
        <v>47.65</v>
      </c>
      <c r="P222" s="117">
        <v>12.0</v>
      </c>
      <c r="Q222" s="117">
        <f t="shared" si="2"/>
        <v>0</v>
      </c>
      <c r="R222" s="122">
        <f>+(IF(((M222*24)-P222)&lt;0,0,((M222*24)-P222)*'Estimación de pérdidas'!$F$72))*N222</f>
        <v>0</v>
      </c>
      <c r="S222" s="123" t="s">
        <v>117</v>
      </c>
      <c r="T222" s="124" t="s">
        <v>106</v>
      </c>
      <c r="U222" s="124">
        <f t="shared" si="3"/>
        <v>1</v>
      </c>
      <c r="V222" s="124">
        <v>1.0</v>
      </c>
      <c r="W222" s="124"/>
      <c r="X222" s="125"/>
      <c r="Y222" s="126"/>
      <c r="Z222" s="125">
        <f t="shared" si="4"/>
        <v>1</v>
      </c>
      <c r="AA222" s="127" t="str">
        <f t="shared" si="5"/>
        <v>Bajo</v>
      </c>
      <c r="AB222" s="128">
        <f t="shared" si="6"/>
        <v>7</v>
      </c>
      <c r="AC222" s="129">
        <f t="shared" si="7"/>
        <v>0.1011928851</v>
      </c>
    </row>
    <row r="223" ht="14.25" hidden="1" customHeight="1">
      <c r="A223" s="116" t="s">
        <v>539</v>
      </c>
      <c r="B223" s="117" t="s">
        <v>855</v>
      </c>
      <c r="C223" s="117" t="s">
        <v>873</v>
      </c>
      <c r="D223" s="117" t="s">
        <v>884</v>
      </c>
      <c r="E223" s="117" t="s">
        <v>873</v>
      </c>
      <c r="F223" s="117" t="s">
        <v>885</v>
      </c>
      <c r="G223" s="117" t="s">
        <v>205</v>
      </c>
      <c r="H223" s="117" t="s">
        <v>486</v>
      </c>
      <c r="I223" s="117">
        <v>1.0</v>
      </c>
      <c r="J223" s="117">
        <v>1.0</v>
      </c>
      <c r="K223" s="117" t="str">
        <f t="shared" si="1"/>
        <v>No</v>
      </c>
      <c r="L223" s="118" t="s">
        <v>116</v>
      </c>
      <c r="M223" s="119">
        <v>0.3333333333333333</v>
      </c>
      <c r="N223" s="120">
        <v>0.025</v>
      </c>
      <c r="O223" s="121">
        <v>47.65</v>
      </c>
      <c r="P223" s="117">
        <v>12.0</v>
      </c>
      <c r="Q223" s="117">
        <f t="shared" si="2"/>
        <v>0</v>
      </c>
      <c r="R223" s="122">
        <f>+(IF(((M223*24)-P223)&lt;0,0,((M223*24)-P223)*'Estimación de pérdidas'!$F$72))*N223</f>
        <v>0</v>
      </c>
      <c r="S223" s="123" t="s">
        <v>117</v>
      </c>
      <c r="T223" s="124" t="s">
        <v>106</v>
      </c>
      <c r="U223" s="124">
        <f t="shared" si="3"/>
        <v>1</v>
      </c>
      <c r="V223" s="124">
        <v>1.0</v>
      </c>
      <c r="W223" s="124"/>
      <c r="X223" s="125"/>
      <c r="Y223" s="126"/>
      <c r="Z223" s="125">
        <f t="shared" si="4"/>
        <v>1</v>
      </c>
      <c r="AA223" s="127" t="str">
        <f t="shared" si="5"/>
        <v>Bajo</v>
      </c>
      <c r="AB223" s="128">
        <f t="shared" si="6"/>
        <v>7</v>
      </c>
      <c r="AC223" s="129">
        <f t="shared" si="7"/>
        <v>0.1011928851</v>
      </c>
    </row>
    <row r="224" ht="14.25" hidden="1" customHeight="1">
      <c r="A224" s="116" t="s">
        <v>539</v>
      </c>
      <c r="B224" s="117" t="s">
        <v>855</v>
      </c>
      <c r="C224" s="117" t="s">
        <v>873</v>
      </c>
      <c r="D224" s="117" t="s">
        <v>886</v>
      </c>
      <c r="E224" s="117" t="s">
        <v>873</v>
      </c>
      <c r="F224" s="117" t="s">
        <v>887</v>
      </c>
      <c r="G224" s="117" t="s">
        <v>205</v>
      </c>
      <c r="H224" s="117" t="s">
        <v>486</v>
      </c>
      <c r="I224" s="117">
        <v>1.0</v>
      </c>
      <c r="J224" s="117">
        <v>1.0</v>
      </c>
      <c r="K224" s="117" t="str">
        <f t="shared" si="1"/>
        <v>No</v>
      </c>
      <c r="L224" s="118" t="s">
        <v>116</v>
      </c>
      <c r="M224" s="119">
        <v>0.3333333333333333</v>
      </c>
      <c r="N224" s="120">
        <v>0.025</v>
      </c>
      <c r="O224" s="121">
        <v>47.65</v>
      </c>
      <c r="P224" s="117">
        <v>12.0</v>
      </c>
      <c r="Q224" s="117">
        <f t="shared" si="2"/>
        <v>0</v>
      </c>
      <c r="R224" s="122">
        <f>+(IF(((M224*24)-P224)&lt;0,0,((M224*24)-P224)*'Estimación de pérdidas'!$F$72))*N224</f>
        <v>0</v>
      </c>
      <c r="S224" s="123" t="s">
        <v>117</v>
      </c>
      <c r="T224" s="124" t="s">
        <v>106</v>
      </c>
      <c r="U224" s="124">
        <f t="shared" si="3"/>
        <v>1</v>
      </c>
      <c r="V224" s="124">
        <v>1.0</v>
      </c>
      <c r="W224" s="124"/>
      <c r="X224" s="125"/>
      <c r="Y224" s="126"/>
      <c r="Z224" s="125">
        <f t="shared" si="4"/>
        <v>1</v>
      </c>
      <c r="AA224" s="127" t="str">
        <f t="shared" si="5"/>
        <v>Bajo</v>
      </c>
      <c r="AB224" s="128">
        <f t="shared" si="6"/>
        <v>7</v>
      </c>
      <c r="AC224" s="129">
        <f t="shared" si="7"/>
        <v>0.1011928851</v>
      </c>
    </row>
    <row r="225" ht="14.25" hidden="1" customHeight="1">
      <c r="A225" s="116" t="s">
        <v>539</v>
      </c>
      <c r="B225" s="117" t="s">
        <v>855</v>
      </c>
      <c r="C225" s="117" t="s">
        <v>873</v>
      </c>
      <c r="D225" s="117" t="s">
        <v>888</v>
      </c>
      <c r="E225" s="117" t="s">
        <v>873</v>
      </c>
      <c r="F225" s="117" t="s">
        <v>889</v>
      </c>
      <c r="G225" s="117" t="s">
        <v>205</v>
      </c>
      <c r="H225" s="117" t="s">
        <v>486</v>
      </c>
      <c r="I225" s="117">
        <v>1.0</v>
      </c>
      <c r="J225" s="117">
        <v>1.0</v>
      </c>
      <c r="K225" s="117" t="str">
        <f t="shared" si="1"/>
        <v>No</v>
      </c>
      <c r="L225" s="118" t="s">
        <v>116</v>
      </c>
      <c r="M225" s="119">
        <v>0.3333333333333333</v>
      </c>
      <c r="N225" s="120">
        <v>0.025</v>
      </c>
      <c r="O225" s="121">
        <v>47.65</v>
      </c>
      <c r="P225" s="117">
        <v>12.0</v>
      </c>
      <c r="Q225" s="117">
        <f t="shared" si="2"/>
        <v>0</v>
      </c>
      <c r="R225" s="122">
        <f>+(IF(((M225*24)-P225)&lt;0,0,((M225*24)-P225)*'Estimación de pérdidas'!$F$72))*N225</f>
        <v>0</v>
      </c>
      <c r="S225" s="123" t="s">
        <v>117</v>
      </c>
      <c r="T225" s="124" t="s">
        <v>106</v>
      </c>
      <c r="U225" s="124">
        <f t="shared" si="3"/>
        <v>1</v>
      </c>
      <c r="V225" s="124">
        <v>1.0</v>
      </c>
      <c r="W225" s="124"/>
      <c r="X225" s="125"/>
      <c r="Y225" s="126"/>
      <c r="Z225" s="125">
        <f t="shared" si="4"/>
        <v>1</v>
      </c>
      <c r="AA225" s="127" t="str">
        <f t="shared" si="5"/>
        <v>Bajo</v>
      </c>
      <c r="AB225" s="128">
        <f t="shared" si="6"/>
        <v>7</v>
      </c>
      <c r="AC225" s="129">
        <f t="shared" si="7"/>
        <v>0.1011928851</v>
      </c>
    </row>
    <row r="226" ht="14.25" hidden="1" customHeight="1">
      <c r="A226" s="116" t="s">
        <v>539</v>
      </c>
      <c r="B226" s="117" t="s">
        <v>855</v>
      </c>
      <c r="C226" s="117" t="s">
        <v>890</v>
      </c>
      <c r="D226" s="117" t="s">
        <v>891</v>
      </c>
      <c r="E226" s="117" t="s">
        <v>890</v>
      </c>
      <c r="F226" s="117" t="s">
        <v>892</v>
      </c>
      <c r="G226" s="117" t="s">
        <v>205</v>
      </c>
      <c r="H226" s="117" t="s">
        <v>893</v>
      </c>
      <c r="I226" s="117">
        <v>1.0</v>
      </c>
      <c r="J226" s="117">
        <v>1.0</v>
      </c>
      <c r="K226" s="117" t="str">
        <f t="shared" si="1"/>
        <v>No</v>
      </c>
      <c r="L226" s="118" t="s">
        <v>116</v>
      </c>
      <c r="M226" s="119">
        <v>0.33</v>
      </c>
      <c r="N226" s="120">
        <v>0.0</v>
      </c>
      <c r="O226" s="121"/>
      <c r="P226" s="117">
        <v>0.0</v>
      </c>
      <c r="Q226" s="117">
        <f t="shared" si="2"/>
        <v>0</v>
      </c>
      <c r="R226" s="122">
        <f>+(IF(((M226*24)-P226)&lt;0,0,((M226*24)-P226)*'Estimación de pérdidas'!$F$72))*N226</f>
        <v>0</v>
      </c>
      <c r="S226" s="123" t="s">
        <v>117</v>
      </c>
      <c r="T226" s="124" t="s">
        <v>119</v>
      </c>
      <c r="U226" s="124">
        <f t="shared" si="3"/>
        <v>1</v>
      </c>
      <c r="V226" s="124">
        <v>1.0</v>
      </c>
      <c r="W226" s="124">
        <v>1.0</v>
      </c>
      <c r="X226" s="125"/>
      <c r="Y226" s="126"/>
      <c r="Z226" s="125">
        <f t="shared" si="4"/>
        <v>1</v>
      </c>
      <c r="AA226" s="127" t="str">
        <f t="shared" si="5"/>
        <v>Bajo</v>
      </c>
      <c r="AB226" s="128">
        <f t="shared" si="6"/>
        <v>4</v>
      </c>
      <c r="AC226" s="129">
        <f t="shared" si="7"/>
        <v>0.09295160031</v>
      </c>
    </row>
    <row r="227" ht="14.25" hidden="1" customHeight="1">
      <c r="A227" s="116" t="s">
        <v>539</v>
      </c>
      <c r="B227" s="117" t="s">
        <v>855</v>
      </c>
      <c r="C227" s="117" t="s">
        <v>890</v>
      </c>
      <c r="D227" s="117" t="s">
        <v>894</v>
      </c>
      <c r="E227" s="117" t="s">
        <v>890</v>
      </c>
      <c r="F227" s="117" t="s">
        <v>892</v>
      </c>
      <c r="G227" s="117" t="s">
        <v>205</v>
      </c>
      <c r="H227" s="117" t="s">
        <v>895</v>
      </c>
      <c r="I227" s="117">
        <v>1.0</v>
      </c>
      <c r="J227" s="117">
        <v>1.0</v>
      </c>
      <c r="K227" s="117" t="str">
        <f t="shared" si="1"/>
        <v>No</v>
      </c>
      <c r="L227" s="118" t="s">
        <v>116</v>
      </c>
      <c r="M227" s="119">
        <v>0.33</v>
      </c>
      <c r="N227" s="120">
        <v>0.0</v>
      </c>
      <c r="O227" s="121"/>
      <c r="P227" s="117">
        <v>0.0</v>
      </c>
      <c r="Q227" s="117">
        <f t="shared" si="2"/>
        <v>0</v>
      </c>
      <c r="R227" s="122">
        <f>+(IF(((M227*24)-P227)&lt;0,0,((M227*24)-P227)*'Estimación de pérdidas'!$F$72))*N227</f>
        <v>0</v>
      </c>
      <c r="S227" s="123" t="s">
        <v>117</v>
      </c>
      <c r="T227" s="124" t="s">
        <v>119</v>
      </c>
      <c r="U227" s="124">
        <f t="shared" si="3"/>
        <v>1</v>
      </c>
      <c r="V227" s="124">
        <v>1.0</v>
      </c>
      <c r="W227" s="124">
        <v>1.0</v>
      </c>
      <c r="X227" s="125"/>
      <c r="Y227" s="126"/>
      <c r="Z227" s="125">
        <f t="shared" si="4"/>
        <v>1</v>
      </c>
      <c r="AA227" s="127" t="str">
        <f t="shared" si="5"/>
        <v>Bajo</v>
      </c>
      <c r="AB227" s="128">
        <f t="shared" si="6"/>
        <v>4</v>
      </c>
      <c r="AC227" s="129">
        <f t="shared" si="7"/>
        <v>0.09295160031</v>
      </c>
    </row>
    <row r="228" ht="14.25" hidden="1" customHeight="1">
      <c r="A228" s="116" t="s">
        <v>539</v>
      </c>
      <c r="B228" s="117" t="s">
        <v>855</v>
      </c>
      <c r="C228" s="117" t="s">
        <v>896</v>
      </c>
      <c r="D228" s="117" t="s">
        <v>897</v>
      </c>
      <c r="E228" s="117" t="s">
        <v>896</v>
      </c>
      <c r="F228" s="117" t="s">
        <v>898</v>
      </c>
      <c r="G228" s="117" t="s">
        <v>205</v>
      </c>
      <c r="H228" s="117" t="s">
        <v>491</v>
      </c>
      <c r="I228" s="117">
        <v>1.0</v>
      </c>
      <c r="J228" s="117">
        <v>1.0</v>
      </c>
      <c r="K228" s="117" t="str">
        <f t="shared" si="1"/>
        <v>No</v>
      </c>
      <c r="L228" s="118" t="s">
        <v>116</v>
      </c>
      <c r="M228" s="119">
        <v>0.33</v>
      </c>
      <c r="N228" s="120">
        <v>0.0</v>
      </c>
      <c r="O228" s="121"/>
      <c r="P228" s="117">
        <v>0.0</v>
      </c>
      <c r="Q228" s="117">
        <f t="shared" si="2"/>
        <v>0</v>
      </c>
      <c r="R228" s="122">
        <f>+(IF(((M228*24)-P228)&lt;0,0,((M228*24)-P228)*'Estimación de pérdidas'!$F$72))*N228</f>
        <v>0</v>
      </c>
      <c r="S228" s="123" t="s">
        <v>117</v>
      </c>
      <c r="T228" s="124" t="s">
        <v>118</v>
      </c>
      <c r="U228" s="124">
        <f t="shared" si="3"/>
        <v>1</v>
      </c>
      <c r="V228" s="124">
        <v>2.0</v>
      </c>
      <c r="W228" s="124"/>
      <c r="X228" s="125"/>
      <c r="Y228" s="126"/>
      <c r="Z228" s="125">
        <f t="shared" si="4"/>
        <v>2</v>
      </c>
      <c r="AA228" s="127" t="str">
        <f t="shared" si="5"/>
        <v>Bajo</v>
      </c>
      <c r="AB228" s="128">
        <f t="shared" si="6"/>
        <v>5</v>
      </c>
      <c r="AC228" s="129">
        <f t="shared" si="7"/>
        <v>0.08</v>
      </c>
    </row>
    <row r="229" ht="14.25" hidden="1" customHeight="1">
      <c r="A229" s="116" t="s">
        <v>539</v>
      </c>
      <c r="B229" s="117" t="s">
        <v>855</v>
      </c>
      <c r="C229" s="117" t="s">
        <v>899</v>
      </c>
      <c r="D229" s="117" t="s">
        <v>900</v>
      </c>
      <c r="E229" s="117" t="s">
        <v>899</v>
      </c>
      <c r="F229" s="117" t="s">
        <v>901</v>
      </c>
      <c r="G229" s="117" t="s">
        <v>902</v>
      </c>
      <c r="H229" s="117" t="s">
        <v>903</v>
      </c>
      <c r="I229" s="117">
        <v>1.0</v>
      </c>
      <c r="J229" s="117">
        <v>1.0</v>
      </c>
      <c r="K229" s="117" t="str">
        <f t="shared" si="1"/>
        <v>No</v>
      </c>
      <c r="L229" s="118" t="s">
        <v>116</v>
      </c>
      <c r="M229" s="119">
        <v>0.25</v>
      </c>
      <c r="N229" s="120">
        <v>1.0</v>
      </c>
      <c r="O229" s="121">
        <v>47.64521739130434</v>
      </c>
      <c r="P229" s="117">
        <v>12.0</v>
      </c>
      <c r="Q229" s="117">
        <f t="shared" si="2"/>
        <v>0</v>
      </c>
      <c r="R229" s="122">
        <f>+(IF(((M229*24)-P229)&lt;0,0,((M229*24)-P229)*'Estimación de pérdidas'!$F$72))*N229</f>
        <v>0</v>
      </c>
      <c r="S229" s="123" t="s">
        <v>117</v>
      </c>
      <c r="T229" s="124" t="s">
        <v>119</v>
      </c>
      <c r="U229" s="124">
        <f t="shared" si="3"/>
        <v>1</v>
      </c>
      <c r="V229" s="124">
        <v>2.0</v>
      </c>
      <c r="W229" s="124"/>
      <c r="X229" s="125"/>
      <c r="Y229" s="126"/>
      <c r="Z229" s="125">
        <f t="shared" si="4"/>
        <v>2</v>
      </c>
      <c r="AA229" s="127" t="str">
        <f t="shared" si="5"/>
        <v>Moderado</v>
      </c>
      <c r="AB229" s="128">
        <f t="shared" si="6"/>
        <v>8</v>
      </c>
      <c r="AC229" s="129">
        <f t="shared" si="7"/>
        <v>0.12</v>
      </c>
      <c r="AD229" s="131"/>
    </row>
    <row r="230" ht="14.25" hidden="1" customHeight="1">
      <c r="A230" s="116" t="s">
        <v>403</v>
      </c>
      <c r="B230" s="117" t="s">
        <v>855</v>
      </c>
      <c r="C230" s="117" t="s">
        <v>566</v>
      </c>
      <c r="D230" s="117" t="s">
        <v>904</v>
      </c>
      <c r="E230" s="117" t="s">
        <v>526</v>
      </c>
      <c r="F230" s="117" t="s">
        <v>407</v>
      </c>
      <c r="G230" s="117" t="s">
        <v>408</v>
      </c>
      <c r="H230" s="117" t="s">
        <v>409</v>
      </c>
      <c r="I230" s="117">
        <v>1.0</v>
      </c>
      <c r="J230" s="117">
        <v>1.0</v>
      </c>
      <c r="K230" s="117" t="str">
        <f t="shared" si="1"/>
        <v>No</v>
      </c>
      <c r="L230" s="118" t="s">
        <v>116</v>
      </c>
      <c r="M230" s="119">
        <v>0.3333333333333333</v>
      </c>
      <c r="N230" s="120">
        <v>0.0</v>
      </c>
      <c r="O230" s="121"/>
      <c r="P230" s="117">
        <v>0.0</v>
      </c>
      <c r="Q230" s="117">
        <f t="shared" si="2"/>
        <v>0</v>
      </c>
      <c r="R230" s="122">
        <f>+(IF(((M230*24)-P230)&lt;0,0,((M230*24)-P230)*'Estimación de pérdidas'!$F$72))*N230</f>
        <v>0</v>
      </c>
      <c r="S230" s="123" t="s">
        <v>272</v>
      </c>
      <c r="T230" s="124" t="s">
        <v>106</v>
      </c>
      <c r="U230" s="124">
        <f t="shared" si="3"/>
        <v>1</v>
      </c>
      <c r="V230" s="124">
        <v>1.0</v>
      </c>
      <c r="W230" s="124">
        <v>4.0</v>
      </c>
      <c r="X230" s="125"/>
      <c r="Y230" s="126"/>
      <c r="Z230" s="125">
        <f t="shared" si="4"/>
        <v>4</v>
      </c>
      <c r="AA230" s="127" t="str">
        <f t="shared" si="5"/>
        <v>Alto</v>
      </c>
      <c r="AB230" s="128">
        <f t="shared" si="6"/>
        <v>22</v>
      </c>
      <c r="AC230" s="129">
        <f t="shared" si="7"/>
        <v>0.3035786554</v>
      </c>
      <c r="AD230" s="130"/>
    </row>
    <row r="231" ht="14.25" hidden="1" customHeight="1">
      <c r="A231" s="116" t="s">
        <v>403</v>
      </c>
      <c r="B231" s="117" t="s">
        <v>855</v>
      </c>
      <c r="C231" s="117" t="s">
        <v>905</v>
      </c>
      <c r="D231" s="117" t="s">
        <v>906</v>
      </c>
      <c r="E231" s="117" t="s">
        <v>526</v>
      </c>
      <c r="F231" s="117" t="s">
        <v>907</v>
      </c>
      <c r="G231" s="117" t="s">
        <v>408</v>
      </c>
      <c r="H231" s="117" t="s">
        <v>908</v>
      </c>
      <c r="I231" s="117">
        <v>1.0</v>
      </c>
      <c r="J231" s="117">
        <v>1.0</v>
      </c>
      <c r="K231" s="117" t="str">
        <f t="shared" si="1"/>
        <v>No</v>
      </c>
      <c r="L231" s="118" t="s">
        <v>116</v>
      </c>
      <c r="M231" s="119">
        <v>0.3333333333333333</v>
      </c>
      <c r="N231" s="120">
        <v>0.0</v>
      </c>
      <c r="O231" s="121"/>
      <c r="P231" s="117">
        <v>0.0</v>
      </c>
      <c r="Q231" s="117">
        <f t="shared" si="2"/>
        <v>0</v>
      </c>
      <c r="R231" s="122">
        <f>+(IF(((M231*24)-P231)&lt;0,0,((M231*24)-P231)*'Estimación de pérdidas'!$F$72))*N231</f>
        <v>0</v>
      </c>
      <c r="S231" s="123" t="s">
        <v>272</v>
      </c>
      <c r="T231" s="124" t="s">
        <v>106</v>
      </c>
      <c r="U231" s="124">
        <f t="shared" si="3"/>
        <v>1</v>
      </c>
      <c r="V231" s="124">
        <v>1.0</v>
      </c>
      <c r="W231" s="124">
        <v>4.0</v>
      </c>
      <c r="X231" s="125"/>
      <c r="Y231" s="126"/>
      <c r="Z231" s="125">
        <f t="shared" si="4"/>
        <v>4</v>
      </c>
      <c r="AA231" s="127" t="str">
        <f t="shared" si="5"/>
        <v>Alto</v>
      </c>
      <c r="AB231" s="128">
        <f t="shared" si="6"/>
        <v>22</v>
      </c>
      <c r="AC231" s="129">
        <f t="shared" si="7"/>
        <v>0.3035786554</v>
      </c>
      <c r="AD231" s="130"/>
    </row>
    <row r="232" ht="14.25" hidden="1" customHeight="1">
      <c r="A232" s="116" t="s">
        <v>403</v>
      </c>
      <c r="B232" s="117" t="s">
        <v>855</v>
      </c>
      <c r="C232" s="117" t="s">
        <v>905</v>
      </c>
      <c r="D232" s="117" t="s">
        <v>909</v>
      </c>
      <c r="E232" s="117" t="s">
        <v>526</v>
      </c>
      <c r="F232" s="117" t="s">
        <v>907</v>
      </c>
      <c r="G232" s="117" t="s">
        <v>408</v>
      </c>
      <c r="H232" s="117" t="s">
        <v>908</v>
      </c>
      <c r="I232" s="117">
        <v>1.0</v>
      </c>
      <c r="J232" s="117">
        <v>1.0</v>
      </c>
      <c r="K232" s="117" t="str">
        <f t="shared" si="1"/>
        <v>No</v>
      </c>
      <c r="L232" s="118" t="s">
        <v>116</v>
      </c>
      <c r="M232" s="119">
        <v>0.3333333333333333</v>
      </c>
      <c r="N232" s="120">
        <v>0.0</v>
      </c>
      <c r="O232" s="121"/>
      <c r="P232" s="117">
        <v>0.0</v>
      </c>
      <c r="Q232" s="117">
        <f t="shared" si="2"/>
        <v>0</v>
      </c>
      <c r="R232" s="122">
        <f>+(IF(((M232*24)-P232)&lt;0,0,((M232*24)-P232)*'Estimación de pérdidas'!$F$72))*N232</f>
        <v>0</v>
      </c>
      <c r="S232" s="123" t="s">
        <v>272</v>
      </c>
      <c r="T232" s="124" t="s">
        <v>106</v>
      </c>
      <c r="U232" s="124">
        <f t="shared" si="3"/>
        <v>1</v>
      </c>
      <c r="V232" s="124">
        <v>1.0</v>
      </c>
      <c r="W232" s="124">
        <v>4.0</v>
      </c>
      <c r="X232" s="125"/>
      <c r="Y232" s="126"/>
      <c r="Z232" s="125">
        <f t="shared" si="4"/>
        <v>4</v>
      </c>
      <c r="AA232" s="127" t="str">
        <f t="shared" si="5"/>
        <v>Alto</v>
      </c>
      <c r="AB232" s="128">
        <f t="shared" si="6"/>
        <v>22</v>
      </c>
      <c r="AC232" s="129">
        <f t="shared" si="7"/>
        <v>0.3035786554</v>
      </c>
      <c r="AD232" s="130"/>
    </row>
    <row r="233" ht="14.25" hidden="1" customHeight="1">
      <c r="A233" s="116" t="s">
        <v>539</v>
      </c>
      <c r="B233" s="117" t="s">
        <v>855</v>
      </c>
      <c r="C233" s="117" t="s">
        <v>910</v>
      </c>
      <c r="D233" s="117" t="s">
        <v>911</v>
      </c>
      <c r="E233" s="117" t="s">
        <v>910</v>
      </c>
      <c r="F233" s="117" t="s">
        <v>912</v>
      </c>
      <c r="G233" s="117" t="s">
        <v>531</v>
      </c>
      <c r="H233" s="117" t="s">
        <v>532</v>
      </c>
      <c r="I233" s="117">
        <v>1.0</v>
      </c>
      <c r="J233" s="117">
        <v>1.0</v>
      </c>
      <c r="K233" s="117" t="str">
        <f t="shared" si="1"/>
        <v>No</v>
      </c>
      <c r="L233" s="118" t="s">
        <v>116</v>
      </c>
      <c r="M233" s="119">
        <v>1.25</v>
      </c>
      <c r="N233" s="120">
        <v>0.025</v>
      </c>
      <c r="O233" s="121">
        <v>91.32</v>
      </c>
      <c r="P233" s="117">
        <v>1.0</v>
      </c>
      <c r="Q233" s="117">
        <f t="shared" si="2"/>
        <v>0.725</v>
      </c>
      <c r="R233" s="122">
        <f>+(IF(((M233*24)-P233)&lt;0,0,((M233*24)-P233)*'Estimación de pérdidas'!$F$72))*N233</f>
        <v>41816.60431</v>
      </c>
      <c r="S233" s="123" t="s">
        <v>272</v>
      </c>
      <c r="T233" s="124" t="s">
        <v>118</v>
      </c>
      <c r="U233" s="124">
        <f t="shared" si="3"/>
        <v>1</v>
      </c>
      <c r="V233" s="124">
        <v>2.0</v>
      </c>
      <c r="W233" s="124"/>
      <c r="X233" s="125">
        <v>2.0</v>
      </c>
      <c r="Y233" s="126"/>
      <c r="Z233" s="125">
        <f t="shared" si="4"/>
        <v>2</v>
      </c>
      <c r="AA233" s="127" t="str">
        <f t="shared" si="5"/>
        <v>Bajo</v>
      </c>
      <c r="AB233" s="128">
        <f t="shared" si="6"/>
        <v>5</v>
      </c>
      <c r="AC233" s="129">
        <f t="shared" si="7"/>
        <v>0.1073312629</v>
      </c>
    </row>
    <row r="234" ht="14.25" hidden="1" customHeight="1">
      <c r="A234" s="116" t="s">
        <v>539</v>
      </c>
      <c r="B234" s="117" t="s">
        <v>855</v>
      </c>
      <c r="C234" s="117" t="s">
        <v>910</v>
      </c>
      <c r="D234" s="117" t="s">
        <v>913</v>
      </c>
      <c r="E234" s="117" t="s">
        <v>910</v>
      </c>
      <c r="F234" s="117" t="s">
        <v>914</v>
      </c>
      <c r="G234" s="117" t="s">
        <v>531</v>
      </c>
      <c r="H234" s="117" t="s">
        <v>532</v>
      </c>
      <c r="I234" s="117">
        <v>1.0</v>
      </c>
      <c r="J234" s="117">
        <v>1.0</v>
      </c>
      <c r="K234" s="117" t="str">
        <f t="shared" si="1"/>
        <v>No</v>
      </c>
      <c r="L234" s="118" t="s">
        <v>116</v>
      </c>
      <c r="M234" s="119">
        <v>1.25</v>
      </c>
      <c r="N234" s="120">
        <v>0.025</v>
      </c>
      <c r="O234" s="121">
        <v>91.32</v>
      </c>
      <c r="P234" s="117">
        <v>1.0</v>
      </c>
      <c r="Q234" s="117">
        <f t="shared" si="2"/>
        <v>0.725</v>
      </c>
      <c r="R234" s="122">
        <f>+(IF(((M234*24)-P234)&lt;0,0,((M234*24)-P234)*'Estimación de pérdidas'!$F$72))*N234</f>
        <v>41816.60431</v>
      </c>
      <c r="S234" s="123" t="s">
        <v>272</v>
      </c>
      <c r="T234" s="124" t="s">
        <v>118</v>
      </c>
      <c r="U234" s="124">
        <f t="shared" si="3"/>
        <v>1</v>
      </c>
      <c r="V234" s="124">
        <v>2.0</v>
      </c>
      <c r="W234" s="124"/>
      <c r="X234" s="125">
        <v>2.0</v>
      </c>
      <c r="Y234" s="126"/>
      <c r="Z234" s="125">
        <f t="shared" si="4"/>
        <v>2</v>
      </c>
      <c r="AA234" s="127" t="str">
        <f t="shared" si="5"/>
        <v>Bajo</v>
      </c>
      <c r="AB234" s="128">
        <f t="shared" si="6"/>
        <v>5</v>
      </c>
      <c r="AC234" s="129">
        <f t="shared" si="7"/>
        <v>0.1073312629</v>
      </c>
    </row>
    <row r="235" ht="14.25" hidden="1" customHeight="1">
      <c r="A235" s="116" t="s">
        <v>539</v>
      </c>
      <c r="B235" s="117" t="s">
        <v>855</v>
      </c>
      <c r="C235" s="117" t="s">
        <v>910</v>
      </c>
      <c r="D235" s="117" t="s">
        <v>915</v>
      </c>
      <c r="E235" s="117" t="s">
        <v>910</v>
      </c>
      <c r="F235" s="117" t="s">
        <v>916</v>
      </c>
      <c r="G235" s="117" t="s">
        <v>531</v>
      </c>
      <c r="H235" s="117" t="s">
        <v>532</v>
      </c>
      <c r="I235" s="117">
        <v>1.0</v>
      </c>
      <c r="J235" s="117">
        <v>1.0</v>
      </c>
      <c r="K235" s="117" t="str">
        <f t="shared" si="1"/>
        <v>No</v>
      </c>
      <c r="L235" s="118" t="s">
        <v>116</v>
      </c>
      <c r="M235" s="119">
        <v>1.25</v>
      </c>
      <c r="N235" s="120">
        <v>0.025</v>
      </c>
      <c r="O235" s="121">
        <v>91.32</v>
      </c>
      <c r="P235" s="117">
        <v>1.0</v>
      </c>
      <c r="Q235" s="117">
        <f t="shared" si="2"/>
        <v>0.725</v>
      </c>
      <c r="R235" s="122">
        <f>+(IF(((M235*24)-P235)&lt;0,0,((M235*24)-P235)*'Estimación de pérdidas'!$F$72))*N235</f>
        <v>41816.60431</v>
      </c>
      <c r="S235" s="123" t="s">
        <v>272</v>
      </c>
      <c r="T235" s="124" t="s">
        <v>118</v>
      </c>
      <c r="U235" s="124">
        <f t="shared" si="3"/>
        <v>1</v>
      </c>
      <c r="V235" s="124">
        <v>2.0</v>
      </c>
      <c r="W235" s="124"/>
      <c r="X235" s="125">
        <v>2.0</v>
      </c>
      <c r="Y235" s="126"/>
      <c r="Z235" s="125">
        <f t="shared" si="4"/>
        <v>2</v>
      </c>
      <c r="AA235" s="127" t="str">
        <f t="shared" si="5"/>
        <v>Bajo</v>
      </c>
      <c r="AB235" s="128">
        <f t="shared" si="6"/>
        <v>5</v>
      </c>
      <c r="AC235" s="129">
        <f t="shared" si="7"/>
        <v>0.1073312629</v>
      </c>
    </row>
    <row r="236" ht="14.25" hidden="1" customHeight="1">
      <c r="A236" s="116" t="s">
        <v>539</v>
      </c>
      <c r="B236" s="117" t="s">
        <v>855</v>
      </c>
      <c r="C236" s="117" t="s">
        <v>910</v>
      </c>
      <c r="D236" s="117" t="s">
        <v>917</v>
      </c>
      <c r="E236" s="117" t="s">
        <v>910</v>
      </c>
      <c r="F236" s="117" t="s">
        <v>918</v>
      </c>
      <c r="G236" s="117" t="s">
        <v>531</v>
      </c>
      <c r="H236" s="117" t="s">
        <v>532</v>
      </c>
      <c r="I236" s="117">
        <v>1.0</v>
      </c>
      <c r="J236" s="117">
        <v>1.0</v>
      </c>
      <c r="K236" s="117" t="str">
        <f t="shared" si="1"/>
        <v>No</v>
      </c>
      <c r="L236" s="118" t="s">
        <v>116</v>
      </c>
      <c r="M236" s="119">
        <v>1.25</v>
      </c>
      <c r="N236" s="120">
        <v>0.025</v>
      </c>
      <c r="O236" s="121">
        <v>91.32</v>
      </c>
      <c r="P236" s="117">
        <v>1.0</v>
      </c>
      <c r="Q236" s="117">
        <f t="shared" si="2"/>
        <v>0.725</v>
      </c>
      <c r="R236" s="122">
        <f>+(IF(((M236*24)-P236)&lt;0,0,((M236*24)-P236)*'Estimación de pérdidas'!$F$72))*N236</f>
        <v>41816.60431</v>
      </c>
      <c r="S236" s="123" t="s">
        <v>272</v>
      </c>
      <c r="T236" s="124" t="s">
        <v>118</v>
      </c>
      <c r="U236" s="124">
        <f t="shared" si="3"/>
        <v>1</v>
      </c>
      <c r="V236" s="124">
        <v>2.0</v>
      </c>
      <c r="W236" s="124"/>
      <c r="X236" s="125">
        <v>2.0</v>
      </c>
      <c r="Y236" s="126"/>
      <c r="Z236" s="125">
        <f t="shared" si="4"/>
        <v>2</v>
      </c>
      <c r="AA236" s="127" t="str">
        <f t="shared" si="5"/>
        <v>Bajo</v>
      </c>
      <c r="AB236" s="128">
        <f t="shared" si="6"/>
        <v>5</v>
      </c>
      <c r="AC236" s="129">
        <f t="shared" si="7"/>
        <v>0.1073312629</v>
      </c>
    </row>
    <row r="237" ht="14.25" hidden="1" customHeight="1">
      <c r="A237" s="116" t="s">
        <v>539</v>
      </c>
      <c r="B237" s="117" t="s">
        <v>855</v>
      </c>
      <c r="C237" s="117" t="s">
        <v>910</v>
      </c>
      <c r="D237" s="117" t="s">
        <v>919</v>
      </c>
      <c r="E237" s="117" t="s">
        <v>910</v>
      </c>
      <c r="F237" s="117" t="s">
        <v>920</v>
      </c>
      <c r="G237" s="117" t="s">
        <v>531</v>
      </c>
      <c r="H237" s="117" t="s">
        <v>532</v>
      </c>
      <c r="I237" s="117">
        <v>1.0</v>
      </c>
      <c r="J237" s="117">
        <v>1.0</v>
      </c>
      <c r="K237" s="117" t="str">
        <f t="shared" si="1"/>
        <v>No</v>
      </c>
      <c r="L237" s="118" t="s">
        <v>116</v>
      </c>
      <c r="M237" s="119">
        <v>1.25</v>
      </c>
      <c r="N237" s="120">
        <v>0.025</v>
      </c>
      <c r="O237" s="121">
        <v>91.32</v>
      </c>
      <c r="P237" s="117">
        <v>1.0</v>
      </c>
      <c r="Q237" s="117">
        <f t="shared" si="2"/>
        <v>0.725</v>
      </c>
      <c r="R237" s="122">
        <f>+(IF(((M237*24)-P237)&lt;0,0,((M237*24)-P237)*'Estimación de pérdidas'!$F$72))*N237</f>
        <v>41816.60431</v>
      </c>
      <c r="S237" s="123" t="s">
        <v>272</v>
      </c>
      <c r="T237" s="124" t="s">
        <v>118</v>
      </c>
      <c r="U237" s="124">
        <f t="shared" si="3"/>
        <v>1</v>
      </c>
      <c r="V237" s="124">
        <v>2.0</v>
      </c>
      <c r="W237" s="124"/>
      <c r="X237" s="125">
        <v>2.0</v>
      </c>
      <c r="Y237" s="126"/>
      <c r="Z237" s="125">
        <f t="shared" si="4"/>
        <v>2</v>
      </c>
      <c r="AA237" s="127" t="str">
        <f t="shared" si="5"/>
        <v>Bajo</v>
      </c>
      <c r="AB237" s="128">
        <f t="shared" si="6"/>
        <v>5</v>
      </c>
      <c r="AC237" s="129">
        <f t="shared" si="7"/>
        <v>0.1073312629</v>
      </c>
    </row>
    <row r="238" ht="14.25" hidden="1" customHeight="1">
      <c r="A238" s="116" t="s">
        <v>539</v>
      </c>
      <c r="B238" s="117" t="s">
        <v>855</v>
      </c>
      <c r="C238" s="117" t="s">
        <v>910</v>
      </c>
      <c r="D238" s="117" t="s">
        <v>921</v>
      </c>
      <c r="E238" s="117" t="s">
        <v>910</v>
      </c>
      <c r="F238" s="117" t="s">
        <v>922</v>
      </c>
      <c r="G238" s="117" t="s">
        <v>531</v>
      </c>
      <c r="H238" s="117" t="s">
        <v>532</v>
      </c>
      <c r="I238" s="117">
        <v>1.0</v>
      </c>
      <c r="J238" s="117">
        <v>1.0</v>
      </c>
      <c r="K238" s="117" t="str">
        <f t="shared" si="1"/>
        <v>No</v>
      </c>
      <c r="L238" s="118" t="s">
        <v>116</v>
      </c>
      <c r="M238" s="119">
        <v>1.25</v>
      </c>
      <c r="N238" s="120">
        <v>0.025</v>
      </c>
      <c r="O238" s="121">
        <v>91.32</v>
      </c>
      <c r="P238" s="117">
        <v>1.0</v>
      </c>
      <c r="Q238" s="117">
        <f t="shared" si="2"/>
        <v>0.725</v>
      </c>
      <c r="R238" s="122">
        <f>+(IF(((M238*24)-P238)&lt;0,0,((M238*24)-P238)*'Estimación de pérdidas'!$F$72))*N238</f>
        <v>41816.60431</v>
      </c>
      <c r="S238" s="123" t="s">
        <v>272</v>
      </c>
      <c r="T238" s="124" t="s">
        <v>118</v>
      </c>
      <c r="U238" s="124">
        <f t="shared" si="3"/>
        <v>1</v>
      </c>
      <c r="V238" s="124">
        <v>2.0</v>
      </c>
      <c r="W238" s="124"/>
      <c r="X238" s="125">
        <v>2.0</v>
      </c>
      <c r="Y238" s="126"/>
      <c r="Z238" s="125">
        <f t="shared" si="4"/>
        <v>2</v>
      </c>
      <c r="AA238" s="127" t="str">
        <f t="shared" si="5"/>
        <v>Bajo</v>
      </c>
      <c r="AB238" s="128">
        <f t="shared" si="6"/>
        <v>5</v>
      </c>
      <c r="AC238" s="129">
        <f t="shared" si="7"/>
        <v>0.1073312629</v>
      </c>
    </row>
    <row r="239" ht="14.25" hidden="1" customHeight="1">
      <c r="A239" s="116" t="s">
        <v>539</v>
      </c>
      <c r="B239" s="117" t="s">
        <v>855</v>
      </c>
      <c r="C239" s="117" t="s">
        <v>910</v>
      </c>
      <c r="D239" s="117" t="s">
        <v>923</v>
      </c>
      <c r="E239" s="117" t="s">
        <v>910</v>
      </c>
      <c r="F239" s="117" t="s">
        <v>924</v>
      </c>
      <c r="G239" s="117" t="s">
        <v>531</v>
      </c>
      <c r="H239" s="117" t="s">
        <v>532</v>
      </c>
      <c r="I239" s="117">
        <v>1.0</v>
      </c>
      <c r="J239" s="117">
        <v>1.0</v>
      </c>
      <c r="K239" s="117" t="str">
        <f t="shared" si="1"/>
        <v>No</v>
      </c>
      <c r="L239" s="118" t="s">
        <v>116</v>
      </c>
      <c r="M239" s="119">
        <v>1.25</v>
      </c>
      <c r="N239" s="120">
        <v>0.025</v>
      </c>
      <c r="O239" s="121">
        <v>91.32</v>
      </c>
      <c r="P239" s="117">
        <v>1.0</v>
      </c>
      <c r="Q239" s="117">
        <f t="shared" si="2"/>
        <v>0.725</v>
      </c>
      <c r="R239" s="122">
        <f>+(IF(((M239*24)-P239)&lt;0,0,((M239*24)-P239)*'Estimación de pérdidas'!$F$72))*N239</f>
        <v>41816.60431</v>
      </c>
      <c r="S239" s="123" t="s">
        <v>272</v>
      </c>
      <c r="T239" s="124" t="s">
        <v>118</v>
      </c>
      <c r="U239" s="124">
        <f t="shared" si="3"/>
        <v>1</v>
      </c>
      <c r="V239" s="124">
        <v>2.0</v>
      </c>
      <c r="W239" s="124"/>
      <c r="X239" s="125">
        <v>2.0</v>
      </c>
      <c r="Y239" s="126"/>
      <c r="Z239" s="125">
        <f t="shared" si="4"/>
        <v>2</v>
      </c>
      <c r="AA239" s="127" t="str">
        <f t="shared" si="5"/>
        <v>Bajo</v>
      </c>
      <c r="AB239" s="128">
        <f t="shared" si="6"/>
        <v>5</v>
      </c>
      <c r="AC239" s="129">
        <f t="shared" si="7"/>
        <v>0.1073312629</v>
      </c>
    </row>
    <row r="240" ht="14.25" hidden="1" customHeight="1">
      <c r="A240" s="116" t="s">
        <v>539</v>
      </c>
      <c r="B240" s="117" t="s">
        <v>855</v>
      </c>
      <c r="C240" s="117" t="s">
        <v>910</v>
      </c>
      <c r="D240" s="117" t="s">
        <v>925</v>
      </c>
      <c r="E240" s="117" t="s">
        <v>910</v>
      </c>
      <c r="F240" s="117" t="s">
        <v>926</v>
      </c>
      <c r="G240" s="117" t="s">
        <v>531</v>
      </c>
      <c r="H240" s="117" t="s">
        <v>532</v>
      </c>
      <c r="I240" s="117">
        <v>1.0</v>
      </c>
      <c r="J240" s="117">
        <v>1.0</v>
      </c>
      <c r="K240" s="117" t="str">
        <f t="shared" si="1"/>
        <v>No</v>
      </c>
      <c r="L240" s="118" t="s">
        <v>116</v>
      </c>
      <c r="M240" s="119">
        <v>1.25</v>
      </c>
      <c r="N240" s="120">
        <v>0.025</v>
      </c>
      <c r="O240" s="121">
        <v>91.32</v>
      </c>
      <c r="P240" s="117">
        <v>1.0</v>
      </c>
      <c r="Q240" s="117">
        <f t="shared" si="2"/>
        <v>0.725</v>
      </c>
      <c r="R240" s="122">
        <f>+(IF(((M240*24)-P240)&lt;0,0,((M240*24)-P240)*'Estimación de pérdidas'!$F$72))*N240</f>
        <v>41816.60431</v>
      </c>
      <c r="S240" s="123" t="s">
        <v>272</v>
      </c>
      <c r="T240" s="124" t="s">
        <v>118</v>
      </c>
      <c r="U240" s="124">
        <f t="shared" si="3"/>
        <v>1</v>
      </c>
      <c r="V240" s="124">
        <v>2.0</v>
      </c>
      <c r="W240" s="124"/>
      <c r="X240" s="125">
        <v>2.0</v>
      </c>
      <c r="Y240" s="126"/>
      <c r="Z240" s="125">
        <f t="shared" si="4"/>
        <v>2</v>
      </c>
      <c r="AA240" s="127" t="str">
        <f t="shared" si="5"/>
        <v>Bajo</v>
      </c>
      <c r="AB240" s="128">
        <f t="shared" si="6"/>
        <v>5</v>
      </c>
      <c r="AC240" s="129">
        <f t="shared" si="7"/>
        <v>0.1073312629</v>
      </c>
    </row>
    <row r="241" ht="14.25" hidden="1" customHeight="1">
      <c r="A241" s="116" t="s">
        <v>927</v>
      </c>
      <c r="B241" s="117" t="s">
        <v>928</v>
      </c>
      <c r="C241" s="117" t="s">
        <v>929</v>
      </c>
      <c r="D241" s="117" t="s">
        <v>930</v>
      </c>
      <c r="E241" s="117" t="s">
        <v>929</v>
      </c>
      <c r="F241" s="117" t="s">
        <v>931</v>
      </c>
      <c r="G241" s="117" t="s">
        <v>205</v>
      </c>
      <c r="H241" s="117" t="s">
        <v>932</v>
      </c>
      <c r="I241" s="117">
        <v>1.0</v>
      </c>
      <c r="J241" s="117">
        <v>1.0</v>
      </c>
      <c r="K241" s="117" t="str">
        <f t="shared" si="1"/>
        <v>No</v>
      </c>
      <c r="L241" s="118" t="s">
        <v>116</v>
      </c>
      <c r="M241" s="119">
        <v>0.25</v>
      </c>
      <c r="N241" s="120">
        <v>1.0</v>
      </c>
      <c r="O241" s="121">
        <v>47.65</v>
      </c>
      <c r="P241" s="117">
        <v>12.0</v>
      </c>
      <c r="Q241" s="117">
        <f t="shared" si="2"/>
        <v>0</v>
      </c>
      <c r="R241" s="122">
        <f>+(IF(((M241*24)-P241)&lt;0,0,((M241*24)-P241)*'Estimación de pérdidas'!$F$72))*N241</f>
        <v>0</v>
      </c>
      <c r="S241" s="123" t="s">
        <v>117</v>
      </c>
      <c r="T241" s="124" t="s">
        <v>106</v>
      </c>
      <c r="U241" s="124">
        <f t="shared" si="3"/>
        <v>1</v>
      </c>
      <c r="V241" s="124">
        <v>1.0</v>
      </c>
      <c r="W241" s="124"/>
      <c r="X241" s="125"/>
      <c r="Y241" s="126"/>
      <c r="Z241" s="125">
        <f t="shared" si="4"/>
        <v>1</v>
      </c>
      <c r="AA241" s="127" t="str">
        <f t="shared" si="5"/>
        <v>Bajo</v>
      </c>
      <c r="AB241" s="128">
        <f t="shared" si="6"/>
        <v>7</v>
      </c>
      <c r="AC241" s="129">
        <f t="shared" si="7"/>
        <v>0.1011928851</v>
      </c>
    </row>
    <row r="242" ht="14.25" hidden="1" customHeight="1">
      <c r="A242" s="116" t="s">
        <v>927</v>
      </c>
      <c r="B242" s="117" t="s">
        <v>928</v>
      </c>
      <c r="C242" s="117" t="s">
        <v>933</v>
      </c>
      <c r="D242" s="117" t="s">
        <v>934</v>
      </c>
      <c r="E242" s="117" t="s">
        <v>933</v>
      </c>
      <c r="F242" s="117" t="s">
        <v>935</v>
      </c>
      <c r="G242" s="117" t="s">
        <v>205</v>
      </c>
      <c r="H242" s="117" t="s">
        <v>932</v>
      </c>
      <c r="I242" s="117">
        <v>2.0</v>
      </c>
      <c r="J242" s="117">
        <v>1.0</v>
      </c>
      <c r="K242" s="117" t="str">
        <f t="shared" si="1"/>
        <v>Si</v>
      </c>
      <c r="L242" s="118" t="s">
        <v>287</v>
      </c>
      <c r="M242" s="119">
        <v>0.25</v>
      </c>
      <c r="N242" s="120">
        <v>0.0</v>
      </c>
      <c r="O242" s="121">
        <v>16.67</v>
      </c>
      <c r="P242" s="117">
        <v>17.902266754270695</v>
      </c>
      <c r="Q242" s="117">
        <f t="shared" si="2"/>
        <v>0</v>
      </c>
      <c r="R242" s="122">
        <f>+(IF(((M242*24)-P242)&lt;0,0,((M242*24)-P242)*'Estimación de pérdidas'!$F$72))*N242</f>
        <v>0</v>
      </c>
      <c r="S242" s="123" t="s">
        <v>117</v>
      </c>
      <c r="T242" s="124" t="s">
        <v>106</v>
      </c>
      <c r="U242" s="124">
        <f t="shared" si="3"/>
        <v>1</v>
      </c>
      <c r="V242" s="124">
        <v>1.0</v>
      </c>
      <c r="W242" s="124"/>
      <c r="X242" s="125"/>
      <c r="Y242" s="126"/>
      <c r="Z242" s="125">
        <f t="shared" si="4"/>
        <v>1</v>
      </c>
      <c r="AA242" s="127" t="str">
        <f t="shared" si="5"/>
        <v>Bajo</v>
      </c>
      <c r="AB242" s="128">
        <f t="shared" si="6"/>
        <v>7</v>
      </c>
      <c r="AC242" s="129">
        <f t="shared" si="7"/>
        <v>0.1011928851</v>
      </c>
    </row>
    <row r="243" ht="14.25" hidden="1" customHeight="1">
      <c r="A243" s="116" t="s">
        <v>927</v>
      </c>
      <c r="B243" s="117" t="s">
        <v>928</v>
      </c>
      <c r="C243" s="117" t="s">
        <v>936</v>
      </c>
      <c r="D243" s="117" t="s">
        <v>937</v>
      </c>
      <c r="E243" s="117" t="s">
        <v>936</v>
      </c>
      <c r="F243" s="117" t="s">
        <v>938</v>
      </c>
      <c r="G243" s="117" t="s">
        <v>205</v>
      </c>
      <c r="H243" s="117" t="s">
        <v>932</v>
      </c>
      <c r="I243" s="117">
        <v>1.0</v>
      </c>
      <c r="J243" s="117">
        <v>1.0</v>
      </c>
      <c r="K243" s="117" t="str">
        <f t="shared" si="1"/>
        <v>No</v>
      </c>
      <c r="L243" s="118" t="s">
        <v>116</v>
      </c>
      <c r="M243" s="119">
        <v>0.25</v>
      </c>
      <c r="N243" s="120">
        <v>1.0</v>
      </c>
      <c r="O243" s="121">
        <v>4.2</v>
      </c>
      <c r="P243" s="117">
        <v>20.0</v>
      </c>
      <c r="Q243" s="117">
        <f t="shared" si="2"/>
        <v>0</v>
      </c>
      <c r="R243" s="122">
        <f>+(IF(((M243*24)-P243)&lt;0,0,((M243*24)-P243)*'Estimación de pérdidas'!$F$72))*N243</f>
        <v>0</v>
      </c>
      <c r="S243" s="123" t="s">
        <v>117</v>
      </c>
      <c r="T243" s="124" t="s">
        <v>106</v>
      </c>
      <c r="U243" s="124">
        <f t="shared" si="3"/>
        <v>1</v>
      </c>
      <c r="V243" s="124">
        <v>1.0</v>
      </c>
      <c r="W243" s="124"/>
      <c r="X243" s="125"/>
      <c r="Y243" s="126"/>
      <c r="Z243" s="125">
        <f t="shared" si="4"/>
        <v>1</v>
      </c>
      <c r="AA243" s="127" t="str">
        <f t="shared" si="5"/>
        <v>Bajo</v>
      </c>
      <c r="AB243" s="128">
        <f t="shared" si="6"/>
        <v>7</v>
      </c>
      <c r="AC243" s="129">
        <f t="shared" si="7"/>
        <v>0.1011928851</v>
      </c>
    </row>
    <row r="244" ht="14.25" hidden="1" customHeight="1">
      <c r="A244" s="116" t="s">
        <v>927</v>
      </c>
      <c r="B244" s="117" t="s">
        <v>928</v>
      </c>
      <c r="C244" s="117" t="s">
        <v>939</v>
      </c>
      <c r="D244" s="117" t="s">
        <v>940</v>
      </c>
      <c r="E244" s="117" t="s">
        <v>939</v>
      </c>
      <c r="F244" s="117" t="s">
        <v>941</v>
      </c>
      <c r="G244" s="117" t="s">
        <v>205</v>
      </c>
      <c r="H244" s="117" t="s">
        <v>932</v>
      </c>
      <c r="I244" s="117">
        <v>1.0</v>
      </c>
      <c r="J244" s="117">
        <v>1.0</v>
      </c>
      <c r="K244" s="117" t="str">
        <f t="shared" si="1"/>
        <v>No</v>
      </c>
      <c r="L244" s="118" t="s">
        <v>116</v>
      </c>
      <c r="M244" s="119">
        <v>0.25</v>
      </c>
      <c r="N244" s="120">
        <v>1.0</v>
      </c>
      <c r="O244" s="121">
        <v>3.2</v>
      </c>
      <c r="P244" s="117">
        <v>21.132588699080156</v>
      </c>
      <c r="Q244" s="117">
        <f t="shared" si="2"/>
        <v>0</v>
      </c>
      <c r="R244" s="122">
        <f>+(IF(((M244*24)-P244)&lt;0,0,((M244*24)-P244)*'Estimación de pérdidas'!$F$72))*N244</f>
        <v>0</v>
      </c>
      <c r="S244" s="123" t="s">
        <v>117</v>
      </c>
      <c r="T244" s="124" t="s">
        <v>106</v>
      </c>
      <c r="U244" s="124">
        <f t="shared" si="3"/>
        <v>1</v>
      </c>
      <c r="V244" s="124">
        <v>1.0</v>
      </c>
      <c r="W244" s="124"/>
      <c r="X244" s="125"/>
      <c r="Y244" s="126"/>
      <c r="Z244" s="125">
        <f t="shared" si="4"/>
        <v>1</v>
      </c>
      <c r="AA244" s="127" t="str">
        <f t="shared" si="5"/>
        <v>Bajo</v>
      </c>
      <c r="AB244" s="128">
        <f t="shared" si="6"/>
        <v>7</v>
      </c>
      <c r="AC244" s="129">
        <f t="shared" si="7"/>
        <v>0.1011928851</v>
      </c>
    </row>
    <row r="245" ht="14.25" hidden="1" customHeight="1">
      <c r="A245" s="116" t="s">
        <v>927</v>
      </c>
      <c r="B245" s="117" t="s">
        <v>928</v>
      </c>
      <c r="C245" s="117" t="s">
        <v>942</v>
      </c>
      <c r="D245" s="117" t="s">
        <v>943</v>
      </c>
      <c r="E245" s="117" t="s">
        <v>944</v>
      </c>
      <c r="F245" s="117" t="s">
        <v>945</v>
      </c>
      <c r="G245" s="117" t="s">
        <v>205</v>
      </c>
      <c r="H245" s="117" t="s">
        <v>946</v>
      </c>
      <c r="I245" s="117">
        <v>1.0</v>
      </c>
      <c r="J245" s="117">
        <v>1.0</v>
      </c>
      <c r="K245" s="117" t="str">
        <f t="shared" si="1"/>
        <v>No</v>
      </c>
      <c r="L245" s="118" t="s">
        <v>116</v>
      </c>
      <c r="M245" s="119">
        <v>0.33</v>
      </c>
      <c r="N245" s="120">
        <v>0.0</v>
      </c>
      <c r="O245" s="121"/>
      <c r="P245" s="117">
        <v>0.0</v>
      </c>
      <c r="Q245" s="117">
        <f t="shared" si="2"/>
        <v>0</v>
      </c>
      <c r="R245" s="122">
        <f>+(IF(((M245*24)-P245)&lt;0,0,((M245*24)-P245)*'Estimación de pérdidas'!$F$72))*N245</f>
        <v>0</v>
      </c>
      <c r="S245" s="123" t="s">
        <v>117</v>
      </c>
      <c r="T245" s="124" t="s">
        <v>119</v>
      </c>
      <c r="U245" s="124">
        <f t="shared" si="3"/>
        <v>1</v>
      </c>
      <c r="V245" s="124">
        <v>1.0</v>
      </c>
      <c r="W245" s="124">
        <v>3.0</v>
      </c>
      <c r="X245" s="125"/>
      <c r="Y245" s="126"/>
      <c r="Z245" s="125">
        <f t="shared" si="4"/>
        <v>3</v>
      </c>
      <c r="AA245" s="127" t="str">
        <f t="shared" si="5"/>
        <v>Moderado</v>
      </c>
      <c r="AB245" s="128">
        <f t="shared" si="6"/>
        <v>13</v>
      </c>
      <c r="AC245" s="129">
        <f t="shared" si="7"/>
        <v>0.1779887637</v>
      </c>
    </row>
    <row r="246" ht="14.25" hidden="1" customHeight="1">
      <c r="A246" s="116" t="s">
        <v>927</v>
      </c>
      <c r="B246" s="117" t="s">
        <v>928</v>
      </c>
      <c r="C246" s="117" t="s">
        <v>947</v>
      </c>
      <c r="D246" s="117" t="s">
        <v>948</v>
      </c>
      <c r="E246" s="117" t="s">
        <v>947</v>
      </c>
      <c r="F246" s="117" t="s">
        <v>949</v>
      </c>
      <c r="G246" s="117" t="s">
        <v>205</v>
      </c>
      <c r="H246" s="117" t="s">
        <v>946</v>
      </c>
      <c r="I246" s="117">
        <v>1.0</v>
      </c>
      <c r="J246" s="117">
        <v>1.0</v>
      </c>
      <c r="K246" s="117" t="str">
        <f t="shared" si="1"/>
        <v>No</v>
      </c>
      <c r="L246" s="118" t="s">
        <v>116</v>
      </c>
      <c r="M246" s="119">
        <v>0.33</v>
      </c>
      <c r="N246" s="120">
        <v>0.0</v>
      </c>
      <c r="O246" s="121"/>
      <c r="P246" s="117">
        <v>0.0</v>
      </c>
      <c r="Q246" s="117">
        <f t="shared" si="2"/>
        <v>0</v>
      </c>
      <c r="R246" s="122">
        <f>+(IF(((M246*24)-P246)&lt;0,0,((M246*24)-P246)*'Estimación de pérdidas'!$F$72))*N246</f>
        <v>0</v>
      </c>
      <c r="S246" s="123" t="s">
        <v>117</v>
      </c>
      <c r="T246" s="124" t="s">
        <v>119</v>
      </c>
      <c r="U246" s="124">
        <f t="shared" si="3"/>
        <v>1</v>
      </c>
      <c r="V246" s="124">
        <v>1.0</v>
      </c>
      <c r="W246" s="124">
        <v>3.0</v>
      </c>
      <c r="X246" s="125"/>
      <c r="Y246" s="126"/>
      <c r="Z246" s="125">
        <f t="shared" si="4"/>
        <v>3</v>
      </c>
      <c r="AA246" s="127" t="str">
        <f t="shared" si="5"/>
        <v>Moderado</v>
      </c>
      <c r="AB246" s="128">
        <f t="shared" si="6"/>
        <v>13</v>
      </c>
      <c r="AC246" s="129">
        <f t="shared" si="7"/>
        <v>0.1779887637</v>
      </c>
    </row>
    <row r="247" ht="14.25" hidden="1" customHeight="1">
      <c r="A247" s="116" t="s">
        <v>927</v>
      </c>
      <c r="B247" s="117" t="s">
        <v>928</v>
      </c>
      <c r="C247" s="117" t="s">
        <v>950</v>
      </c>
      <c r="D247" s="117" t="s">
        <v>951</v>
      </c>
      <c r="E247" s="117" t="s">
        <v>950</v>
      </c>
      <c r="F247" s="117" t="s">
        <v>952</v>
      </c>
      <c r="G247" s="117" t="s">
        <v>205</v>
      </c>
      <c r="H247" s="117" t="s">
        <v>953</v>
      </c>
      <c r="I247" s="117">
        <v>1.0</v>
      </c>
      <c r="J247" s="117">
        <v>1.0</v>
      </c>
      <c r="K247" s="117" t="str">
        <f t="shared" si="1"/>
        <v>No</v>
      </c>
      <c r="L247" s="118" t="s">
        <v>116</v>
      </c>
      <c r="M247" s="119">
        <v>0.33</v>
      </c>
      <c r="N247" s="120">
        <v>0.0</v>
      </c>
      <c r="O247" s="121"/>
      <c r="P247" s="117">
        <v>0.0</v>
      </c>
      <c r="Q247" s="117">
        <f t="shared" si="2"/>
        <v>0</v>
      </c>
      <c r="R247" s="122">
        <f>+(IF(((M247*24)-P247)&lt;0,0,((M247*24)-P247)*'Estimación de pérdidas'!$F$72))*N247</f>
        <v>0</v>
      </c>
      <c r="S247" s="123" t="s">
        <v>117</v>
      </c>
      <c r="T247" s="124" t="s">
        <v>119</v>
      </c>
      <c r="U247" s="124">
        <f t="shared" si="3"/>
        <v>1</v>
      </c>
      <c r="V247" s="124">
        <v>1.0</v>
      </c>
      <c r="W247" s="124">
        <v>3.0</v>
      </c>
      <c r="X247" s="125"/>
      <c r="Y247" s="126"/>
      <c r="Z247" s="125">
        <f t="shared" si="4"/>
        <v>3</v>
      </c>
      <c r="AA247" s="127" t="str">
        <f t="shared" si="5"/>
        <v>Moderado</v>
      </c>
      <c r="AB247" s="128">
        <f t="shared" si="6"/>
        <v>13</v>
      </c>
      <c r="AC247" s="129">
        <f t="shared" si="7"/>
        <v>0.1779887637</v>
      </c>
    </row>
    <row r="248" ht="14.25" hidden="1" customHeight="1">
      <c r="A248" s="116" t="s">
        <v>927</v>
      </c>
      <c r="B248" s="117" t="s">
        <v>928</v>
      </c>
      <c r="C248" s="117" t="s">
        <v>954</v>
      </c>
      <c r="D248" s="117" t="s">
        <v>955</v>
      </c>
      <c r="E248" s="117" t="s">
        <v>954</v>
      </c>
      <c r="F248" s="117" t="s">
        <v>956</v>
      </c>
      <c r="G248" s="117" t="s">
        <v>205</v>
      </c>
      <c r="H248" s="117" t="s">
        <v>932</v>
      </c>
      <c r="I248" s="117">
        <v>1.0</v>
      </c>
      <c r="J248" s="117">
        <v>1.0</v>
      </c>
      <c r="K248" s="117" t="str">
        <f t="shared" si="1"/>
        <v>No</v>
      </c>
      <c r="L248" s="118" t="s">
        <v>116</v>
      </c>
      <c r="M248" s="119">
        <v>0.25</v>
      </c>
      <c r="N248" s="120">
        <v>1.0</v>
      </c>
      <c r="O248" s="121">
        <v>3.2</v>
      </c>
      <c r="P248" s="117">
        <v>21.132588699080156</v>
      </c>
      <c r="Q248" s="117">
        <f t="shared" si="2"/>
        <v>0</v>
      </c>
      <c r="R248" s="122">
        <f>+(IF(((M248*24)-P248)&lt;0,0,((M248*24)-P248)*'Estimación de pérdidas'!$F$72))*N248</f>
        <v>0</v>
      </c>
      <c r="S248" s="123" t="s">
        <v>117</v>
      </c>
      <c r="T248" s="124" t="s">
        <v>106</v>
      </c>
      <c r="U248" s="124">
        <f t="shared" si="3"/>
        <v>1</v>
      </c>
      <c r="V248" s="124">
        <v>1.0</v>
      </c>
      <c r="W248" s="124"/>
      <c r="X248" s="125"/>
      <c r="Y248" s="126"/>
      <c r="Z248" s="125">
        <f t="shared" si="4"/>
        <v>1</v>
      </c>
      <c r="AA248" s="127" t="str">
        <f t="shared" si="5"/>
        <v>Bajo</v>
      </c>
      <c r="AB248" s="128">
        <f t="shared" si="6"/>
        <v>7</v>
      </c>
      <c r="AC248" s="129">
        <f t="shared" si="7"/>
        <v>0.1011928851</v>
      </c>
    </row>
    <row r="249" ht="14.25" hidden="1" customHeight="1">
      <c r="A249" s="116" t="s">
        <v>927</v>
      </c>
      <c r="B249" s="117" t="s">
        <v>928</v>
      </c>
      <c r="C249" s="117" t="s">
        <v>957</v>
      </c>
      <c r="D249" s="117" t="s">
        <v>958</v>
      </c>
      <c r="E249" s="117" t="s">
        <v>957</v>
      </c>
      <c r="F249" s="117" t="s">
        <v>959</v>
      </c>
      <c r="G249" s="117" t="s">
        <v>205</v>
      </c>
      <c r="H249" s="117" t="s">
        <v>932</v>
      </c>
      <c r="I249" s="117">
        <v>1.0</v>
      </c>
      <c r="J249" s="117">
        <v>1.0</v>
      </c>
      <c r="K249" s="117" t="str">
        <f t="shared" si="1"/>
        <v>No</v>
      </c>
      <c r="L249" s="118" t="s">
        <v>116</v>
      </c>
      <c r="M249" s="119">
        <v>0.25</v>
      </c>
      <c r="N249" s="120">
        <v>0.0</v>
      </c>
      <c r="O249" s="121">
        <v>4.2</v>
      </c>
      <c r="P249" s="117">
        <v>20.0</v>
      </c>
      <c r="Q249" s="117">
        <f t="shared" si="2"/>
        <v>0</v>
      </c>
      <c r="R249" s="122">
        <f>+(IF(((M249*24)-P249)&lt;0,0,((M249*24)-P249)*'Estimación de pérdidas'!$F$72))*N249</f>
        <v>0</v>
      </c>
      <c r="S249" s="123" t="s">
        <v>117</v>
      </c>
      <c r="T249" s="124" t="s">
        <v>106</v>
      </c>
      <c r="U249" s="124">
        <f t="shared" si="3"/>
        <v>1</v>
      </c>
      <c r="V249" s="124">
        <v>1.0</v>
      </c>
      <c r="W249" s="124"/>
      <c r="X249" s="125"/>
      <c r="Y249" s="126"/>
      <c r="Z249" s="125">
        <f t="shared" si="4"/>
        <v>1</v>
      </c>
      <c r="AA249" s="127" t="str">
        <f t="shared" si="5"/>
        <v>Bajo</v>
      </c>
      <c r="AB249" s="128">
        <f t="shared" si="6"/>
        <v>7</v>
      </c>
      <c r="AC249" s="129">
        <f t="shared" si="7"/>
        <v>0.1011928851</v>
      </c>
    </row>
    <row r="250" ht="14.25" hidden="1" customHeight="1">
      <c r="A250" s="116" t="s">
        <v>927</v>
      </c>
      <c r="B250" s="117" t="s">
        <v>928</v>
      </c>
      <c r="C250" s="117" t="s">
        <v>933</v>
      </c>
      <c r="D250" s="117" t="s">
        <v>960</v>
      </c>
      <c r="E250" s="117" t="s">
        <v>933</v>
      </c>
      <c r="F250" s="117" t="s">
        <v>935</v>
      </c>
      <c r="G250" s="117" t="s">
        <v>205</v>
      </c>
      <c r="H250" s="117" t="s">
        <v>961</v>
      </c>
      <c r="I250" s="117">
        <v>2.0</v>
      </c>
      <c r="J250" s="117">
        <v>1.0</v>
      </c>
      <c r="K250" s="117" t="str">
        <f t="shared" si="1"/>
        <v>Si</v>
      </c>
      <c r="L250" s="118" t="s">
        <v>287</v>
      </c>
      <c r="M250" s="119">
        <v>0.25</v>
      </c>
      <c r="N250" s="120">
        <v>0.0</v>
      </c>
      <c r="O250" s="121">
        <v>16.67</v>
      </c>
      <c r="P250" s="117">
        <v>17.902266754270695</v>
      </c>
      <c r="Q250" s="117">
        <f t="shared" si="2"/>
        <v>0</v>
      </c>
      <c r="R250" s="122">
        <f>+(IF(((M250*24)-P250)&lt;0,0,((M250*24)-P250)*'Estimación de pérdidas'!$F$72))*N250</f>
        <v>0</v>
      </c>
      <c r="S250" s="123" t="s">
        <v>117</v>
      </c>
      <c r="T250" s="124" t="s">
        <v>106</v>
      </c>
      <c r="U250" s="124">
        <f t="shared" si="3"/>
        <v>1</v>
      </c>
      <c r="V250" s="124">
        <v>1.0</v>
      </c>
      <c r="W250" s="124"/>
      <c r="X250" s="125"/>
      <c r="Y250" s="126"/>
      <c r="Z250" s="125">
        <f t="shared" si="4"/>
        <v>1</v>
      </c>
      <c r="AA250" s="127" t="str">
        <f t="shared" si="5"/>
        <v>Bajo</v>
      </c>
      <c r="AB250" s="128">
        <f t="shared" si="6"/>
        <v>7</v>
      </c>
      <c r="AC250" s="129">
        <f t="shared" si="7"/>
        <v>0.1011928851</v>
      </c>
    </row>
    <row r="251" ht="14.25" hidden="1" customHeight="1">
      <c r="A251" s="116" t="s">
        <v>403</v>
      </c>
      <c r="B251" s="117" t="s">
        <v>928</v>
      </c>
      <c r="C251" s="117" t="s">
        <v>406</v>
      </c>
      <c r="D251" s="117" t="s">
        <v>962</v>
      </c>
      <c r="E251" s="117" t="s">
        <v>526</v>
      </c>
      <c r="F251" s="117" t="s">
        <v>907</v>
      </c>
      <c r="G251" s="117" t="s">
        <v>408</v>
      </c>
      <c r="H251" s="117" t="s">
        <v>908</v>
      </c>
      <c r="I251" s="117">
        <v>1.0</v>
      </c>
      <c r="J251" s="117">
        <v>1.0</v>
      </c>
      <c r="K251" s="117" t="str">
        <f t="shared" si="1"/>
        <v>No</v>
      </c>
      <c r="L251" s="118" t="s">
        <v>116</v>
      </c>
      <c r="M251" s="119">
        <v>0.3333333333333333</v>
      </c>
      <c r="N251" s="120">
        <v>0.0</v>
      </c>
      <c r="O251" s="121"/>
      <c r="P251" s="117">
        <v>0.0</v>
      </c>
      <c r="Q251" s="117">
        <f t="shared" si="2"/>
        <v>0</v>
      </c>
      <c r="R251" s="122">
        <f>+(IF(((M251*24)-P251)&lt;0,0,((M251*24)-P251)*'Estimación de pérdidas'!$F$72))*N251</f>
        <v>0</v>
      </c>
      <c r="S251" s="123" t="s">
        <v>272</v>
      </c>
      <c r="T251" s="124" t="s">
        <v>106</v>
      </c>
      <c r="U251" s="124">
        <f t="shared" si="3"/>
        <v>1</v>
      </c>
      <c r="V251" s="124">
        <v>1.0</v>
      </c>
      <c r="W251" s="124">
        <v>4.0</v>
      </c>
      <c r="X251" s="125"/>
      <c r="Y251" s="126"/>
      <c r="Z251" s="125">
        <f t="shared" si="4"/>
        <v>4</v>
      </c>
      <c r="AA251" s="127" t="str">
        <f t="shared" si="5"/>
        <v>Alto</v>
      </c>
      <c r="AB251" s="128">
        <f t="shared" si="6"/>
        <v>22</v>
      </c>
      <c r="AC251" s="129">
        <f t="shared" si="7"/>
        <v>0.3035786554</v>
      </c>
      <c r="AD251" s="130"/>
    </row>
    <row r="252" ht="14.25" hidden="1" customHeight="1">
      <c r="A252" s="116" t="s">
        <v>403</v>
      </c>
      <c r="B252" s="117" t="s">
        <v>928</v>
      </c>
      <c r="C252" s="117" t="s">
        <v>406</v>
      </c>
      <c r="D252" s="117" t="s">
        <v>963</v>
      </c>
      <c r="E252" s="117" t="s">
        <v>526</v>
      </c>
      <c r="F252" s="117" t="s">
        <v>907</v>
      </c>
      <c r="G252" s="117" t="s">
        <v>408</v>
      </c>
      <c r="H252" s="117" t="s">
        <v>908</v>
      </c>
      <c r="I252" s="117">
        <v>1.0</v>
      </c>
      <c r="J252" s="117">
        <v>1.0</v>
      </c>
      <c r="K252" s="117" t="str">
        <f t="shared" si="1"/>
        <v>No</v>
      </c>
      <c r="L252" s="118" t="s">
        <v>116</v>
      </c>
      <c r="M252" s="119">
        <v>0.3333333333333333</v>
      </c>
      <c r="N252" s="120">
        <v>0.0</v>
      </c>
      <c r="O252" s="121"/>
      <c r="P252" s="117">
        <v>0.0</v>
      </c>
      <c r="Q252" s="117">
        <f t="shared" si="2"/>
        <v>0</v>
      </c>
      <c r="R252" s="122">
        <f>+(IF(((M252*24)-P252)&lt;0,0,((M252*24)-P252)*'Estimación de pérdidas'!$F$72))*N252</f>
        <v>0</v>
      </c>
      <c r="S252" s="123" t="s">
        <v>272</v>
      </c>
      <c r="T252" s="124" t="s">
        <v>106</v>
      </c>
      <c r="U252" s="124">
        <f t="shared" si="3"/>
        <v>1</v>
      </c>
      <c r="V252" s="124">
        <v>1.0</v>
      </c>
      <c r="W252" s="124">
        <v>4.0</v>
      </c>
      <c r="X252" s="125"/>
      <c r="Y252" s="126"/>
      <c r="Z252" s="125">
        <f t="shared" si="4"/>
        <v>4</v>
      </c>
      <c r="AA252" s="127" t="str">
        <f t="shared" si="5"/>
        <v>Alto</v>
      </c>
      <c r="AB252" s="128">
        <f t="shared" si="6"/>
        <v>22</v>
      </c>
      <c r="AC252" s="129">
        <f t="shared" si="7"/>
        <v>0.3035786554</v>
      </c>
      <c r="AD252" s="130"/>
    </row>
    <row r="253" ht="14.25" hidden="1" customHeight="1">
      <c r="A253" s="116" t="s">
        <v>927</v>
      </c>
      <c r="B253" s="117" t="s">
        <v>928</v>
      </c>
      <c r="C253" s="117" t="s">
        <v>964</v>
      </c>
      <c r="D253" s="117" t="s">
        <v>965</v>
      </c>
      <c r="E253" s="117" t="s">
        <v>964</v>
      </c>
      <c r="F253" s="117" t="s">
        <v>966</v>
      </c>
      <c r="G253" s="117" t="s">
        <v>211</v>
      </c>
      <c r="H253" s="117" t="s">
        <v>967</v>
      </c>
      <c r="I253" s="117">
        <v>1.0</v>
      </c>
      <c r="J253" s="117">
        <v>1.0</v>
      </c>
      <c r="K253" s="117" t="str">
        <f t="shared" si="1"/>
        <v>No</v>
      </c>
      <c r="L253" s="118" t="s">
        <v>116</v>
      </c>
      <c r="M253" s="119">
        <v>2.0</v>
      </c>
      <c r="N253" s="120">
        <v>1.0</v>
      </c>
      <c r="O253" s="121">
        <v>13.3</v>
      </c>
      <c r="P253" s="117">
        <v>19.810446780551906</v>
      </c>
      <c r="Q253" s="117">
        <f t="shared" si="2"/>
        <v>28.18955322</v>
      </c>
      <c r="R253" s="122">
        <f>+(IF(((M253*24)-P253)&lt;0,0,((M253*24)-P253)*'Estimación de pérdidas'!$F$72))*N253</f>
        <v>1625919.162</v>
      </c>
      <c r="S253" s="123" t="s">
        <v>272</v>
      </c>
      <c r="T253" s="124" t="s">
        <v>132</v>
      </c>
      <c r="U253" s="124">
        <f t="shared" si="3"/>
        <v>5</v>
      </c>
      <c r="V253" s="124">
        <v>2.0</v>
      </c>
      <c r="W253" s="124">
        <v>2.0</v>
      </c>
      <c r="X253" s="125">
        <v>2.0</v>
      </c>
      <c r="Y253" s="126"/>
      <c r="Z253" s="125">
        <f t="shared" si="4"/>
        <v>5</v>
      </c>
      <c r="AA253" s="127" t="str">
        <f t="shared" si="5"/>
        <v>Moderado</v>
      </c>
      <c r="AB253" s="128">
        <f t="shared" si="6"/>
        <v>15</v>
      </c>
      <c r="AC253" s="129">
        <f t="shared" si="7"/>
        <v>0.1088117641</v>
      </c>
      <c r="AD253" s="131"/>
    </row>
    <row r="254" ht="14.25" hidden="1" customHeight="1">
      <c r="A254" s="116" t="s">
        <v>927</v>
      </c>
      <c r="B254" s="117" t="s">
        <v>928</v>
      </c>
      <c r="C254" s="117" t="s">
        <v>968</v>
      </c>
      <c r="D254" s="117" t="s">
        <v>969</v>
      </c>
      <c r="E254" s="117" t="s">
        <v>968</v>
      </c>
      <c r="F254" s="117" t="s">
        <v>970</v>
      </c>
      <c r="G254" s="117" t="s">
        <v>211</v>
      </c>
      <c r="H254" s="117" t="s">
        <v>971</v>
      </c>
      <c r="I254" s="117">
        <v>1.0</v>
      </c>
      <c r="J254" s="117">
        <v>1.0</v>
      </c>
      <c r="K254" s="117" t="str">
        <f t="shared" si="1"/>
        <v>No</v>
      </c>
      <c r="L254" s="118" t="s">
        <v>116</v>
      </c>
      <c r="M254" s="119">
        <v>2.0</v>
      </c>
      <c r="N254" s="120">
        <v>1.0</v>
      </c>
      <c r="O254" s="121">
        <v>3.2</v>
      </c>
      <c r="P254" s="117">
        <v>21.132588699080156</v>
      </c>
      <c r="Q254" s="117">
        <f t="shared" si="2"/>
        <v>26.8674113</v>
      </c>
      <c r="R254" s="122">
        <f>+(IF(((M254*24)-P254)&lt;0,0,((M254*24)-P254)*'Estimación de pérdidas'!$F$72))*N254</f>
        <v>1549660.562</v>
      </c>
      <c r="S254" s="123" t="s">
        <v>272</v>
      </c>
      <c r="T254" s="124" t="s">
        <v>132</v>
      </c>
      <c r="U254" s="124">
        <f t="shared" si="3"/>
        <v>5</v>
      </c>
      <c r="V254" s="124">
        <v>2.0</v>
      </c>
      <c r="W254" s="124">
        <v>3.0</v>
      </c>
      <c r="X254" s="125">
        <v>2.0</v>
      </c>
      <c r="Y254" s="126"/>
      <c r="Z254" s="125">
        <f t="shared" si="4"/>
        <v>5</v>
      </c>
      <c r="AA254" s="127" t="str">
        <f t="shared" si="5"/>
        <v>Moderado</v>
      </c>
      <c r="AB254" s="128">
        <f t="shared" si="6"/>
        <v>15</v>
      </c>
      <c r="AC254" s="129">
        <f t="shared" si="7"/>
        <v>0.115931014</v>
      </c>
      <c r="AD254" s="131"/>
    </row>
    <row r="255" ht="14.25" hidden="1" customHeight="1">
      <c r="A255" s="116" t="s">
        <v>927</v>
      </c>
      <c r="B255" s="117" t="s">
        <v>928</v>
      </c>
      <c r="C255" s="117" t="s">
        <v>972</v>
      </c>
      <c r="D255" s="117" t="s">
        <v>973</v>
      </c>
      <c r="E255" s="117" t="s">
        <v>972</v>
      </c>
      <c r="F255" s="117" t="s">
        <v>974</v>
      </c>
      <c r="G255" s="117" t="s">
        <v>211</v>
      </c>
      <c r="H255" s="117" t="s">
        <v>967</v>
      </c>
      <c r="I255" s="117">
        <v>1.0</v>
      </c>
      <c r="J255" s="117">
        <v>1.0</v>
      </c>
      <c r="K255" s="117" t="str">
        <f t="shared" si="1"/>
        <v>No</v>
      </c>
      <c r="L255" s="118" t="s">
        <v>116</v>
      </c>
      <c r="M255" s="119">
        <v>2.0</v>
      </c>
      <c r="N255" s="120">
        <v>1.0</v>
      </c>
      <c r="O255" s="121">
        <v>16.67</v>
      </c>
      <c r="P255" s="117">
        <v>12.0</v>
      </c>
      <c r="Q255" s="117">
        <f t="shared" si="2"/>
        <v>36</v>
      </c>
      <c r="R255" s="122">
        <f>+(IF(((M255*24)-P255)&lt;0,0,((M255*24)-P255)*'Estimación de pérdidas'!$F$72))*N255</f>
        <v>2076410.697</v>
      </c>
      <c r="S255" s="123" t="s">
        <v>272</v>
      </c>
      <c r="T255" s="124" t="s">
        <v>132</v>
      </c>
      <c r="U255" s="124">
        <f t="shared" si="3"/>
        <v>5</v>
      </c>
      <c r="V255" s="124">
        <v>2.0</v>
      </c>
      <c r="W255" s="124">
        <v>2.0</v>
      </c>
      <c r="X255" s="125">
        <v>2.0</v>
      </c>
      <c r="Y255" s="126"/>
      <c r="Z255" s="125">
        <f t="shared" si="4"/>
        <v>5</v>
      </c>
      <c r="AA255" s="127" t="str">
        <f t="shared" si="5"/>
        <v>Moderado</v>
      </c>
      <c r="AB255" s="128">
        <f t="shared" si="6"/>
        <v>15</v>
      </c>
      <c r="AC255" s="129">
        <f t="shared" si="7"/>
        <v>0.1088117641</v>
      </c>
      <c r="AD255" s="131"/>
    </row>
    <row r="256" ht="14.25" hidden="1" customHeight="1">
      <c r="A256" s="116" t="s">
        <v>927</v>
      </c>
      <c r="B256" s="117" t="s">
        <v>928</v>
      </c>
      <c r="C256" s="117" t="s">
        <v>975</v>
      </c>
      <c r="D256" s="117" t="s">
        <v>976</v>
      </c>
      <c r="E256" s="117" t="s">
        <v>975</v>
      </c>
      <c r="F256" s="117" t="s">
        <v>977</v>
      </c>
      <c r="G256" s="117" t="s">
        <v>211</v>
      </c>
      <c r="H256" s="117" t="s">
        <v>967</v>
      </c>
      <c r="I256" s="117">
        <v>1.0</v>
      </c>
      <c r="J256" s="117">
        <v>1.0</v>
      </c>
      <c r="K256" s="117" t="str">
        <f t="shared" si="1"/>
        <v>No</v>
      </c>
      <c r="L256" s="118" t="s">
        <v>116</v>
      </c>
      <c r="M256" s="119">
        <v>2.0</v>
      </c>
      <c r="N256" s="120">
        <v>1.0</v>
      </c>
      <c r="O256" s="121">
        <v>16.67</v>
      </c>
      <c r="P256" s="117">
        <v>12.0</v>
      </c>
      <c r="Q256" s="117">
        <f t="shared" si="2"/>
        <v>36</v>
      </c>
      <c r="R256" s="122">
        <f>+(IF(((M256*24)-P256)&lt;0,0,((M256*24)-P256)*'Estimación de pérdidas'!$F$72))*N256</f>
        <v>2076410.697</v>
      </c>
      <c r="S256" s="123" t="s">
        <v>272</v>
      </c>
      <c r="T256" s="124" t="s">
        <v>132</v>
      </c>
      <c r="U256" s="124">
        <f t="shared" si="3"/>
        <v>5</v>
      </c>
      <c r="V256" s="124">
        <v>2.0</v>
      </c>
      <c r="W256" s="124">
        <v>2.0</v>
      </c>
      <c r="X256" s="125">
        <v>2.0</v>
      </c>
      <c r="Y256" s="126"/>
      <c r="Z256" s="125">
        <f t="shared" si="4"/>
        <v>5</v>
      </c>
      <c r="AA256" s="127" t="str">
        <f t="shared" si="5"/>
        <v>Moderado</v>
      </c>
      <c r="AB256" s="128">
        <f t="shared" si="6"/>
        <v>15</v>
      </c>
      <c r="AC256" s="129">
        <f t="shared" si="7"/>
        <v>0.1088117641</v>
      </c>
      <c r="AD256" s="131"/>
    </row>
    <row r="257" ht="14.25" hidden="1" customHeight="1">
      <c r="A257" s="116" t="s">
        <v>927</v>
      </c>
      <c r="B257" s="117" t="s">
        <v>978</v>
      </c>
      <c r="C257" s="117" t="s">
        <v>979</v>
      </c>
      <c r="D257" s="117" t="s">
        <v>980</v>
      </c>
      <c r="E257" s="117" t="s">
        <v>979</v>
      </c>
      <c r="F257" s="117" t="s">
        <v>981</v>
      </c>
      <c r="G257" s="117" t="s">
        <v>211</v>
      </c>
      <c r="H257" s="117" t="s">
        <v>212</v>
      </c>
      <c r="I257" s="117">
        <v>1.0</v>
      </c>
      <c r="J257" s="117">
        <v>1.0</v>
      </c>
      <c r="K257" s="117" t="str">
        <f t="shared" si="1"/>
        <v>No</v>
      </c>
      <c r="L257" s="118" t="s">
        <v>116</v>
      </c>
      <c r="M257" s="119">
        <v>0.5</v>
      </c>
      <c r="N257" s="120">
        <v>1.0</v>
      </c>
      <c r="O257" s="121">
        <v>46.0</v>
      </c>
      <c r="P257" s="117">
        <v>6.0</v>
      </c>
      <c r="Q257" s="117">
        <f t="shared" si="2"/>
        <v>6</v>
      </c>
      <c r="R257" s="122">
        <f>+(IF(((M257*24)-P257)&lt;0,0,((M257*24)-P257)*'Estimación de pérdidas'!$F$72))*N257</f>
        <v>346068.4495</v>
      </c>
      <c r="S257" s="123" t="s">
        <v>117</v>
      </c>
      <c r="T257" s="124" t="s">
        <v>132</v>
      </c>
      <c r="U257" s="124">
        <f t="shared" si="3"/>
        <v>3</v>
      </c>
      <c r="V257" s="124">
        <v>1.0</v>
      </c>
      <c r="W257" s="124"/>
      <c r="X257" s="125"/>
      <c r="Y257" s="126"/>
      <c r="Z257" s="125">
        <f t="shared" si="4"/>
        <v>3</v>
      </c>
      <c r="AA257" s="127" t="str">
        <f t="shared" si="5"/>
        <v>Bajo</v>
      </c>
      <c r="AB257" s="128">
        <f t="shared" si="6"/>
        <v>6</v>
      </c>
      <c r="AC257" s="129">
        <f t="shared" si="7"/>
        <v>0.05656854249</v>
      </c>
    </row>
    <row r="258" ht="14.25" hidden="1" customHeight="1">
      <c r="A258" s="116" t="s">
        <v>927</v>
      </c>
      <c r="B258" s="117" t="s">
        <v>928</v>
      </c>
      <c r="C258" s="117" t="s">
        <v>982</v>
      </c>
      <c r="D258" s="117" t="s">
        <v>983</v>
      </c>
      <c r="E258" s="117" t="s">
        <v>982</v>
      </c>
      <c r="F258" s="117" t="s">
        <v>984</v>
      </c>
      <c r="G258" s="117" t="s">
        <v>840</v>
      </c>
      <c r="H258" s="117" t="s">
        <v>985</v>
      </c>
      <c r="I258" s="117">
        <v>1.0</v>
      </c>
      <c r="J258" s="117">
        <v>1.0</v>
      </c>
      <c r="K258" s="117" t="str">
        <f t="shared" si="1"/>
        <v>No</v>
      </c>
      <c r="L258" s="118" t="s">
        <v>116</v>
      </c>
      <c r="M258" s="119">
        <v>1.0</v>
      </c>
      <c r="N258" s="120">
        <v>1.0</v>
      </c>
      <c r="O258" s="121">
        <v>16.67</v>
      </c>
      <c r="P258" s="117">
        <v>12.0</v>
      </c>
      <c r="Q258" s="117">
        <f t="shared" si="2"/>
        <v>12</v>
      </c>
      <c r="R258" s="122">
        <f>+(IF(((M258*24)-P258)&lt;0,0,((M258*24)-P258)*'Estimación de pérdidas'!$F$72))*N258</f>
        <v>692136.899</v>
      </c>
      <c r="S258" s="123" t="s">
        <v>272</v>
      </c>
      <c r="T258" s="124" t="s">
        <v>132</v>
      </c>
      <c r="U258" s="124">
        <f t="shared" si="3"/>
        <v>4</v>
      </c>
      <c r="V258" s="124">
        <v>1.0</v>
      </c>
      <c r="W258" s="124">
        <v>2.0</v>
      </c>
      <c r="X258" s="125">
        <v>2.0</v>
      </c>
      <c r="Y258" s="126"/>
      <c r="Z258" s="125">
        <f t="shared" si="4"/>
        <v>4</v>
      </c>
      <c r="AA258" s="127" t="str">
        <f t="shared" si="5"/>
        <v>Moderado</v>
      </c>
      <c r="AB258" s="128">
        <f t="shared" si="6"/>
        <v>10</v>
      </c>
      <c r="AC258" s="129">
        <f t="shared" si="7"/>
        <v>0.0894427191</v>
      </c>
      <c r="AD258" s="130"/>
    </row>
    <row r="259" ht="14.25" hidden="1" customHeight="1">
      <c r="A259" s="116" t="s">
        <v>927</v>
      </c>
      <c r="B259" s="117" t="s">
        <v>978</v>
      </c>
      <c r="C259" s="117" t="s">
        <v>986</v>
      </c>
      <c r="D259" s="117" t="s">
        <v>987</v>
      </c>
      <c r="E259" s="117" t="s">
        <v>986</v>
      </c>
      <c r="F259" s="117" t="s">
        <v>988</v>
      </c>
      <c r="G259" s="117" t="s">
        <v>989</v>
      </c>
      <c r="H259" s="117" t="s">
        <v>990</v>
      </c>
      <c r="I259" s="117">
        <v>1.0</v>
      </c>
      <c r="J259" s="117">
        <v>1.0</v>
      </c>
      <c r="K259" s="117" t="str">
        <f t="shared" si="1"/>
        <v>No</v>
      </c>
      <c r="L259" s="118" t="s">
        <v>116</v>
      </c>
      <c r="M259" s="119">
        <v>0.75</v>
      </c>
      <c r="N259" s="120">
        <v>1.0</v>
      </c>
      <c r="O259" s="121">
        <v>90.0</v>
      </c>
      <c r="P259" s="117">
        <v>2.0</v>
      </c>
      <c r="Q259" s="117">
        <f t="shared" si="2"/>
        <v>16</v>
      </c>
      <c r="R259" s="122">
        <f>+(IF(((M259*24)-P259)&lt;0,0,((M259*24)-P259)*'Estimación de pérdidas'!$F$72))*N259</f>
        <v>922849.1986</v>
      </c>
      <c r="S259" s="123" t="s">
        <v>117</v>
      </c>
      <c r="T259" s="124" t="s">
        <v>119</v>
      </c>
      <c r="U259" s="124">
        <f t="shared" si="3"/>
        <v>4</v>
      </c>
      <c r="V259" s="124">
        <v>1.0</v>
      </c>
      <c r="W259" s="124"/>
      <c r="X259" s="125"/>
      <c r="Y259" s="126"/>
      <c r="Z259" s="125">
        <f t="shared" si="4"/>
        <v>4</v>
      </c>
      <c r="AA259" s="127" t="str">
        <f t="shared" si="5"/>
        <v>Moderado</v>
      </c>
      <c r="AB259" s="128">
        <f t="shared" si="6"/>
        <v>18</v>
      </c>
      <c r="AC259" s="129">
        <f t="shared" si="7"/>
        <v>0.221269067</v>
      </c>
      <c r="AD259" s="130"/>
    </row>
    <row r="260" ht="14.25" hidden="1" customHeight="1">
      <c r="A260" s="116" t="s">
        <v>927</v>
      </c>
      <c r="B260" s="117" t="s">
        <v>978</v>
      </c>
      <c r="C260" s="117" t="s">
        <v>991</v>
      </c>
      <c r="D260" s="117" t="s">
        <v>992</v>
      </c>
      <c r="E260" s="117" t="s">
        <v>993</v>
      </c>
      <c r="F260" s="117" t="s">
        <v>994</v>
      </c>
      <c r="G260" s="117" t="s">
        <v>995</v>
      </c>
      <c r="H260" s="117" t="s">
        <v>996</v>
      </c>
      <c r="I260" s="117">
        <v>1.0</v>
      </c>
      <c r="J260" s="117">
        <v>1.0</v>
      </c>
      <c r="K260" s="117" t="str">
        <f t="shared" si="1"/>
        <v>No</v>
      </c>
      <c r="L260" s="118" t="s">
        <v>116</v>
      </c>
      <c r="M260" s="119">
        <v>0.25</v>
      </c>
      <c r="N260" s="120">
        <v>1.0</v>
      </c>
      <c r="O260" s="121">
        <v>70.50041666666668</v>
      </c>
      <c r="P260" s="117">
        <v>6.0</v>
      </c>
      <c r="Q260" s="117">
        <f t="shared" si="2"/>
        <v>0</v>
      </c>
      <c r="R260" s="122">
        <f>+(IF(((M260*24)-P260)&lt;0,0,((M260*24)-P260)*'Estimación de pérdidas'!$F$72))*N260</f>
        <v>0</v>
      </c>
      <c r="S260" s="123" t="s">
        <v>117</v>
      </c>
      <c r="T260" s="124" t="s">
        <v>106</v>
      </c>
      <c r="U260" s="124">
        <f t="shared" si="3"/>
        <v>1</v>
      </c>
      <c r="V260" s="124">
        <v>1.0</v>
      </c>
      <c r="W260" s="124"/>
      <c r="X260" s="125"/>
      <c r="Y260" s="126"/>
      <c r="Z260" s="125">
        <f t="shared" si="4"/>
        <v>1</v>
      </c>
      <c r="AA260" s="127" t="str">
        <f t="shared" si="5"/>
        <v>Bajo</v>
      </c>
      <c r="AB260" s="128">
        <f t="shared" si="6"/>
        <v>7</v>
      </c>
      <c r="AC260" s="129">
        <f t="shared" si="7"/>
        <v>0.1011928851</v>
      </c>
    </row>
    <row r="261" ht="14.25" hidden="1" customHeight="1">
      <c r="A261" s="116" t="s">
        <v>927</v>
      </c>
      <c r="B261" s="117" t="s">
        <v>978</v>
      </c>
      <c r="C261" s="117" t="s">
        <v>997</v>
      </c>
      <c r="D261" s="117" t="s">
        <v>998</v>
      </c>
      <c r="E261" s="117" t="s">
        <v>999</v>
      </c>
      <c r="F261" s="117" t="s">
        <v>1000</v>
      </c>
      <c r="G261" s="117" t="s">
        <v>1001</v>
      </c>
      <c r="H261" s="117" t="s">
        <v>996</v>
      </c>
      <c r="I261" s="117">
        <v>1.0</v>
      </c>
      <c r="J261" s="117">
        <v>1.0</v>
      </c>
      <c r="K261" s="117" t="str">
        <f t="shared" si="1"/>
        <v>No</v>
      </c>
      <c r="L261" s="118" t="s">
        <v>116</v>
      </c>
      <c r="M261" s="119">
        <v>0.25</v>
      </c>
      <c r="N261" s="120">
        <v>1.0</v>
      </c>
      <c r="O261" s="121">
        <v>70.50041666666668</v>
      </c>
      <c r="P261" s="117">
        <v>6.0</v>
      </c>
      <c r="Q261" s="117">
        <f t="shared" si="2"/>
        <v>0</v>
      </c>
      <c r="R261" s="122">
        <f>+(IF(((M261*24)-P261)&lt;0,0,((M261*24)-P261)*'Estimación de pérdidas'!$F$72))*N261</f>
        <v>0</v>
      </c>
      <c r="S261" s="123" t="s">
        <v>117</v>
      </c>
      <c r="T261" s="124" t="s">
        <v>106</v>
      </c>
      <c r="U261" s="124">
        <f t="shared" si="3"/>
        <v>1</v>
      </c>
      <c r="V261" s="124">
        <v>1.0</v>
      </c>
      <c r="W261" s="124"/>
      <c r="X261" s="125"/>
      <c r="Y261" s="126"/>
      <c r="Z261" s="125">
        <f t="shared" si="4"/>
        <v>1</v>
      </c>
      <c r="AA261" s="127" t="str">
        <f t="shared" si="5"/>
        <v>Bajo</v>
      </c>
      <c r="AB261" s="128">
        <f t="shared" si="6"/>
        <v>7</v>
      </c>
      <c r="AC261" s="129">
        <f t="shared" si="7"/>
        <v>0.1011928851</v>
      </c>
    </row>
    <row r="262" ht="14.25" hidden="1" customHeight="1">
      <c r="A262" s="116" t="s">
        <v>927</v>
      </c>
      <c r="B262" s="117" t="s">
        <v>978</v>
      </c>
      <c r="C262" s="117" t="s">
        <v>1002</v>
      </c>
      <c r="D262" s="117" t="s">
        <v>1003</v>
      </c>
      <c r="E262" s="117" t="s">
        <v>1004</v>
      </c>
      <c r="F262" s="117" t="s">
        <v>1005</v>
      </c>
      <c r="G262" s="117" t="s">
        <v>1001</v>
      </c>
      <c r="H262" s="117" t="s">
        <v>996</v>
      </c>
      <c r="I262" s="117">
        <v>1.0</v>
      </c>
      <c r="J262" s="117">
        <v>1.0</v>
      </c>
      <c r="K262" s="117" t="str">
        <f t="shared" si="1"/>
        <v>No</v>
      </c>
      <c r="L262" s="118" t="s">
        <v>116</v>
      </c>
      <c r="M262" s="119">
        <v>0.25</v>
      </c>
      <c r="N262" s="120">
        <v>1.0</v>
      </c>
      <c r="O262" s="121">
        <v>46.7</v>
      </c>
      <c r="P262" s="117">
        <v>6.0</v>
      </c>
      <c r="Q262" s="117">
        <f t="shared" si="2"/>
        <v>0</v>
      </c>
      <c r="R262" s="122">
        <f>+(IF(((M262*24)-P262)&lt;0,0,((M262*24)-P262)*'Estimación de pérdidas'!$F$72))*N262</f>
        <v>0</v>
      </c>
      <c r="S262" s="123" t="s">
        <v>117</v>
      </c>
      <c r="T262" s="124" t="s">
        <v>106</v>
      </c>
      <c r="U262" s="124">
        <f t="shared" si="3"/>
        <v>1</v>
      </c>
      <c r="V262" s="124">
        <v>1.0</v>
      </c>
      <c r="W262" s="124"/>
      <c r="X262" s="125"/>
      <c r="Y262" s="126"/>
      <c r="Z262" s="125">
        <f t="shared" si="4"/>
        <v>1</v>
      </c>
      <c r="AA262" s="127" t="str">
        <f t="shared" si="5"/>
        <v>Bajo</v>
      </c>
      <c r="AB262" s="128">
        <f t="shared" si="6"/>
        <v>7</v>
      </c>
      <c r="AC262" s="129">
        <f t="shared" si="7"/>
        <v>0.1011928851</v>
      </c>
    </row>
    <row r="263" ht="14.25" hidden="1" customHeight="1">
      <c r="A263" s="116" t="s">
        <v>927</v>
      </c>
      <c r="B263" s="117" t="s">
        <v>978</v>
      </c>
      <c r="C263" s="117" t="s">
        <v>1006</v>
      </c>
      <c r="D263" s="117" t="s">
        <v>1007</v>
      </c>
      <c r="E263" s="117" t="s">
        <v>1006</v>
      </c>
      <c r="F263" s="117" t="s">
        <v>1008</v>
      </c>
      <c r="G263" s="117" t="s">
        <v>205</v>
      </c>
      <c r="H263" s="117" t="s">
        <v>700</v>
      </c>
      <c r="I263" s="117">
        <v>1.0</v>
      </c>
      <c r="J263" s="117">
        <v>1.0</v>
      </c>
      <c r="K263" s="117" t="str">
        <f t="shared" si="1"/>
        <v>No</v>
      </c>
      <c r="L263" s="118" t="s">
        <v>116</v>
      </c>
      <c r="M263" s="119">
        <v>0.33</v>
      </c>
      <c r="N263" s="120">
        <v>0.0</v>
      </c>
      <c r="O263" s="121">
        <v>6.94</v>
      </c>
      <c r="P263" s="117">
        <v>21.335676741130094</v>
      </c>
      <c r="Q263" s="117">
        <f t="shared" si="2"/>
        <v>0</v>
      </c>
      <c r="R263" s="122">
        <f>+(IF(((M263*24)-P263)&lt;0,0,((M263*24)-P263)*'Estimación de pérdidas'!$F$72))*N263</f>
        <v>0</v>
      </c>
      <c r="S263" s="123" t="s">
        <v>117</v>
      </c>
      <c r="T263" s="124" t="s">
        <v>119</v>
      </c>
      <c r="U263" s="124">
        <f t="shared" si="3"/>
        <v>1</v>
      </c>
      <c r="V263" s="124">
        <v>1.0</v>
      </c>
      <c r="W263" s="124"/>
      <c r="X263" s="125"/>
      <c r="Y263" s="126"/>
      <c r="Z263" s="125">
        <f t="shared" si="4"/>
        <v>1</v>
      </c>
      <c r="AA263" s="127" t="str">
        <f t="shared" si="5"/>
        <v>Bajo</v>
      </c>
      <c r="AB263" s="128">
        <f t="shared" si="6"/>
        <v>4</v>
      </c>
      <c r="AC263" s="129">
        <f t="shared" si="7"/>
        <v>0.07589466384</v>
      </c>
    </row>
    <row r="264" ht="14.25" hidden="1" customHeight="1">
      <c r="A264" s="116" t="s">
        <v>927</v>
      </c>
      <c r="B264" s="117" t="s">
        <v>978</v>
      </c>
      <c r="C264" s="117" t="s">
        <v>1009</v>
      </c>
      <c r="D264" s="117" t="s">
        <v>1010</v>
      </c>
      <c r="E264" s="117" t="s">
        <v>1009</v>
      </c>
      <c r="F264" s="117" t="s">
        <v>1011</v>
      </c>
      <c r="G264" s="117" t="s">
        <v>205</v>
      </c>
      <c r="H264" s="117" t="s">
        <v>932</v>
      </c>
      <c r="I264" s="117">
        <v>1.0</v>
      </c>
      <c r="J264" s="117">
        <v>1.0</v>
      </c>
      <c r="K264" s="117" t="str">
        <f t="shared" si="1"/>
        <v>No</v>
      </c>
      <c r="L264" s="118" t="s">
        <v>116</v>
      </c>
      <c r="M264" s="119">
        <v>0.25</v>
      </c>
      <c r="N264" s="120">
        <v>1.0</v>
      </c>
      <c r="O264" s="121">
        <v>45.50041666666667</v>
      </c>
      <c r="P264" s="117">
        <v>12.0</v>
      </c>
      <c r="Q264" s="117">
        <f t="shared" si="2"/>
        <v>0</v>
      </c>
      <c r="R264" s="122">
        <f>+(IF(((M264*24)-P264)&lt;0,0,((M264*24)-P264)*'Estimación de pérdidas'!$F$72))*N264</f>
        <v>0</v>
      </c>
      <c r="S264" s="123" t="s">
        <v>117</v>
      </c>
      <c r="T264" s="124" t="s">
        <v>106</v>
      </c>
      <c r="U264" s="124">
        <f t="shared" si="3"/>
        <v>1</v>
      </c>
      <c r="V264" s="124">
        <v>1.0</v>
      </c>
      <c r="W264" s="124"/>
      <c r="X264" s="125"/>
      <c r="Y264" s="126"/>
      <c r="Z264" s="125">
        <f t="shared" si="4"/>
        <v>1</v>
      </c>
      <c r="AA264" s="127" t="str">
        <f t="shared" si="5"/>
        <v>Bajo</v>
      </c>
      <c r="AB264" s="128">
        <f t="shared" si="6"/>
        <v>7</v>
      </c>
      <c r="AC264" s="129">
        <f t="shared" si="7"/>
        <v>0.1011928851</v>
      </c>
    </row>
    <row r="265" ht="14.25" hidden="1" customHeight="1">
      <c r="A265" s="116" t="s">
        <v>927</v>
      </c>
      <c r="B265" s="117" t="s">
        <v>978</v>
      </c>
      <c r="C265" s="117" t="s">
        <v>1012</v>
      </c>
      <c r="D265" s="117" t="s">
        <v>1013</v>
      </c>
      <c r="E265" s="117" t="s">
        <v>1014</v>
      </c>
      <c r="F265" s="117" t="s">
        <v>1015</v>
      </c>
      <c r="G265" s="117" t="s">
        <v>205</v>
      </c>
      <c r="H265" s="117" t="s">
        <v>932</v>
      </c>
      <c r="I265" s="117">
        <v>1.0</v>
      </c>
      <c r="J265" s="117">
        <v>1.0</v>
      </c>
      <c r="K265" s="117" t="str">
        <f t="shared" si="1"/>
        <v>No</v>
      </c>
      <c r="L265" s="118" t="s">
        <v>116</v>
      </c>
      <c r="M265" s="119">
        <v>0.25</v>
      </c>
      <c r="N265" s="120">
        <v>1.0</v>
      </c>
      <c r="O265" s="121">
        <v>45.50041666666667</v>
      </c>
      <c r="P265" s="117">
        <v>12.0</v>
      </c>
      <c r="Q265" s="117">
        <f t="shared" si="2"/>
        <v>0</v>
      </c>
      <c r="R265" s="122">
        <f>+(IF(((M265*24)-P265)&lt;0,0,((M265*24)-P265)*'Estimación de pérdidas'!$F$72))*N265</f>
        <v>0</v>
      </c>
      <c r="S265" s="123" t="s">
        <v>117</v>
      </c>
      <c r="T265" s="124" t="s">
        <v>106</v>
      </c>
      <c r="U265" s="124">
        <f t="shared" si="3"/>
        <v>1</v>
      </c>
      <c r="V265" s="124">
        <v>1.0</v>
      </c>
      <c r="W265" s="124"/>
      <c r="X265" s="125"/>
      <c r="Y265" s="126"/>
      <c r="Z265" s="125">
        <f t="shared" si="4"/>
        <v>1</v>
      </c>
      <c r="AA265" s="127" t="str">
        <f t="shared" si="5"/>
        <v>Bajo</v>
      </c>
      <c r="AB265" s="128">
        <f t="shared" si="6"/>
        <v>7</v>
      </c>
      <c r="AC265" s="129">
        <f t="shared" si="7"/>
        <v>0.1011928851</v>
      </c>
    </row>
    <row r="266" ht="14.25" hidden="1" customHeight="1">
      <c r="A266" s="116" t="s">
        <v>927</v>
      </c>
      <c r="B266" s="117" t="s">
        <v>978</v>
      </c>
      <c r="C266" s="117" t="s">
        <v>1012</v>
      </c>
      <c r="D266" s="117" t="s">
        <v>1016</v>
      </c>
      <c r="E266" s="117" t="s">
        <v>1014</v>
      </c>
      <c r="F266" s="117" t="s">
        <v>1017</v>
      </c>
      <c r="G266" s="117" t="s">
        <v>205</v>
      </c>
      <c r="H266" s="117" t="s">
        <v>932</v>
      </c>
      <c r="I266" s="117">
        <v>1.0</v>
      </c>
      <c r="J266" s="117">
        <v>1.0</v>
      </c>
      <c r="K266" s="117" t="str">
        <f t="shared" si="1"/>
        <v>No</v>
      </c>
      <c r="L266" s="118" t="s">
        <v>116</v>
      </c>
      <c r="M266" s="119">
        <v>0.25</v>
      </c>
      <c r="N266" s="120">
        <v>1.0</v>
      </c>
      <c r="O266" s="121">
        <v>47.65</v>
      </c>
      <c r="P266" s="117">
        <v>12.0</v>
      </c>
      <c r="Q266" s="117">
        <f t="shared" si="2"/>
        <v>0</v>
      </c>
      <c r="R266" s="122">
        <f>+(IF(((M266*24)-P266)&lt;0,0,((M266*24)-P266)*'Estimación de pérdidas'!$F$72))*N266</f>
        <v>0</v>
      </c>
      <c r="S266" s="123" t="s">
        <v>117</v>
      </c>
      <c r="T266" s="124" t="s">
        <v>106</v>
      </c>
      <c r="U266" s="124">
        <f t="shared" si="3"/>
        <v>1</v>
      </c>
      <c r="V266" s="124">
        <v>1.0</v>
      </c>
      <c r="W266" s="124"/>
      <c r="X266" s="125"/>
      <c r="Y266" s="126"/>
      <c r="Z266" s="125">
        <f t="shared" si="4"/>
        <v>1</v>
      </c>
      <c r="AA266" s="127" t="str">
        <f t="shared" si="5"/>
        <v>Bajo</v>
      </c>
      <c r="AB266" s="128">
        <f t="shared" si="6"/>
        <v>7</v>
      </c>
      <c r="AC266" s="129">
        <f t="shared" si="7"/>
        <v>0.1011928851</v>
      </c>
    </row>
    <row r="267" ht="14.25" hidden="1" customHeight="1">
      <c r="A267" s="116" t="s">
        <v>927</v>
      </c>
      <c r="B267" s="117" t="s">
        <v>978</v>
      </c>
      <c r="C267" s="117" t="s">
        <v>1018</v>
      </c>
      <c r="D267" s="117" t="s">
        <v>1019</v>
      </c>
      <c r="E267" s="117" t="s">
        <v>1020</v>
      </c>
      <c r="F267" s="117" t="s">
        <v>1021</v>
      </c>
      <c r="G267" s="117" t="s">
        <v>205</v>
      </c>
      <c r="H267" s="117" t="s">
        <v>932</v>
      </c>
      <c r="I267" s="117">
        <v>1.0</v>
      </c>
      <c r="J267" s="117">
        <v>1.0</v>
      </c>
      <c r="K267" s="117" t="str">
        <f t="shared" si="1"/>
        <v>No</v>
      </c>
      <c r="L267" s="118" t="s">
        <v>116</v>
      </c>
      <c r="M267" s="119">
        <v>0.25</v>
      </c>
      <c r="N267" s="120">
        <v>1.0</v>
      </c>
      <c r="O267" s="121">
        <v>70.50041666666668</v>
      </c>
      <c r="P267" s="117">
        <v>6.0</v>
      </c>
      <c r="Q267" s="117">
        <f t="shared" si="2"/>
        <v>0</v>
      </c>
      <c r="R267" s="122">
        <f>+(IF(((M267*24)-P267)&lt;0,0,((M267*24)-P267)*'Estimación de pérdidas'!$F$72))*N267</f>
        <v>0</v>
      </c>
      <c r="S267" s="123" t="s">
        <v>117</v>
      </c>
      <c r="T267" s="124" t="s">
        <v>106</v>
      </c>
      <c r="U267" s="124">
        <f t="shared" si="3"/>
        <v>1</v>
      </c>
      <c r="V267" s="124">
        <v>1.0</v>
      </c>
      <c r="W267" s="124"/>
      <c r="X267" s="125"/>
      <c r="Y267" s="126"/>
      <c r="Z267" s="125">
        <f t="shared" si="4"/>
        <v>1</v>
      </c>
      <c r="AA267" s="127" t="str">
        <f t="shared" si="5"/>
        <v>Bajo</v>
      </c>
      <c r="AB267" s="128">
        <f t="shared" si="6"/>
        <v>7</v>
      </c>
      <c r="AC267" s="129">
        <f t="shared" si="7"/>
        <v>0.1011928851</v>
      </c>
    </row>
    <row r="268" ht="14.25" hidden="1" customHeight="1">
      <c r="A268" s="116" t="s">
        <v>403</v>
      </c>
      <c r="B268" s="117" t="s">
        <v>978</v>
      </c>
      <c r="C268" s="117" t="s">
        <v>406</v>
      </c>
      <c r="D268" s="117" t="s">
        <v>1022</v>
      </c>
      <c r="E268" s="117" t="s">
        <v>526</v>
      </c>
      <c r="F268" s="117" t="s">
        <v>907</v>
      </c>
      <c r="G268" s="117" t="s">
        <v>408</v>
      </c>
      <c r="H268" s="117" t="s">
        <v>908</v>
      </c>
      <c r="I268" s="117">
        <v>1.0</v>
      </c>
      <c r="J268" s="117">
        <v>1.0</v>
      </c>
      <c r="K268" s="117" t="str">
        <f t="shared" si="1"/>
        <v>No</v>
      </c>
      <c r="L268" s="118" t="s">
        <v>116</v>
      </c>
      <c r="M268" s="119">
        <v>0.3333333333333333</v>
      </c>
      <c r="N268" s="120">
        <v>0.0</v>
      </c>
      <c r="O268" s="121"/>
      <c r="P268" s="117">
        <v>0.0</v>
      </c>
      <c r="Q268" s="117">
        <f t="shared" si="2"/>
        <v>0</v>
      </c>
      <c r="R268" s="122">
        <f>+(IF(((M268*24)-P268)&lt;0,0,((M268*24)-P268)*'Estimación de pérdidas'!$F$72))*N268</f>
        <v>0</v>
      </c>
      <c r="S268" s="123" t="s">
        <v>272</v>
      </c>
      <c r="T268" s="124" t="s">
        <v>106</v>
      </c>
      <c r="U268" s="124">
        <f t="shared" si="3"/>
        <v>1</v>
      </c>
      <c r="V268" s="124">
        <v>1.0</v>
      </c>
      <c r="W268" s="124">
        <v>4.0</v>
      </c>
      <c r="X268" s="125"/>
      <c r="Y268" s="126"/>
      <c r="Z268" s="125">
        <f t="shared" si="4"/>
        <v>4</v>
      </c>
      <c r="AA268" s="127" t="str">
        <f t="shared" si="5"/>
        <v>Alto</v>
      </c>
      <c r="AB268" s="128">
        <f t="shared" si="6"/>
        <v>22</v>
      </c>
      <c r="AC268" s="129">
        <f t="shared" si="7"/>
        <v>0.3035786554</v>
      </c>
      <c r="AD268" s="130"/>
    </row>
    <row r="269" ht="14.25" hidden="1" customHeight="1">
      <c r="A269" s="116" t="s">
        <v>927</v>
      </c>
      <c r="B269" s="117" t="s">
        <v>978</v>
      </c>
      <c r="C269" s="117" t="s">
        <v>799</v>
      </c>
      <c r="D269" s="117" t="s">
        <v>1023</v>
      </c>
      <c r="E269" s="117" t="s">
        <v>799</v>
      </c>
      <c r="F269" s="117" t="s">
        <v>1024</v>
      </c>
      <c r="G269" s="117" t="s">
        <v>211</v>
      </c>
      <c r="H269" s="117" t="s">
        <v>1025</v>
      </c>
      <c r="I269" s="117">
        <v>1.0</v>
      </c>
      <c r="J269" s="117">
        <v>1.0</v>
      </c>
      <c r="K269" s="117" t="str">
        <f t="shared" si="1"/>
        <v>No</v>
      </c>
      <c r="L269" s="118" t="s">
        <v>116</v>
      </c>
      <c r="M269" s="119">
        <v>1.0</v>
      </c>
      <c r="N269" s="120">
        <v>1.0</v>
      </c>
      <c r="O269" s="121">
        <v>46.7</v>
      </c>
      <c r="P269" s="117">
        <v>12.0</v>
      </c>
      <c r="Q269" s="117">
        <f t="shared" si="2"/>
        <v>12</v>
      </c>
      <c r="R269" s="122">
        <f>+(IF(((M269*24)-P269)&lt;0,0,((M269*24)-P269)*'Estimación de pérdidas'!$F$72))*N269</f>
        <v>692136.899</v>
      </c>
      <c r="S269" s="123" t="s">
        <v>117</v>
      </c>
      <c r="T269" s="124" t="s">
        <v>132</v>
      </c>
      <c r="U269" s="124">
        <f t="shared" si="3"/>
        <v>4</v>
      </c>
      <c r="V269" s="124">
        <v>2.0</v>
      </c>
      <c r="W269" s="124">
        <v>2.0</v>
      </c>
      <c r="X269" s="125"/>
      <c r="Y269" s="126"/>
      <c r="Z269" s="125">
        <f t="shared" si="4"/>
        <v>4</v>
      </c>
      <c r="AA269" s="127" t="str">
        <f t="shared" si="5"/>
        <v>Moderado</v>
      </c>
      <c r="AB269" s="128">
        <f t="shared" si="6"/>
        <v>10</v>
      </c>
      <c r="AC269" s="129">
        <f t="shared" si="7"/>
        <v>0.0876356092</v>
      </c>
      <c r="AD269" s="130"/>
    </row>
    <row r="270" ht="14.25" hidden="1" customHeight="1">
      <c r="A270" s="116" t="s">
        <v>927</v>
      </c>
      <c r="B270" s="117" t="s">
        <v>978</v>
      </c>
      <c r="C270" s="117" t="s">
        <v>1026</v>
      </c>
      <c r="D270" s="117" t="s">
        <v>1027</v>
      </c>
      <c r="E270" s="117" t="s">
        <v>1028</v>
      </c>
      <c r="F270" s="117" t="s">
        <v>1029</v>
      </c>
      <c r="G270" s="117" t="s">
        <v>211</v>
      </c>
      <c r="H270" s="117" t="s">
        <v>1030</v>
      </c>
      <c r="I270" s="117">
        <v>1.0</v>
      </c>
      <c r="J270" s="117">
        <v>1.0</v>
      </c>
      <c r="K270" s="117" t="str">
        <f t="shared" si="1"/>
        <v>No</v>
      </c>
      <c r="L270" s="118" t="s">
        <v>116</v>
      </c>
      <c r="M270" s="119">
        <v>0.75</v>
      </c>
      <c r="N270" s="120">
        <v>1.0</v>
      </c>
      <c r="O270" s="121">
        <v>20.0</v>
      </c>
      <c r="P270" s="117">
        <v>12.0</v>
      </c>
      <c r="Q270" s="117">
        <f t="shared" si="2"/>
        <v>6</v>
      </c>
      <c r="R270" s="122">
        <f>+(IF(((M270*24)-P270)&lt;0,0,((M270*24)-P270)*'Estimación de pérdidas'!$F$72))*N270</f>
        <v>346068.4495</v>
      </c>
      <c r="S270" s="123" t="s">
        <v>272</v>
      </c>
      <c r="T270" s="124" t="s">
        <v>132</v>
      </c>
      <c r="U270" s="124">
        <f t="shared" si="3"/>
        <v>3</v>
      </c>
      <c r="V270" s="124">
        <v>2.0</v>
      </c>
      <c r="W270" s="124"/>
      <c r="X270" s="125">
        <v>1.0</v>
      </c>
      <c r="Y270" s="126"/>
      <c r="Z270" s="125">
        <f t="shared" si="4"/>
        <v>3</v>
      </c>
      <c r="AA270" s="127" t="str">
        <f t="shared" si="5"/>
        <v>Bajo</v>
      </c>
      <c r="AB270" s="128">
        <f t="shared" si="6"/>
        <v>6</v>
      </c>
      <c r="AC270" s="129">
        <f t="shared" si="7"/>
        <v>0.06693280212</v>
      </c>
    </row>
    <row r="271" ht="14.25" hidden="1" customHeight="1">
      <c r="A271" s="116" t="s">
        <v>927</v>
      </c>
      <c r="B271" s="117" t="s">
        <v>978</v>
      </c>
      <c r="C271" s="117" t="s">
        <v>1028</v>
      </c>
      <c r="D271" s="117" t="s">
        <v>1031</v>
      </c>
      <c r="E271" s="117" t="s">
        <v>1028</v>
      </c>
      <c r="F271" s="117" t="s">
        <v>1032</v>
      </c>
      <c r="G271" s="117" t="s">
        <v>211</v>
      </c>
      <c r="H271" s="117" t="s">
        <v>831</v>
      </c>
      <c r="I271" s="117">
        <v>1.0</v>
      </c>
      <c r="J271" s="117">
        <v>1.0</v>
      </c>
      <c r="K271" s="117" t="str">
        <f t="shared" si="1"/>
        <v>No</v>
      </c>
      <c r="L271" s="118" t="s">
        <v>116</v>
      </c>
      <c r="M271" s="119">
        <v>0.75</v>
      </c>
      <c r="N271" s="120">
        <v>1.0</v>
      </c>
      <c r="O271" s="121">
        <v>36.7</v>
      </c>
      <c r="P271" s="117">
        <v>12.0</v>
      </c>
      <c r="Q271" s="117">
        <f t="shared" si="2"/>
        <v>6</v>
      </c>
      <c r="R271" s="122">
        <f>+(IF(((M271*24)-P271)&lt;0,0,((M271*24)-P271)*'Estimación de pérdidas'!$F$72))*N271</f>
        <v>346068.4495</v>
      </c>
      <c r="S271" s="123" t="s">
        <v>117</v>
      </c>
      <c r="T271" s="124" t="s">
        <v>132</v>
      </c>
      <c r="U271" s="124">
        <f t="shared" si="3"/>
        <v>3</v>
      </c>
      <c r="V271" s="124">
        <v>2.0</v>
      </c>
      <c r="W271" s="124"/>
      <c r="X271" s="125"/>
      <c r="Y271" s="126"/>
      <c r="Z271" s="125">
        <f t="shared" si="4"/>
        <v>3</v>
      </c>
      <c r="AA271" s="127" t="str">
        <f t="shared" si="5"/>
        <v>Bajo</v>
      </c>
      <c r="AB271" s="128">
        <f t="shared" si="6"/>
        <v>6</v>
      </c>
      <c r="AC271" s="129">
        <f t="shared" si="7"/>
        <v>0.06449806199</v>
      </c>
    </row>
    <row r="272" ht="14.25" hidden="1" customHeight="1">
      <c r="A272" s="116" t="s">
        <v>927</v>
      </c>
      <c r="B272" s="117" t="s">
        <v>978</v>
      </c>
      <c r="C272" s="117" t="s">
        <v>1033</v>
      </c>
      <c r="D272" s="117" t="s">
        <v>1034</v>
      </c>
      <c r="E272" s="117" t="s">
        <v>1033</v>
      </c>
      <c r="F272" s="117" t="s">
        <v>1035</v>
      </c>
      <c r="G272" s="117" t="s">
        <v>840</v>
      </c>
      <c r="H272" s="117" t="s">
        <v>1036</v>
      </c>
      <c r="I272" s="117">
        <v>1.0</v>
      </c>
      <c r="J272" s="117">
        <v>1.0</v>
      </c>
      <c r="K272" s="117" t="str">
        <f t="shared" si="1"/>
        <v>No</v>
      </c>
      <c r="L272" s="118" t="s">
        <v>116</v>
      </c>
      <c r="M272" s="119">
        <v>1.0</v>
      </c>
      <c r="N272" s="120">
        <v>1.0</v>
      </c>
      <c r="O272" s="121">
        <v>46.0</v>
      </c>
      <c r="P272" s="117">
        <v>6.0</v>
      </c>
      <c r="Q272" s="117">
        <f t="shared" si="2"/>
        <v>18</v>
      </c>
      <c r="R272" s="122">
        <f>+(IF(((M272*24)-P272)&lt;0,0,((M272*24)-P272)*'Estimación de pérdidas'!$F$72))*N272</f>
        <v>1038205.348</v>
      </c>
      <c r="S272" s="123" t="s">
        <v>272</v>
      </c>
      <c r="T272" s="124" t="s">
        <v>132</v>
      </c>
      <c r="U272" s="124">
        <f t="shared" si="3"/>
        <v>5</v>
      </c>
      <c r="V272" s="124">
        <v>1.0</v>
      </c>
      <c r="W272" s="124">
        <v>2.0</v>
      </c>
      <c r="X272" s="125">
        <v>2.0</v>
      </c>
      <c r="Y272" s="126"/>
      <c r="Z272" s="125">
        <f t="shared" si="4"/>
        <v>5</v>
      </c>
      <c r="AA272" s="127" t="str">
        <f t="shared" si="5"/>
        <v>Moderado</v>
      </c>
      <c r="AB272" s="128">
        <f t="shared" si="6"/>
        <v>15</v>
      </c>
      <c r="AC272" s="129">
        <f t="shared" si="7"/>
        <v>0.1043072385</v>
      </c>
      <c r="AD272" s="131"/>
    </row>
    <row r="273" ht="14.25" hidden="1" customHeight="1">
      <c r="A273" s="116" t="s">
        <v>927</v>
      </c>
      <c r="B273" s="117" t="s">
        <v>1037</v>
      </c>
      <c r="C273" s="117" t="s">
        <v>1038</v>
      </c>
      <c r="D273" s="117" t="s">
        <v>1039</v>
      </c>
      <c r="E273" s="117" t="s">
        <v>1038</v>
      </c>
      <c r="F273" s="117" t="s">
        <v>1040</v>
      </c>
      <c r="G273" s="117" t="s">
        <v>551</v>
      </c>
      <c r="H273" s="117" t="s">
        <v>1041</v>
      </c>
      <c r="I273" s="117">
        <v>1.0</v>
      </c>
      <c r="J273" s="117">
        <v>1.0</v>
      </c>
      <c r="K273" s="117" t="str">
        <f t="shared" si="1"/>
        <v>No</v>
      </c>
      <c r="L273" s="118" t="s">
        <v>116</v>
      </c>
      <c r="M273" s="119">
        <v>0.3333333333333333</v>
      </c>
      <c r="N273" s="120">
        <v>1.0</v>
      </c>
      <c r="O273" s="121">
        <v>91.32</v>
      </c>
      <c r="P273" s="117">
        <v>12.0</v>
      </c>
      <c r="Q273" s="117">
        <f t="shared" si="2"/>
        <v>0</v>
      </c>
      <c r="R273" s="122">
        <f>+(IF(((M273*24)-P273)&lt;0,0,((M273*24)-P273)*'Estimación de pérdidas'!$F$72))*N273</f>
        <v>0</v>
      </c>
      <c r="S273" s="123" t="s">
        <v>272</v>
      </c>
      <c r="T273" s="124" t="s">
        <v>119</v>
      </c>
      <c r="U273" s="124">
        <f t="shared" si="3"/>
        <v>1</v>
      </c>
      <c r="V273" s="124">
        <v>1.0</v>
      </c>
      <c r="W273" s="124"/>
      <c r="X273" s="125">
        <v>3.0</v>
      </c>
      <c r="Y273" s="126"/>
      <c r="Z273" s="125">
        <f t="shared" si="4"/>
        <v>3</v>
      </c>
      <c r="AA273" s="127" t="str">
        <f t="shared" si="5"/>
        <v>Moderado</v>
      </c>
      <c r="AB273" s="128">
        <f t="shared" si="6"/>
        <v>13</v>
      </c>
      <c r="AC273" s="129">
        <f t="shared" si="7"/>
        <v>0.1779887637</v>
      </c>
    </row>
    <row r="274" ht="14.25" hidden="1" customHeight="1">
      <c r="A274" s="116" t="s">
        <v>927</v>
      </c>
      <c r="B274" s="117" t="s">
        <v>1037</v>
      </c>
      <c r="C274" s="117" t="s">
        <v>1042</v>
      </c>
      <c r="D274" s="117" t="s">
        <v>1043</v>
      </c>
      <c r="E274" s="117" t="s">
        <v>1042</v>
      </c>
      <c r="F274" s="117" t="s">
        <v>1044</v>
      </c>
      <c r="G274" s="117" t="s">
        <v>188</v>
      </c>
      <c r="H274" s="117" t="s">
        <v>606</v>
      </c>
      <c r="I274" s="117">
        <v>1.0</v>
      </c>
      <c r="J274" s="117">
        <v>1.0</v>
      </c>
      <c r="K274" s="117" t="str">
        <f t="shared" si="1"/>
        <v>No</v>
      </c>
      <c r="L274" s="118" t="s">
        <v>116</v>
      </c>
      <c r="M274" s="119">
        <v>0.5</v>
      </c>
      <c r="N274" s="120">
        <v>0.0</v>
      </c>
      <c r="O274" s="121"/>
      <c r="P274" s="117">
        <v>0.0</v>
      </c>
      <c r="Q274" s="117">
        <f t="shared" si="2"/>
        <v>0</v>
      </c>
      <c r="R274" s="122">
        <f>+(IF(((M274*24)-P274)&lt;0,0,((M274*24)-P274)*'Estimación de pérdidas'!$F$72))*N274</f>
        <v>0</v>
      </c>
      <c r="S274" s="123" t="s">
        <v>117</v>
      </c>
      <c r="T274" s="124" t="s">
        <v>118</v>
      </c>
      <c r="U274" s="124">
        <f t="shared" si="3"/>
        <v>1</v>
      </c>
      <c r="V274" s="124">
        <v>2.0</v>
      </c>
      <c r="W274" s="124">
        <v>4.0</v>
      </c>
      <c r="X274" s="125"/>
      <c r="Y274" s="126"/>
      <c r="Z274" s="125">
        <f t="shared" si="4"/>
        <v>4</v>
      </c>
      <c r="AA274" s="127" t="str">
        <f t="shared" si="5"/>
        <v>Moderado</v>
      </c>
      <c r="AB274" s="128">
        <f t="shared" si="6"/>
        <v>14</v>
      </c>
      <c r="AC274" s="129">
        <f t="shared" si="7"/>
        <v>0.1639512123</v>
      </c>
      <c r="AD274" s="130"/>
    </row>
    <row r="275" ht="14.25" hidden="1" customHeight="1">
      <c r="A275" s="116" t="s">
        <v>539</v>
      </c>
      <c r="B275" s="117" t="s">
        <v>540</v>
      </c>
      <c r="C275" s="117" t="s">
        <v>1045</v>
      </c>
      <c r="D275" s="117" t="s">
        <v>1046</v>
      </c>
      <c r="E275" s="117" t="s">
        <v>1047</v>
      </c>
      <c r="F275" s="117" t="s">
        <v>1048</v>
      </c>
      <c r="G275" s="117" t="s">
        <v>205</v>
      </c>
      <c r="H275" s="117" t="s">
        <v>1049</v>
      </c>
      <c r="I275" s="117">
        <v>1.0</v>
      </c>
      <c r="J275" s="117">
        <v>1.0</v>
      </c>
      <c r="K275" s="117" t="str">
        <f t="shared" si="1"/>
        <v>No</v>
      </c>
      <c r="L275" s="118" t="s">
        <v>116</v>
      </c>
      <c r="M275" s="119">
        <v>0.33</v>
      </c>
      <c r="N275" s="120">
        <v>0.0</v>
      </c>
      <c r="O275" s="121"/>
      <c r="P275" s="117">
        <v>0.0</v>
      </c>
      <c r="Q275" s="117">
        <f t="shared" si="2"/>
        <v>0</v>
      </c>
      <c r="R275" s="122">
        <f>+(IF(((M275*24)-P275)&lt;0,0,((M275*24)-P275)*'Estimación de pérdidas'!$F$72))*N275</f>
        <v>0</v>
      </c>
      <c r="S275" s="123" t="s">
        <v>117</v>
      </c>
      <c r="T275" s="124" t="s">
        <v>119</v>
      </c>
      <c r="U275" s="124">
        <f t="shared" si="3"/>
        <v>1</v>
      </c>
      <c r="V275" s="124">
        <v>1.0</v>
      </c>
      <c r="W275" s="124"/>
      <c r="X275" s="125"/>
      <c r="Y275" s="126"/>
      <c r="Z275" s="125">
        <f t="shared" si="4"/>
        <v>1</v>
      </c>
      <c r="AA275" s="127" t="str">
        <f t="shared" si="5"/>
        <v>Bajo</v>
      </c>
      <c r="AB275" s="128">
        <f t="shared" si="6"/>
        <v>4</v>
      </c>
      <c r="AC275" s="129">
        <f t="shared" si="7"/>
        <v>0.07589466384</v>
      </c>
    </row>
    <row r="276" ht="14.25" hidden="1" customHeight="1">
      <c r="A276" s="116" t="s">
        <v>539</v>
      </c>
      <c r="B276" s="117" t="s">
        <v>575</v>
      </c>
      <c r="C276" s="117" t="s">
        <v>1050</v>
      </c>
      <c r="D276" s="117" t="s">
        <v>1051</v>
      </c>
      <c r="E276" s="117" t="s">
        <v>1052</v>
      </c>
      <c r="F276" s="117" t="s">
        <v>1053</v>
      </c>
      <c r="G276" s="117" t="s">
        <v>270</v>
      </c>
      <c r="H276" s="117" t="s">
        <v>1054</v>
      </c>
      <c r="I276" s="117">
        <v>1.0</v>
      </c>
      <c r="J276" s="117">
        <v>1.0</v>
      </c>
      <c r="K276" s="117" t="str">
        <f t="shared" si="1"/>
        <v>No</v>
      </c>
      <c r="L276" s="118" t="s">
        <v>116</v>
      </c>
      <c r="M276" s="119">
        <v>0.3333333333333333</v>
      </c>
      <c r="N276" s="120">
        <v>1.0</v>
      </c>
      <c r="O276" s="121">
        <v>4.2</v>
      </c>
      <c r="P276" s="117">
        <v>20.892772667542705</v>
      </c>
      <c r="Q276" s="117">
        <f t="shared" si="2"/>
        <v>0</v>
      </c>
      <c r="R276" s="122">
        <f>+(IF(((M276*24)-P276)&lt;0,0,((M276*24)-P276)*'Estimación de pérdidas'!$F$72))*N276</f>
        <v>0</v>
      </c>
      <c r="S276" s="123" t="s">
        <v>117</v>
      </c>
      <c r="T276" s="124" t="s">
        <v>119</v>
      </c>
      <c r="U276" s="124">
        <f t="shared" si="3"/>
        <v>1</v>
      </c>
      <c r="V276" s="124">
        <v>1.0</v>
      </c>
      <c r="W276" s="124"/>
      <c r="X276" s="125">
        <v>2.0</v>
      </c>
      <c r="Y276" s="126"/>
      <c r="Z276" s="125">
        <f t="shared" si="4"/>
        <v>2</v>
      </c>
      <c r="AA276" s="127" t="str">
        <f t="shared" si="5"/>
        <v>Moderado</v>
      </c>
      <c r="AB276" s="128">
        <f t="shared" si="6"/>
        <v>8</v>
      </c>
      <c r="AC276" s="129">
        <f t="shared" si="7"/>
        <v>0.1314534138</v>
      </c>
      <c r="AD276" s="131"/>
    </row>
    <row r="277" ht="14.25" hidden="1" customHeight="1">
      <c r="A277" s="116" t="s">
        <v>927</v>
      </c>
      <c r="B277" s="117" t="s">
        <v>1037</v>
      </c>
      <c r="C277" s="117" t="s">
        <v>1055</v>
      </c>
      <c r="D277" s="117" t="s">
        <v>1056</v>
      </c>
      <c r="E277" s="117" t="s">
        <v>1055</v>
      </c>
      <c r="F277" s="117" t="s">
        <v>1057</v>
      </c>
      <c r="G277" s="117" t="s">
        <v>270</v>
      </c>
      <c r="H277" s="117" t="s">
        <v>1058</v>
      </c>
      <c r="I277" s="117">
        <v>1.0</v>
      </c>
      <c r="J277" s="117">
        <v>1.0</v>
      </c>
      <c r="K277" s="117" t="str">
        <f t="shared" si="1"/>
        <v>No</v>
      </c>
      <c r="L277" s="118" t="s">
        <v>116</v>
      </c>
      <c r="M277" s="119">
        <v>0.3333333333333333</v>
      </c>
      <c r="N277" s="120">
        <v>1.0</v>
      </c>
      <c r="O277" s="121">
        <v>91.32</v>
      </c>
      <c r="P277" s="117">
        <v>12.0</v>
      </c>
      <c r="Q277" s="117">
        <f t="shared" si="2"/>
        <v>0</v>
      </c>
      <c r="R277" s="122">
        <f>+(IF(((M277*24)-P277)&lt;0,0,((M277*24)-P277)*'Estimación de pérdidas'!$F$72))*N277</f>
        <v>0</v>
      </c>
      <c r="S277" s="123" t="s">
        <v>272</v>
      </c>
      <c r="T277" s="124" t="s">
        <v>119</v>
      </c>
      <c r="U277" s="124">
        <f t="shared" si="3"/>
        <v>1</v>
      </c>
      <c r="V277" s="124">
        <v>1.0</v>
      </c>
      <c r="W277" s="124"/>
      <c r="X277" s="125">
        <v>2.0</v>
      </c>
      <c r="Y277" s="126"/>
      <c r="Z277" s="125">
        <f t="shared" si="4"/>
        <v>2</v>
      </c>
      <c r="AA277" s="127" t="str">
        <f t="shared" si="5"/>
        <v>Moderado</v>
      </c>
      <c r="AB277" s="128">
        <f t="shared" si="6"/>
        <v>8</v>
      </c>
      <c r="AC277" s="129">
        <f t="shared" si="7"/>
        <v>0.1314534138</v>
      </c>
      <c r="AD277" s="131"/>
    </row>
    <row r="278" ht="14.25" hidden="1" customHeight="1">
      <c r="A278" s="116" t="s">
        <v>927</v>
      </c>
      <c r="B278" s="117" t="s">
        <v>1037</v>
      </c>
      <c r="C278" s="117" t="s">
        <v>1059</v>
      </c>
      <c r="D278" s="117" t="s">
        <v>1060</v>
      </c>
      <c r="E278" s="117" t="s">
        <v>1059</v>
      </c>
      <c r="F278" s="117" t="s">
        <v>1061</v>
      </c>
      <c r="G278" s="117" t="s">
        <v>270</v>
      </c>
      <c r="H278" s="117" t="s">
        <v>1062</v>
      </c>
      <c r="I278" s="117">
        <v>1.0</v>
      </c>
      <c r="J278" s="117">
        <v>1.0</v>
      </c>
      <c r="K278" s="117" t="str">
        <f t="shared" si="1"/>
        <v>No</v>
      </c>
      <c r="L278" s="118" t="s">
        <v>116</v>
      </c>
      <c r="M278" s="119">
        <v>0.3333333333333333</v>
      </c>
      <c r="N278" s="120">
        <v>1.0</v>
      </c>
      <c r="O278" s="121">
        <v>91.32</v>
      </c>
      <c r="P278" s="117">
        <v>12.0</v>
      </c>
      <c r="Q278" s="117">
        <f t="shared" si="2"/>
        <v>0</v>
      </c>
      <c r="R278" s="122">
        <f>+(IF(((M278*24)-P278)&lt;0,0,((M278*24)-P278)*'Estimación de pérdidas'!$F$72))*N278</f>
        <v>0</v>
      </c>
      <c r="S278" s="123" t="s">
        <v>272</v>
      </c>
      <c r="T278" s="124" t="s">
        <v>119</v>
      </c>
      <c r="U278" s="124">
        <f t="shared" si="3"/>
        <v>1</v>
      </c>
      <c r="V278" s="124">
        <v>1.0</v>
      </c>
      <c r="W278" s="124"/>
      <c r="X278" s="125">
        <v>3.0</v>
      </c>
      <c r="Y278" s="126"/>
      <c r="Z278" s="125">
        <f t="shared" si="4"/>
        <v>3</v>
      </c>
      <c r="AA278" s="127" t="str">
        <f t="shared" si="5"/>
        <v>Moderado</v>
      </c>
      <c r="AB278" s="128">
        <f t="shared" si="6"/>
        <v>13</v>
      </c>
      <c r="AC278" s="129">
        <f t="shared" si="7"/>
        <v>0.1779887637</v>
      </c>
    </row>
    <row r="279" ht="14.25" hidden="1" customHeight="1">
      <c r="A279" s="116" t="s">
        <v>927</v>
      </c>
      <c r="B279" s="117" t="s">
        <v>1037</v>
      </c>
      <c r="C279" s="117" t="s">
        <v>1063</v>
      </c>
      <c r="D279" s="117" t="s">
        <v>1064</v>
      </c>
      <c r="E279" s="117" t="s">
        <v>1063</v>
      </c>
      <c r="F279" s="117" t="s">
        <v>1065</v>
      </c>
      <c r="G279" s="117" t="s">
        <v>622</v>
      </c>
      <c r="H279" s="117" t="s">
        <v>623</v>
      </c>
      <c r="I279" s="117">
        <v>1.0</v>
      </c>
      <c r="J279" s="117">
        <v>1.0</v>
      </c>
      <c r="K279" s="117" t="str">
        <f t="shared" si="1"/>
        <v>No</v>
      </c>
      <c r="L279" s="118" t="s">
        <v>116</v>
      </c>
      <c r="M279" s="119">
        <v>0.25</v>
      </c>
      <c r="N279" s="120">
        <v>1.0</v>
      </c>
      <c r="O279" s="121">
        <v>91.32</v>
      </c>
      <c r="P279" s="117">
        <v>12.0</v>
      </c>
      <c r="Q279" s="117">
        <f t="shared" si="2"/>
        <v>0</v>
      </c>
      <c r="R279" s="122">
        <f>+(IF(((M279*24)-P279)&lt;0,0,((M279*24)-P279)*'Estimación de pérdidas'!$F$72))*N279</f>
        <v>0</v>
      </c>
      <c r="S279" s="123" t="s">
        <v>117</v>
      </c>
      <c r="T279" s="124" t="s">
        <v>119</v>
      </c>
      <c r="U279" s="124">
        <f t="shared" si="3"/>
        <v>1</v>
      </c>
      <c r="V279" s="124">
        <v>1.0</v>
      </c>
      <c r="W279" s="124"/>
      <c r="X279" s="125"/>
      <c r="Y279" s="126"/>
      <c r="Z279" s="125">
        <f t="shared" si="4"/>
        <v>1</v>
      </c>
      <c r="AA279" s="127" t="str">
        <f t="shared" si="5"/>
        <v>Bajo</v>
      </c>
      <c r="AB279" s="128">
        <f t="shared" si="6"/>
        <v>4</v>
      </c>
      <c r="AC279" s="129">
        <f t="shared" si="7"/>
        <v>0.07589466384</v>
      </c>
    </row>
    <row r="280" ht="14.25" customHeight="1">
      <c r="A280" s="116" t="s">
        <v>927</v>
      </c>
      <c r="B280" s="117" t="s">
        <v>1037</v>
      </c>
      <c r="C280" s="117" t="s">
        <v>1066</v>
      </c>
      <c r="D280" s="117" t="s">
        <v>1067</v>
      </c>
      <c r="E280" s="117" t="s">
        <v>1066</v>
      </c>
      <c r="F280" s="117" t="s">
        <v>1068</v>
      </c>
      <c r="G280" s="117" t="s">
        <v>666</v>
      </c>
      <c r="H280" s="117" t="s">
        <v>667</v>
      </c>
      <c r="I280" s="117">
        <v>1.0</v>
      </c>
      <c r="J280" s="117">
        <v>1.0</v>
      </c>
      <c r="K280" s="117" t="str">
        <f t="shared" si="1"/>
        <v>No</v>
      </c>
      <c r="L280" s="118" t="s">
        <v>116</v>
      </c>
      <c r="M280" s="119">
        <v>0.4166666666666667</v>
      </c>
      <c r="N280" s="120">
        <v>1.0</v>
      </c>
      <c r="O280" s="121">
        <v>0.01</v>
      </c>
      <c r="P280" s="117">
        <v>21.8976018396846</v>
      </c>
      <c r="Q280" s="117">
        <f t="shared" si="2"/>
        <v>0</v>
      </c>
      <c r="R280" s="122">
        <f>+(IF(((M280*24)-P280)&lt;0,0,((M280*24)-P280)*'Estimación de pérdidas'!$F$72))*N280</f>
        <v>0</v>
      </c>
      <c r="S280" s="123" t="s">
        <v>117</v>
      </c>
      <c r="T280" s="124" t="s">
        <v>119</v>
      </c>
      <c r="U280" s="124">
        <f t="shared" si="3"/>
        <v>1</v>
      </c>
      <c r="V280" s="124">
        <v>1.0</v>
      </c>
      <c r="W280" s="124"/>
      <c r="X280" s="125"/>
      <c r="Y280" s="126"/>
      <c r="Z280" s="125">
        <f t="shared" si="4"/>
        <v>1</v>
      </c>
      <c r="AA280" s="127" t="str">
        <f t="shared" si="5"/>
        <v>Bajo</v>
      </c>
      <c r="AB280" s="128">
        <f t="shared" si="6"/>
        <v>4</v>
      </c>
      <c r="AC280" s="129">
        <f t="shared" si="7"/>
        <v>0.07589466384</v>
      </c>
    </row>
    <row r="281" ht="14.25" hidden="1" customHeight="1">
      <c r="A281" s="116" t="s">
        <v>927</v>
      </c>
      <c r="B281" s="117" t="s">
        <v>1037</v>
      </c>
      <c r="C281" s="117" t="s">
        <v>1069</v>
      </c>
      <c r="D281" s="117" t="s">
        <v>1070</v>
      </c>
      <c r="E281" s="117" t="s">
        <v>1069</v>
      </c>
      <c r="F281" s="117" t="s">
        <v>1071</v>
      </c>
      <c r="G281" s="117" t="s">
        <v>1001</v>
      </c>
      <c r="H281" s="117" t="s">
        <v>1072</v>
      </c>
      <c r="I281" s="117">
        <v>1.0</v>
      </c>
      <c r="J281" s="117">
        <v>1.0</v>
      </c>
      <c r="K281" s="117" t="str">
        <f t="shared" si="1"/>
        <v>No</v>
      </c>
      <c r="L281" s="118" t="s">
        <v>116</v>
      </c>
      <c r="M281" s="119">
        <v>0.25</v>
      </c>
      <c r="N281" s="120">
        <v>1.0</v>
      </c>
      <c r="O281" s="121">
        <v>91.32</v>
      </c>
      <c r="P281" s="117">
        <v>12.0</v>
      </c>
      <c r="Q281" s="117">
        <f t="shared" si="2"/>
        <v>0</v>
      </c>
      <c r="R281" s="122">
        <f>+(IF(((M281*24)-P281)&lt;0,0,((M281*24)-P281)*'Estimación de pérdidas'!$F$72))*N281</f>
        <v>0</v>
      </c>
      <c r="S281" s="123" t="s">
        <v>272</v>
      </c>
      <c r="T281" s="124" t="s">
        <v>118</v>
      </c>
      <c r="U281" s="124">
        <f t="shared" si="3"/>
        <v>1</v>
      </c>
      <c r="V281" s="124">
        <v>1.0</v>
      </c>
      <c r="W281" s="124"/>
      <c r="X281" s="125">
        <v>3.0</v>
      </c>
      <c r="Y281" s="126"/>
      <c r="Z281" s="125">
        <f t="shared" si="4"/>
        <v>3</v>
      </c>
      <c r="AA281" s="127" t="str">
        <f t="shared" si="5"/>
        <v>Moderado</v>
      </c>
      <c r="AB281" s="128">
        <f t="shared" si="6"/>
        <v>9</v>
      </c>
      <c r="AC281" s="129">
        <f t="shared" si="7"/>
        <v>0.1186591758</v>
      </c>
    </row>
    <row r="282" ht="14.25" hidden="1" customHeight="1">
      <c r="A282" s="116" t="s">
        <v>927</v>
      </c>
      <c r="B282" s="117" t="s">
        <v>1037</v>
      </c>
      <c r="C282" s="117" t="s">
        <v>1073</v>
      </c>
      <c r="D282" s="117" t="s">
        <v>1074</v>
      </c>
      <c r="E282" s="117" t="s">
        <v>1073</v>
      </c>
      <c r="F282" s="117" t="s">
        <v>1075</v>
      </c>
      <c r="G282" s="117" t="s">
        <v>165</v>
      </c>
      <c r="H282" s="117" t="s">
        <v>353</v>
      </c>
      <c r="I282" s="117">
        <v>1.0</v>
      </c>
      <c r="J282" s="117">
        <v>1.0</v>
      </c>
      <c r="K282" s="117" t="str">
        <f t="shared" si="1"/>
        <v>No</v>
      </c>
      <c r="L282" s="118" t="s">
        <v>116</v>
      </c>
      <c r="M282" s="119">
        <v>0.3333333333333333</v>
      </c>
      <c r="N282" s="120">
        <v>1.0</v>
      </c>
      <c r="O282" s="121">
        <v>91.32</v>
      </c>
      <c r="P282" s="117">
        <v>12.0</v>
      </c>
      <c r="Q282" s="117">
        <f t="shared" si="2"/>
        <v>0</v>
      </c>
      <c r="R282" s="122">
        <f>+(IF(((M282*24)-P282)&lt;0,0,((M282*24)-P282)*'Estimación de pérdidas'!$F$72))*N282</f>
        <v>0</v>
      </c>
      <c r="S282" s="123" t="s">
        <v>117</v>
      </c>
      <c r="T282" s="124" t="s">
        <v>118</v>
      </c>
      <c r="U282" s="124">
        <f t="shared" si="3"/>
        <v>1</v>
      </c>
      <c r="V282" s="124">
        <v>1.0</v>
      </c>
      <c r="W282" s="124"/>
      <c r="X282" s="125"/>
      <c r="Y282" s="126"/>
      <c r="Z282" s="125">
        <f t="shared" si="4"/>
        <v>1</v>
      </c>
      <c r="AA282" s="127" t="str">
        <f t="shared" si="5"/>
        <v>Bajo</v>
      </c>
      <c r="AB282" s="128">
        <f t="shared" si="6"/>
        <v>2</v>
      </c>
      <c r="AC282" s="129">
        <f t="shared" si="7"/>
        <v>0.05059644256</v>
      </c>
    </row>
    <row r="283" ht="14.25" hidden="1" customHeight="1">
      <c r="A283" s="116" t="s">
        <v>927</v>
      </c>
      <c r="B283" s="117" t="s">
        <v>1037</v>
      </c>
      <c r="C283" s="117" t="s">
        <v>1076</v>
      </c>
      <c r="D283" s="117" t="s">
        <v>1077</v>
      </c>
      <c r="E283" s="117" t="s">
        <v>1076</v>
      </c>
      <c r="F283" s="117" t="s">
        <v>1078</v>
      </c>
      <c r="G283" s="117" t="s">
        <v>165</v>
      </c>
      <c r="H283" s="117" t="s">
        <v>353</v>
      </c>
      <c r="I283" s="117">
        <v>1.0</v>
      </c>
      <c r="J283" s="117">
        <v>1.0</v>
      </c>
      <c r="K283" s="117" t="str">
        <f t="shared" si="1"/>
        <v>No</v>
      </c>
      <c r="L283" s="118" t="s">
        <v>116</v>
      </c>
      <c r="M283" s="119">
        <v>0.3333333333333333</v>
      </c>
      <c r="N283" s="120">
        <v>1.0</v>
      </c>
      <c r="O283" s="121">
        <v>4.17</v>
      </c>
      <c r="P283" s="117">
        <v>21.897601839684626</v>
      </c>
      <c r="Q283" s="117">
        <f t="shared" si="2"/>
        <v>0</v>
      </c>
      <c r="R283" s="122">
        <f>+(IF(((M283*24)-P283)&lt;0,0,((M283*24)-P283)*'Estimación de pérdidas'!$F$72))*N283</f>
        <v>0</v>
      </c>
      <c r="S283" s="123" t="s">
        <v>117</v>
      </c>
      <c r="T283" s="124" t="s">
        <v>118</v>
      </c>
      <c r="U283" s="124">
        <f t="shared" si="3"/>
        <v>1</v>
      </c>
      <c r="V283" s="124">
        <v>1.0</v>
      </c>
      <c r="W283" s="124"/>
      <c r="X283" s="125"/>
      <c r="Y283" s="126"/>
      <c r="Z283" s="125">
        <f t="shared" si="4"/>
        <v>1</v>
      </c>
      <c r="AA283" s="127" t="str">
        <f t="shared" si="5"/>
        <v>Bajo</v>
      </c>
      <c r="AB283" s="128">
        <f t="shared" si="6"/>
        <v>2</v>
      </c>
      <c r="AC283" s="129">
        <f t="shared" si="7"/>
        <v>0.05059644256</v>
      </c>
    </row>
    <row r="284" ht="14.25" hidden="1" customHeight="1">
      <c r="A284" s="116" t="s">
        <v>927</v>
      </c>
      <c r="B284" s="117" t="s">
        <v>1037</v>
      </c>
      <c r="C284" s="117" t="s">
        <v>1079</v>
      </c>
      <c r="D284" s="117" t="s">
        <v>1080</v>
      </c>
      <c r="E284" s="117" t="s">
        <v>1079</v>
      </c>
      <c r="F284" s="117" t="s">
        <v>1081</v>
      </c>
      <c r="G284" s="117" t="s">
        <v>179</v>
      </c>
      <c r="H284" s="117" t="s">
        <v>1082</v>
      </c>
      <c r="I284" s="117">
        <v>1.0</v>
      </c>
      <c r="J284" s="117">
        <v>1.0</v>
      </c>
      <c r="K284" s="117" t="str">
        <f t="shared" si="1"/>
        <v>No</v>
      </c>
      <c r="L284" s="118" t="s">
        <v>116</v>
      </c>
      <c r="M284" s="119">
        <v>0.3333333333333333</v>
      </c>
      <c r="N284" s="120">
        <v>1.0</v>
      </c>
      <c r="O284" s="121">
        <v>33.3</v>
      </c>
      <c r="P284" s="117">
        <v>16.0</v>
      </c>
      <c r="Q284" s="117">
        <f t="shared" si="2"/>
        <v>0</v>
      </c>
      <c r="R284" s="122">
        <f>+(IF(((M284*24)-P284)&lt;0,0,((M284*24)-P284)*'Estimación de pérdidas'!$F$72))*N284</f>
        <v>0</v>
      </c>
      <c r="S284" s="123" t="s">
        <v>117</v>
      </c>
      <c r="T284" s="124" t="s">
        <v>106</v>
      </c>
      <c r="U284" s="124">
        <f t="shared" si="3"/>
        <v>1</v>
      </c>
      <c r="V284" s="124">
        <v>1.0</v>
      </c>
      <c r="W284" s="124"/>
      <c r="X284" s="125"/>
      <c r="Y284" s="126"/>
      <c r="Z284" s="125">
        <f t="shared" si="4"/>
        <v>1</v>
      </c>
      <c r="AA284" s="127" t="str">
        <f t="shared" si="5"/>
        <v>Bajo</v>
      </c>
      <c r="AB284" s="128">
        <f t="shared" si="6"/>
        <v>7</v>
      </c>
      <c r="AC284" s="129">
        <f t="shared" si="7"/>
        <v>0.1011928851</v>
      </c>
    </row>
    <row r="285" ht="14.25" hidden="1" customHeight="1">
      <c r="A285" s="116" t="s">
        <v>927</v>
      </c>
      <c r="B285" s="117" t="s">
        <v>1037</v>
      </c>
      <c r="C285" s="117" t="s">
        <v>1083</v>
      </c>
      <c r="D285" s="117" t="s">
        <v>1084</v>
      </c>
      <c r="E285" s="117" t="s">
        <v>1083</v>
      </c>
      <c r="F285" s="117" t="s">
        <v>1085</v>
      </c>
      <c r="G285" s="117" t="s">
        <v>1086</v>
      </c>
      <c r="H285" s="117" t="s">
        <v>1087</v>
      </c>
      <c r="I285" s="117">
        <v>1.0</v>
      </c>
      <c r="J285" s="117">
        <v>1.0</v>
      </c>
      <c r="K285" s="117" t="str">
        <f t="shared" si="1"/>
        <v>No</v>
      </c>
      <c r="L285" s="118" t="s">
        <v>116</v>
      </c>
      <c r="M285" s="119">
        <v>0.5</v>
      </c>
      <c r="N285" s="120">
        <v>1.0</v>
      </c>
      <c r="O285" s="121">
        <v>91.32</v>
      </c>
      <c r="P285" s="117">
        <v>12.0</v>
      </c>
      <c r="Q285" s="117">
        <f t="shared" si="2"/>
        <v>0</v>
      </c>
      <c r="R285" s="122">
        <f>+(IF(((M285*24)-P285)&lt;0,0,((M285*24)-P285)*'Estimación de pérdidas'!$F$72))*N285</f>
        <v>0</v>
      </c>
      <c r="S285" s="123" t="s">
        <v>117</v>
      </c>
      <c r="T285" s="124" t="s">
        <v>119</v>
      </c>
      <c r="U285" s="124">
        <f t="shared" si="3"/>
        <v>1</v>
      </c>
      <c r="V285" s="124">
        <v>2.0</v>
      </c>
      <c r="W285" s="124"/>
      <c r="X285" s="125"/>
      <c r="Y285" s="126"/>
      <c r="Z285" s="125">
        <f t="shared" si="4"/>
        <v>2</v>
      </c>
      <c r="AA285" s="127" t="str">
        <f t="shared" si="5"/>
        <v>Moderado</v>
      </c>
      <c r="AB285" s="128">
        <f t="shared" si="6"/>
        <v>8</v>
      </c>
      <c r="AC285" s="129">
        <f t="shared" si="7"/>
        <v>0.12</v>
      </c>
      <c r="AD285" s="131"/>
    </row>
    <row r="286" ht="14.25" hidden="1" customHeight="1">
      <c r="A286" s="116" t="s">
        <v>927</v>
      </c>
      <c r="B286" s="117" t="s">
        <v>1037</v>
      </c>
      <c r="C286" s="117" t="s">
        <v>873</v>
      </c>
      <c r="D286" s="117" t="s">
        <v>1088</v>
      </c>
      <c r="E286" s="117" t="s">
        <v>873</v>
      </c>
      <c r="F286" s="117" t="s">
        <v>1089</v>
      </c>
      <c r="G286" s="117" t="s">
        <v>205</v>
      </c>
      <c r="H286" s="117" t="s">
        <v>932</v>
      </c>
      <c r="I286" s="117">
        <v>1.0</v>
      </c>
      <c r="J286" s="117">
        <v>1.0</v>
      </c>
      <c r="K286" s="117" t="str">
        <f t="shared" si="1"/>
        <v>No</v>
      </c>
      <c r="L286" s="118" t="s">
        <v>116</v>
      </c>
      <c r="M286" s="119">
        <v>0.25</v>
      </c>
      <c r="N286" s="120">
        <v>1.0</v>
      </c>
      <c r="O286" s="121">
        <v>12.5</v>
      </c>
      <c r="P286" s="117">
        <v>20.002299605781864</v>
      </c>
      <c r="Q286" s="117">
        <f t="shared" si="2"/>
        <v>0</v>
      </c>
      <c r="R286" s="122">
        <f>+(IF(((M286*24)-P286)&lt;0,0,((M286*24)-P286)*'Estimación de pérdidas'!$F$72))*N286</f>
        <v>0</v>
      </c>
      <c r="S286" s="123" t="s">
        <v>117</v>
      </c>
      <c r="T286" s="124" t="s">
        <v>106</v>
      </c>
      <c r="U286" s="124">
        <f t="shared" si="3"/>
        <v>1</v>
      </c>
      <c r="V286" s="124">
        <v>1.0</v>
      </c>
      <c r="W286" s="124"/>
      <c r="X286" s="125"/>
      <c r="Y286" s="126"/>
      <c r="Z286" s="125">
        <f t="shared" si="4"/>
        <v>1</v>
      </c>
      <c r="AA286" s="127" t="str">
        <f t="shared" si="5"/>
        <v>Bajo</v>
      </c>
      <c r="AB286" s="128">
        <f t="shared" si="6"/>
        <v>7</v>
      </c>
      <c r="AC286" s="129">
        <f t="shared" si="7"/>
        <v>0.1011928851</v>
      </c>
    </row>
    <row r="287" ht="14.25" hidden="1" customHeight="1">
      <c r="A287" s="116" t="s">
        <v>927</v>
      </c>
      <c r="B287" s="117" t="s">
        <v>1037</v>
      </c>
      <c r="C287" s="117" t="s">
        <v>1090</v>
      </c>
      <c r="D287" s="117" t="s">
        <v>1091</v>
      </c>
      <c r="E287" s="117" t="s">
        <v>1090</v>
      </c>
      <c r="F287" s="117" t="s">
        <v>1092</v>
      </c>
      <c r="G287" s="117" t="s">
        <v>205</v>
      </c>
      <c r="H287" s="117" t="s">
        <v>932</v>
      </c>
      <c r="I287" s="117">
        <v>1.0</v>
      </c>
      <c r="J287" s="117">
        <v>1.0</v>
      </c>
      <c r="K287" s="117" t="str">
        <f t="shared" si="1"/>
        <v>No</v>
      </c>
      <c r="L287" s="118" t="s">
        <v>116</v>
      </c>
      <c r="M287" s="119">
        <v>0.25</v>
      </c>
      <c r="N287" s="120">
        <v>1.0</v>
      </c>
      <c r="O287" s="121">
        <v>0.01</v>
      </c>
      <c r="P287" s="117">
        <v>21.897601839684626</v>
      </c>
      <c r="Q287" s="117">
        <f t="shared" si="2"/>
        <v>0</v>
      </c>
      <c r="R287" s="122">
        <f>+(IF(((M287*24)-P287)&lt;0,0,((M287*24)-P287)*'Estimación de pérdidas'!$F$72))*N287</f>
        <v>0</v>
      </c>
      <c r="S287" s="123" t="s">
        <v>117</v>
      </c>
      <c r="T287" s="124" t="s">
        <v>106</v>
      </c>
      <c r="U287" s="124">
        <f t="shared" si="3"/>
        <v>1</v>
      </c>
      <c r="V287" s="124">
        <v>1.0</v>
      </c>
      <c r="W287" s="124"/>
      <c r="X287" s="125"/>
      <c r="Y287" s="126"/>
      <c r="Z287" s="125">
        <f t="shared" si="4"/>
        <v>1</v>
      </c>
      <c r="AA287" s="127" t="str">
        <f t="shared" si="5"/>
        <v>Bajo</v>
      </c>
      <c r="AB287" s="128">
        <f t="shared" si="6"/>
        <v>7</v>
      </c>
      <c r="AC287" s="129">
        <f t="shared" si="7"/>
        <v>0.1011928851</v>
      </c>
    </row>
    <row r="288" ht="14.25" hidden="1" customHeight="1">
      <c r="A288" s="116" t="s">
        <v>927</v>
      </c>
      <c r="B288" s="117" t="s">
        <v>1037</v>
      </c>
      <c r="C288" s="117" t="s">
        <v>1093</v>
      </c>
      <c r="D288" s="117" t="s">
        <v>1094</v>
      </c>
      <c r="E288" s="117" t="s">
        <v>1095</v>
      </c>
      <c r="F288" s="117" t="s">
        <v>1096</v>
      </c>
      <c r="G288" s="117" t="s">
        <v>205</v>
      </c>
      <c r="H288" s="117" t="s">
        <v>932</v>
      </c>
      <c r="I288" s="117">
        <v>1.0</v>
      </c>
      <c r="J288" s="117">
        <v>1.0</v>
      </c>
      <c r="K288" s="117" t="str">
        <f t="shared" si="1"/>
        <v>No</v>
      </c>
      <c r="L288" s="118" t="s">
        <v>116</v>
      </c>
      <c r="M288" s="119">
        <v>0.25</v>
      </c>
      <c r="N288" s="120">
        <v>1.0</v>
      </c>
      <c r="O288" s="121">
        <v>0.01</v>
      </c>
      <c r="P288" s="117">
        <v>21.897601839684626</v>
      </c>
      <c r="Q288" s="117">
        <f t="shared" si="2"/>
        <v>0</v>
      </c>
      <c r="R288" s="122">
        <f>+(IF(((M288*24)-P288)&lt;0,0,((M288*24)-P288)*'Estimación de pérdidas'!$F$72))*N288</f>
        <v>0</v>
      </c>
      <c r="S288" s="123" t="s">
        <v>117</v>
      </c>
      <c r="T288" s="124" t="s">
        <v>106</v>
      </c>
      <c r="U288" s="124">
        <f t="shared" si="3"/>
        <v>1</v>
      </c>
      <c r="V288" s="124">
        <v>1.0</v>
      </c>
      <c r="W288" s="124"/>
      <c r="X288" s="125"/>
      <c r="Y288" s="126"/>
      <c r="Z288" s="125">
        <f t="shared" si="4"/>
        <v>1</v>
      </c>
      <c r="AA288" s="127" t="str">
        <f t="shared" si="5"/>
        <v>Bajo</v>
      </c>
      <c r="AB288" s="128">
        <f t="shared" si="6"/>
        <v>7</v>
      </c>
      <c r="AC288" s="129">
        <f t="shared" si="7"/>
        <v>0.1011928851</v>
      </c>
    </row>
    <row r="289" ht="14.25" hidden="1" customHeight="1">
      <c r="A289" s="116" t="s">
        <v>927</v>
      </c>
      <c r="B289" s="117" t="s">
        <v>1037</v>
      </c>
      <c r="C289" s="117" t="s">
        <v>1097</v>
      </c>
      <c r="D289" s="117" t="s">
        <v>1098</v>
      </c>
      <c r="E289" s="117" t="s">
        <v>1097</v>
      </c>
      <c r="F289" s="117" t="s">
        <v>1099</v>
      </c>
      <c r="G289" s="117" t="s">
        <v>205</v>
      </c>
      <c r="H289" s="117" t="s">
        <v>932</v>
      </c>
      <c r="I289" s="117">
        <v>1.0</v>
      </c>
      <c r="J289" s="117">
        <v>1.0</v>
      </c>
      <c r="K289" s="117" t="str">
        <f t="shared" si="1"/>
        <v>No</v>
      </c>
      <c r="L289" s="118" t="s">
        <v>116</v>
      </c>
      <c r="M289" s="119">
        <v>0.25</v>
      </c>
      <c r="N289" s="120">
        <v>1.0</v>
      </c>
      <c r="O289" s="121">
        <v>4.17</v>
      </c>
      <c r="P289" s="117">
        <v>21.897601839684626</v>
      </c>
      <c r="Q289" s="117">
        <f t="shared" si="2"/>
        <v>0</v>
      </c>
      <c r="R289" s="122">
        <f>+(IF(((M289*24)-P289)&lt;0,0,((M289*24)-P289)*'Estimación de pérdidas'!$F$72))*N289</f>
        <v>0</v>
      </c>
      <c r="S289" s="123" t="s">
        <v>117</v>
      </c>
      <c r="T289" s="124" t="s">
        <v>106</v>
      </c>
      <c r="U289" s="124">
        <f t="shared" si="3"/>
        <v>1</v>
      </c>
      <c r="V289" s="124">
        <v>1.0</v>
      </c>
      <c r="W289" s="124"/>
      <c r="X289" s="125"/>
      <c r="Y289" s="126"/>
      <c r="Z289" s="125">
        <f t="shared" si="4"/>
        <v>1</v>
      </c>
      <c r="AA289" s="127" t="str">
        <f t="shared" si="5"/>
        <v>Bajo</v>
      </c>
      <c r="AB289" s="128">
        <f t="shared" si="6"/>
        <v>7</v>
      </c>
      <c r="AC289" s="129">
        <f t="shared" si="7"/>
        <v>0.1011928851</v>
      </c>
    </row>
    <row r="290" ht="14.25" hidden="1" customHeight="1">
      <c r="A290" s="116" t="s">
        <v>927</v>
      </c>
      <c r="B290" s="117" t="s">
        <v>1037</v>
      </c>
      <c r="C290" s="117" t="s">
        <v>873</v>
      </c>
      <c r="D290" s="117" t="s">
        <v>1100</v>
      </c>
      <c r="E290" s="117" t="s">
        <v>873</v>
      </c>
      <c r="F290" s="117" t="s">
        <v>1101</v>
      </c>
      <c r="G290" s="117" t="s">
        <v>205</v>
      </c>
      <c r="H290" s="117" t="s">
        <v>700</v>
      </c>
      <c r="I290" s="117">
        <v>1.0</v>
      </c>
      <c r="J290" s="117">
        <v>1.0</v>
      </c>
      <c r="K290" s="117" t="str">
        <f t="shared" si="1"/>
        <v>No</v>
      </c>
      <c r="L290" s="118" t="s">
        <v>116</v>
      </c>
      <c r="M290" s="119">
        <v>0.25</v>
      </c>
      <c r="N290" s="120">
        <v>0.0</v>
      </c>
      <c r="O290" s="121">
        <v>12.5</v>
      </c>
      <c r="P290" s="117">
        <v>20.002299605781864</v>
      </c>
      <c r="Q290" s="117">
        <f t="shared" si="2"/>
        <v>0</v>
      </c>
      <c r="R290" s="122">
        <f>+(IF(((M290*24)-P290)&lt;0,0,((M290*24)-P290)*'Estimación de pérdidas'!$F$72))*N290</f>
        <v>0</v>
      </c>
      <c r="S290" s="123" t="s">
        <v>117</v>
      </c>
      <c r="T290" s="124" t="s">
        <v>106</v>
      </c>
      <c r="U290" s="124">
        <f t="shared" si="3"/>
        <v>1</v>
      </c>
      <c r="V290" s="124">
        <v>1.0</v>
      </c>
      <c r="W290" s="124"/>
      <c r="X290" s="125"/>
      <c r="Y290" s="126"/>
      <c r="Z290" s="125">
        <f t="shared" si="4"/>
        <v>1</v>
      </c>
      <c r="AA290" s="127" t="str">
        <f t="shared" si="5"/>
        <v>Bajo</v>
      </c>
      <c r="AB290" s="128">
        <f t="shared" si="6"/>
        <v>7</v>
      </c>
      <c r="AC290" s="129">
        <f t="shared" si="7"/>
        <v>0.1011928851</v>
      </c>
    </row>
    <row r="291" ht="14.25" hidden="1" customHeight="1">
      <c r="A291" s="116" t="s">
        <v>927</v>
      </c>
      <c r="B291" s="117" t="s">
        <v>1037</v>
      </c>
      <c r="C291" s="117" t="s">
        <v>1102</v>
      </c>
      <c r="D291" s="117" t="s">
        <v>1103</v>
      </c>
      <c r="E291" s="117" t="s">
        <v>1102</v>
      </c>
      <c r="F291" s="117" t="s">
        <v>1104</v>
      </c>
      <c r="G291" s="117" t="s">
        <v>205</v>
      </c>
      <c r="H291" s="117" t="s">
        <v>700</v>
      </c>
      <c r="I291" s="117">
        <v>1.0</v>
      </c>
      <c r="J291" s="117">
        <v>1.0</v>
      </c>
      <c r="K291" s="117" t="str">
        <f t="shared" si="1"/>
        <v>No</v>
      </c>
      <c r="L291" s="118" t="s">
        <v>116</v>
      </c>
      <c r="M291" s="119">
        <v>0.33</v>
      </c>
      <c r="N291" s="120">
        <v>0.0</v>
      </c>
      <c r="O291" s="121"/>
      <c r="P291" s="117">
        <v>0.0</v>
      </c>
      <c r="Q291" s="117">
        <f t="shared" si="2"/>
        <v>0</v>
      </c>
      <c r="R291" s="122">
        <f>+(IF(((M291*24)-P291)&lt;0,0,((M291*24)-P291)*'Estimación de pérdidas'!$F$72))*N291</f>
        <v>0</v>
      </c>
      <c r="S291" s="123" t="s">
        <v>117</v>
      </c>
      <c r="T291" s="124" t="s">
        <v>119</v>
      </c>
      <c r="U291" s="124">
        <f t="shared" si="3"/>
        <v>1</v>
      </c>
      <c r="V291" s="124">
        <v>1.0</v>
      </c>
      <c r="W291" s="124"/>
      <c r="X291" s="125"/>
      <c r="Y291" s="126"/>
      <c r="Z291" s="125">
        <f t="shared" si="4"/>
        <v>1</v>
      </c>
      <c r="AA291" s="127" t="str">
        <f t="shared" si="5"/>
        <v>Bajo</v>
      </c>
      <c r="AB291" s="128">
        <f t="shared" si="6"/>
        <v>4</v>
      </c>
      <c r="AC291" s="129">
        <f t="shared" si="7"/>
        <v>0.07589466384</v>
      </c>
    </row>
    <row r="292" ht="14.25" hidden="1" customHeight="1">
      <c r="A292" s="116" t="s">
        <v>927</v>
      </c>
      <c r="B292" s="117" t="s">
        <v>1037</v>
      </c>
      <c r="C292" s="117" t="s">
        <v>1105</v>
      </c>
      <c r="D292" s="117" t="s">
        <v>1106</v>
      </c>
      <c r="E292" s="117" t="s">
        <v>1107</v>
      </c>
      <c r="F292" s="117" t="s">
        <v>1108</v>
      </c>
      <c r="G292" s="117" t="s">
        <v>205</v>
      </c>
      <c r="H292" s="117" t="s">
        <v>932</v>
      </c>
      <c r="I292" s="117">
        <v>1.0</v>
      </c>
      <c r="J292" s="117">
        <v>1.0</v>
      </c>
      <c r="K292" s="117" t="str">
        <f t="shared" si="1"/>
        <v>No</v>
      </c>
      <c r="L292" s="118" t="s">
        <v>116</v>
      </c>
      <c r="M292" s="119">
        <v>0.25</v>
      </c>
      <c r="N292" s="120">
        <v>1.0</v>
      </c>
      <c r="O292" s="121">
        <v>47.65</v>
      </c>
      <c r="P292" s="117">
        <v>12.0</v>
      </c>
      <c r="Q292" s="117">
        <f t="shared" si="2"/>
        <v>0</v>
      </c>
      <c r="R292" s="122">
        <f>+(IF(((M292*24)-P292)&lt;0,0,((M292*24)-P292)*'Estimación de pérdidas'!$F$72))*N292</f>
        <v>0</v>
      </c>
      <c r="S292" s="123" t="s">
        <v>117</v>
      </c>
      <c r="T292" s="124" t="s">
        <v>106</v>
      </c>
      <c r="U292" s="124">
        <f t="shared" si="3"/>
        <v>1</v>
      </c>
      <c r="V292" s="124">
        <v>1.0</v>
      </c>
      <c r="W292" s="124"/>
      <c r="X292" s="125"/>
      <c r="Y292" s="126"/>
      <c r="Z292" s="125">
        <f t="shared" si="4"/>
        <v>1</v>
      </c>
      <c r="AA292" s="127" t="str">
        <f t="shared" si="5"/>
        <v>Bajo</v>
      </c>
      <c r="AB292" s="128">
        <f t="shared" si="6"/>
        <v>7</v>
      </c>
      <c r="AC292" s="129">
        <f t="shared" si="7"/>
        <v>0.1011928851</v>
      </c>
    </row>
    <row r="293" ht="14.25" hidden="1" customHeight="1">
      <c r="A293" s="116" t="s">
        <v>927</v>
      </c>
      <c r="B293" s="117" t="s">
        <v>1037</v>
      </c>
      <c r="C293" s="117" t="s">
        <v>1109</v>
      </c>
      <c r="D293" s="117" t="s">
        <v>1110</v>
      </c>
      <c r="E293" s="117" t="s">
        <v>1111</v>
      </c>
      <c r="F293" s="117" t="s">
        <v>1112</v>
      </c>
      <c r="G293" s="117" t="s">
        <v>1113</v>
      </c>
      <c r="H293" s="117" t="s">
        <v>1114</v>
      </c>
      <c r="I293" s="117">
        <v>1.0</v>
      </c>
      <c r="J293" s="117">
        <v>1.0</v>
      </c>
      <c r="K293" s="117" t="str">
        <f t="shared" si="1"/>
        <v>No</v>
      </c>
      <c r="L293" s="118" t="s">
        <v>116</v>
      </c>
      <c r="M293" s="119">
        <v>0.5</v>
      </c>
      <c r="N293" s="120">
        <v>1.0</v>
      </c>
      <c r="O293" s="121">
        <v>45.5004166666667</v>
      </c>
      <c r="P293" s="117">
        <v>12.0</v>
      </c>
      <c r="Q293" s="117">
        <f t="shared" si="2"/>
        <v>0</v>
      </c>
      <c r="R293" s="122">
        <f>+(IF(((M293*24)-P293)&lt;0,0,((M293*24)-P293)*'Estimación de pérdidas'!$F$72))*N293</f>
        <v>0</v>
      </c>
      <c r="S293" s="123" t="s">
        <v>272</v>
      </c>
      <c r="T293" s="124" t="s">
        <v>119</v>
      </c>
      <c r="U293" s="124">
        <f t="shared" si="3"/>
        <v>1</v>
      </c>
      <c r="V293" s="124">
        <v>1.0</v>
      </c>
      <c r="W293" s="124"/>
      <c r="X293" s="125">
        <v>2.0</v>
      </c>
      <c r="Y293" s="126"/>
      <c r="Z293" s="125">
        <f t="shared" si="4"/>
        <v>2</v>
      </c>
      <c r="AA293" s="127" t="str">
        <f t="shared" si="5"/>
        <v>Moderado</v>
      </c>
      <c r="AB293" s="128">
        <f t="shared" si="6"/>
        <v>8</v>
      </c>
      <c r="AC293" s="129">
        <f t="shared" si="7"/>
        <v>0.1314534138</v>
      </c>
      <c r="AD293" s="131"/>
    </row>
    <row r="294" ht="14.25" hidden="1" customHeight="1">
      <c r="A294" s="116" t="s">
        <v>927</v>
      </c>
      <c r="B294" s="117" t="s">
        <v>1037</v>
      </c>
      <c r="C294" s="117" t="s">
        <v>1115</v>
      </c>
      <c r="D294" s="117" t="s">
        <v>1116</v>
      </c>
      <c r="E294" s="117" t="s">
        <v>1115</v>
      </c>
      <c r="F294" s="117" t="s">
        <v>1117</v>
      </c>
      <c r="G294" s="117" t="s">
        <v>477</v>
      </c>
      <c r="H294" s="117" t="s">
        <v>1118</v>
      </c>
      <c r="I294" s="117">
        <v>1.0</v>
      </c>
      <c r="J294" s="117">
        <v>1.0</v>
      </c>
      <c r="K294" s="117" t="str">
        <f t="shared" si="1"/>
        <v>No</v>
      </c>
      <c r="L294" s="118" t="s">
        <v>116</v>
      </c>
      <c r="M294" s="119">
        <v>0.25</v>
      </c>
      <c r="N294" s="120">
        <v>0.0</v>
      </c>
      <c r="O294" s="121">
        <v>6.3</v>
      </c>
      <c r="P294" s="117">
        <v>21.48915900131406</v>
      </c>
      <c r="Q294" s="117">
        <f t="shared" si="2"/>
        <v>0</v>
      </c>
      <c r="R294" s="122">
        <f>+(IF(((M294*24)-P294)&lt;0,0,((M294*24)-P294)*'Estimación de pérdidas'!$F$72))*N294</f>
        <v>0</v>
      </c>
      <c r="S294" s="123" t="s">
        <v>117</v>
      </c>
      <c r="T294" s="124" t="s">
        <v>118</v>
      </c>
      <c r="U294" s="124">
        <f t="shared" si="3"/>
        <v>1</v>
      </c>
      <c r="V294" s="124">
        <v>2.0</v>
      </c>
      <c r="W294" s="124"/>
      <c r="X294" s="125"/>
      <c r="Y294" s="126"/>
      <c r="Z294" s="125">
        <f t="shared" si="4"/>
        <v>2</v>
      </c>
      <c r="AA294" s="127" t="str">
        <f t="shared" si="5"/>
        <v>Bajo</v>
      </c>
      <c r="AB294" s="128">
        <f t="shared" si="6"/>
        <v>5</v>
      </c>
      <c r="AC294" s="129">
        <f t="shared" si="7"/>
        <v>0.08</v>
      </c>
    </row>
    <row r="295" ht="14.25" hidden="1" customHeight="1">
      <c r="A295" s="116" t="s">
        <v>927</v>
      </c>
      <c r="B295" s="117" t="s">
        <v>1037</v>
      </c>
      <c r="C295" s="117" t="s">
        <v>1119</v>
      </c>
      <c r="D295" s="117" t="s">
        <v>1120</v>
      </c>
      <c r="E295" s="117" t="s">
        <v>1121</v>
      </c>
      <c r="F295" s="117" t="s">
        <v>1122</v>
      </c>
      <c r="G295" s="117" t="s">
        <v>477</v>
      </c>
      <c r="H295" s="117" t="s">
        <v>1118</v>
      </c>
      <c r="I295" s="117">
        <v>1.0</v>
      </c>
      <c r="J295" s="117">
        <v>1.0</v>
      </c>
      <c r="K295" s="117" t="str">
        <f t="shared" si="1"/>
        <v>No</v>
      </c>
      <c r="L295" s="118" t="s">
        <v>116</v>
      </c>
      <c r="M295" s="119">
        <v>0.5</v>
      </c>
      <c r="N295" s="120">
        <v>1.0</v>
      </c>
      <c r="O295" s="121">
        <v>28.83375000000001</v>
      </c>
      <c r="P295" s="117">
        <v>16.0</v>
      </c>
      <c r="Q295" s="117">
        <f t="shared" si="2"/>
        <v>0</v>
      </c>
      <c r="R295" s="122">
        <f>+(IF(((M295*24)-P295)&lt;0,0,((M295*24)-P295)*'Estimación de pérdidas'!$F$72))*N295</f>
        <v>0</v>
      </c>
      <c r="S295" s="123" t="s">
        <v>117</v>
      </c>
      <c r="T295" s="124" t="s">
        <v>118</v>
      </c>
      <c r="U295" s="124">
        <f t="shared" si="3"/>
        <v>1</v>
      </c>
      <c r="V295" s="124">
        <v>2.0</v>
      </c>
      <c r="W295" s="124"/>
      <c r="X295" s="125"/>
      <c r="Y295" s="126"/>
      <c r="Z295" s="125">
        <f t="shared" si="4"/>
        <v>2</v>
      </c>
      <c r="AA295" s="127" t="str">
        <f t="shared" si="5"/>
        <v>Bajo</v>
      </c>
      <c r="AB295" s="128">
        <f t="shared" si="6"/>
        <v>5</v>
      </c>
      <c r="AC295" s="129">
        <f t="shared" si="7"/>
        <v>0.08</v>
      </c>
    </row>
    <row r="296" ht="14.25" hidden="1" customHeight="1">
      <c r="A296" s="116" t="s">
        <v>927</v>
      </c>
      <c r="B296" s="117" t="s">
        <v>1037</v>
      </c>
      <c r="C296" s="117" t="s">
        <v>1123</v>
      </c>
      <c r="D296" s="117" t="s">
        <v>1124</v>
      </c>
      <c r="E296" s="117" t="s">
        <v>1123</v>
      </c>
      <c r="F296" s="117" t="s">
        <v>1125</v>
      </c>
      <c r="G296" s="117" t="s">
        <v>1126</v>
      </c>
      <c r="H296" s="117" t="s">
        <v>1127</v>
      </c>
      <c r="I296" s="117">
        <v>1.0</v>
      </c>
      <c r="J296" s="117">
        <v>1.0</v>
      </c>
      <c r="K296" s="117" t="str">
        <f t="shared" si="1"/>
        <v>No</v>
      </c>
      <c r="L296" s="118" t="s">
        <v>116</v>
      </c>
      <c r="M296" s="119">
        <v>0.3333333333333333</v>
      </c>
      <c r="N296" s="120">
        <v>0.0</v>
      </c>
      <c r="O296" s="121"/>
      <c r="P296" s="117">
        <v>0.0</v>
      </c>
      <c r="Q296" s="117">
        <f t="shared" si="2"/>
        <v>0</v>
      </c>
      <c r="R296" s="122">
        <f>+(IF(((M296*24)-P296)&lt;0,0,((M296*24)-P296)*'Estimación de pérdidas'!$F$72))*N296</f>
        <v>0</v>
      </c>
      <c r="S296" s="123" t="s">
        <v>117</v>
      </c>
      <c r="T296" s="124" t="s">
        <v>118</v>
      </c>
      <c r="U296" s="124">
        <f t="shared" si="3"/>
        <v>1</v>
      </c>
      <c r="V296" s="124">
        <v>1.0</v>
      </c>
      <c r="W296" s="124"/>
      <c r="X296" s="125"/>
      <c r="Y296" s="126"/>
      <c r="Z296" s="125">
        <f t="shared" si="4"/>
        <v>1</v>
      </c>
      <c r="AA296" s="127" t="str">
        <f t="shared" si="5"/>
        <v>Bajo</v>
      </c>
      <c r="AB296" s="128">
        <f t="shared" si="6"/>
        <v>2</v>
      </c>
      <c r="AC296" s="129">
        <f t="shared" si="7"/>
        <v>0.05059644256</v>
      </c>
    </row>
    <row r="297" ht="14.25" hidden="1" customHeight="1">
      <c r="A297" s="116" t="s">
        <v>927</v>
      </c>
      <c r="B297" s="117" t="s">
        <v>1037</v>
      </c>
      <c r="C297" s="117" t="s">
        <v>1128</v>
      </c>
      <c r="D297" s="117" t="s">
        <v>1129</v>
      </c>
      <c r="E297" s="117" t="s">
        <v>1128</v>
      </c>
      <c r="F297" s="117" t="s">
        <v>1130</v>
      </c>
      <c r="G297" s="117" t="s">
        <v>531</v>
      </c>
      <c r="H297" s="117" t="s">
        <v>773</v>
      </c>
      <c r="I297" s="117">
        <v>1.0</v>
      </c>
      <c r="J297" s="117">
        <v>1.0</v>
      </c>
      <c r="K297" s="117" t="str">
        <f t="shared" si="1"/>
        <v>No</v>
      </c>
      <c r="L297" s="118" t="s">
        <v>116</v>
      </c>
      <c r="M297" s="119">
        <v>0.3333333333333333</v>
      </c>
      <c r="N297" s="120">
        <v>1.0</v>
      </c>
      <c r="O297" s="121">
        <v>4.17</v>
      </c>
      <c r="P297" s="117">
        <v>21.897601839684626</v>
      </c>
      <c r="Q297" s="117">
        <f t="shared" si="2"/>
        <v>0</v>
      </c>
      <c r="R297" s="122">
        <f>+(IF(((M297*24)-P297)&lt;0,0,((M297*24)-P297)*'Estimación de pérdidas'!$F$72))*N297</f>
        <v>0</v>
      </c>
      <c r="S297" s="123" t="s">
        <v>272</v>
      </c>
      <c r="T297" s="124" t="s">
        <v>132</v>
      </c>
      <c r="U297" s="124">
        <f t="shared" si="3"/>
        <v>1</v>
      </c>
      <c r="V297" s="124">
        <v>2.0</v>
      </c>
      <c r="W297" s="124"/>
      <c r="X297" s="125">
        <v>2.0</v>
      </c>
      <c r="Y297" s="126"/>
      <c r="Z297" s="125">
        <f t="shared" si="4"/>
        <v>2</v>
      </c>
      <c r="AA297" s="127" t="str">
        <f t="shared" si="5"/>
        <v>Bajo</v>
      </c>
      <c r="AB297" s="128">
        <f t="shared" si="6"/>
        <v>3</v>
      </c>
      <c r="AC297" s="129">
        <f t="shared" si="7"/>
        <v>0.05366563146</v>
      </c>
    </row>
    <row r="298" ht="14.25" hidden="1" customHeight="1">
      <c r="A298" s="116" t="s">
        <v>927</v>
      </c>
      <c r="B298" s="117" t="s">
        <v>1037</v>
      </c>
      <c r="C298" s="117" t="s">
        <v>1131</v>
      </c>
      <c r="D298" s="117" t="s">
        <v>1132</v>
      </c>
      <c r="E298" s="117" t="s">
        <v>1131</v>
      </c>
      <c r="F298" s="117" t="s">
        <v>1133</v>
      </c>
      <c r="G298" s="117" t="s">
        <v>211</v>
      </c>
      <c r="H298" s="117" t="s">
        <v>212</v>
      </c>
      <c r="I298" s="117">
        <v>1.0</v>
      </c>
      <c r="J298" s="117">
        <v>1.0</v>
      </c>
      <c r="K298" s="117" t="str">
        <f t="shared" si="1"/>
        <v>No</v>
      </c>
      <c r="L298" s="118" t="s">
        <v>116</v>
      </c>
      <c r="M298" s="119">
        <v>0.3333333333333333</v>
      </c>
      <c r="N298" s="120">
        <v>1.0</v>
      </c>
      <c r="O298" s="121">
        <v>0.01</v>
      </c>
      <c r="P298" s="117">
        <v>21.897601839684626</v>
      </c>
      <c r="Q298" s="117">
        <f t="shared" si="2"/>
        <v>0</v>
      </c>
      <c r="R298" s="122">
        <f>+(IF(((M298*24)-P298)&lt;0,0,((M298*24)-P298)*'Estimación de pérdidas'!$F$72))*N298</f>
        <v>0</v>
      </c>
      <c r="S298" s="123" t="s">
        <v>117</v>
      </c>
      <c r="T298" s="124" t="s">
        <v>132</v>
      </c>
      <c r="U298" s="124">
        <f t="shared" si="3"/>
        <v>1</v>
      </c>
      <c r="V298" s="124">
        <v>2.0</v>
      </c>
      <c r="W298" s="124"/>
      <c r="X298" s="125"/>
      <c r="Y298" s="126"/>
      <c r="Z298" s="125">
        <f t="shared" si="4"/>
        <v>2</v>
      </c>
      <c r="AA298" s="127" t="str">
        <f t="shared" si="5"/>
        <v>Bajo</v>
      </c>
      <c r="AB298" s="128">
        <f t="shared" si="6"/>
        <v>3</v>
      </c>
      <c r="AC298" s="129">
        <f t="shared" si="7"/>
        <v>0.04</v>
      </c>
    </row>
    <row r="299" ht="14.25" hidden="1" customHeight="1">
      <c r="A299" s="116" t="s">
        <v>927</v>
      </c>
      <c r="B299" s="117" t="s">
        <v>1037</v>
      </c>
      <c r="C299" s="117" t="s">
        <v>1134</v>
      </c>
      <c r="D299" s="117" t="s">
        <v>1135</v>
      </c>
      <c r="E299" s="117" t="s">
        <v>1134</v>
      </c>
      <c r="F299" s="117" t="s">
        <v>1136</v>
      </c>
      <c r="G299" s="117" t="s">
        <v>211</v>
      </c>
      <c r="H299" s="117" t="s">
        <v>212</v>
      </c>
      <c r="I299" s="117">
        <v>1.0</v>
      </c>
      <c r="J299" s="117">
        <v>1.0</v>
      </c>
      <c r="K299" s="117" t="str">
        <f t="shared" si="1"/>
        <v>No</v>
      </c>
      <c r="L299" s="118" t="s">
        <v>116</v>
      </c>
      <c r="M299" s="119">
        <v>0.3333333333333333</v>
      </c>
      <c r="N299" s="120">
        <v>1.0</v>
      </c>
      <c r="O299" s="121">
        <v>91.32</v>
      </c>
      <c r="P299" s="117">
        <v>12.0</v>
      </c>
      <c r="Q299" s="117">
        <f t="shared" si="2"/>
        <v>0</v>
      </c>
      <c r="R299" s="122">
        <f>+(IF(((M299*24)-P299)&lt;0,0,((M299*24)-P299)*'Estimación de pérdidas'!$F$72))*N299</f>
        <v>0</v>
      </c>
      <c r="S299" s="123" t="s">
        <v>117</v>
      </c>
      <c r="T299" s="124" t="s">
        <v>132</v>
      </c>
      <c r="U299" s="124">
        <f t="shared" si="3"/>
        <v>1</v>
      </c>
      <c r="V299" s="124">
        <v>2.0</v>
      </c>
      <c r="W299" s="124"/>
      <c r="X299" s="125"/>
      <c r="Y299" s="126"/>
      <c r="Z299" s="125">
        <f t="shared" si="4"/>
        <v>2</v>
      </c>
      <c r="AA299" s="127" t="str">
        <f t="shared" si="5"/>
        <v>Bajo</v>
      </c>
      <c r="AB299" s="128">
        <f t="shared" si="6"/>
        <v>3</v>
      </c>
      <c r="AC299" s="129">
        <f t="shared" si="7"/>
        <v>0.04</v>
      </c>
    </row>
    <row r="300" ht="14.25" hidden="1" customHeight="1">
      <c r="A300" s="116" t="s">
        <v>927</v>
      </c>
      <c r="B300" s="117" t="s">
        <v>1037</v>
      </c>
      <c r="C300" s="117" t="s">
        <v>1131</v>
      </c>
      <c r="D300" s="117" t="s">
        <v>1137</v>
      </c>
      <c r="E300" s="117" t="s">
        <v>1131</v>
      </c>
      <c r="F300" s="117" t="s">
        <v>1138</v>
      </c>
      <c r="G300" s="117" t="s">
        <v>211</v>
      </c>
      <c r="H300" s="117" t="s">
        <v>212</v>
      </c>
      <c r="I300" s="117">
        <v>1.0</v>
      </c>
      <c r="J300" s="117">
        <v>1.0</v>
      </c>
      <c r="K300" s="117" t="str">
        <f t="shared" si="1"/>
        <v>No</v>
      </c>
      <c r="L300" s="118" t="s">
        <v>116</v>
      </c>
      <c r="M300" s="119">
        <v>0.3333333333333333</v>
      </c>
      <c r="N300" s="120">
        <v>0.0</v>
      </c>
      <c r="O300" s="121">
        <v>0.01</v>
      </c>
      <c r="P300" s="117">
        <v>21.09</v>
      </c>
      <c r="Q300" s="117">
        <f t="shared" si="2"/>
        <v>0</v>
      </c>
      <c r="R300" s="122">
        <f>+(IF(((M300*24)-P300)&lt;0,0,((M300*24)-P300)*'Estimación de pérdidas'!$F$72))*N300</f>
        <v>0</v>
      </c>
      <c r="S300" s="123" t="s">
        <v>117</v>
      </c>
      <c r="T300" s="124" t="s">
        <v>132</v>
      </c>
      <c r="U300" s="124">
        <f t="shared" si="3"/>
        <v>1</v>
      </c>
      <c r="V300" s="124">
        <v>2.0</v>
      </c>
      <c r="W300" s="124"/>
      <c r="X300" s="125"/>
      <c r="Y300" s="126"/>
      <c r="Z300" s="125">
        <f t="shared" si="4"/>
        <v>2</v>
      </c>
      <c r="AA300" s="127" t="str">
        <f t="shared" si="5"/>
        <v>Bajo</v>
      </c>
      <c r="AB300" s="128">
        <f t="shared" si="6"/>
        <v>3</v>
      </c>
      <c r="AC300" s="129">
        <f t="shared" si="7"/>
        <v>0.04</v>
      </c>
    </row>
    <row r="301" ht="14.25" hidden="1" customHeight="1">
      <c r="A301" s="116" t="s">
        <v>927</v>
      </c>
      <c r="B301" s="117" t="s">
        <v>1037</v>
      </c>
      <c r="C301" s="117" t="s">
        <v>1139</v>
      </c>
      <c r="D301" s="117" t="s">
        <v>1140</v>
      </c>
      <c r="E301" s="117" t="s">
        <v>1139</v>
      </c>
      <c r="F301" s="117" t="s">
        <v>1141</v>
      </c>
      <c r="G301" s="117" t="s">
        <v>211</v>
      </c>
      <c r="H301" s="117" t="s">
        <v>212</v>
      </c>
      <c r="I301" s="117">
        <v>1.0</v>
      </c>
      <c r="J301" s="117">
        <v>1.0</v>
      </c>
      <c r="K301" s="117" t="str">
        <f t="shared" si="1"/>
        <v>No</v>
      </c>
      <c r="L301" s="118" t="s">
        <v>116</v>
      </c>
      <c r="M301" s="119">
        <v>0.3333333333333333</v>
      </c>
      <c r="N301" s="120">
        <v>1.0</v>
      </c>
      <c r="O301" s="121">
        <v>0.01</v>
      </c>
      <c r="P301" s="117">
        <v>21.8976018396846</v>
      </c>
      <c r="Q301" s="117">
        <f t="shared" si="2"/>
        <v>0</v>
      </c>
      <c r="R301" s="122">
        <f>+(IF(((M301*24)-P301)&lt;0,0,((M301*24)-P301)*'Estimación de pérdidas'!$F$72))*N301</f>
        <v>0</v>
      </c>
      <c r="S301" s="123" t="s">
        <v>117</v>
      </c>
      <c r="T301" s="124" t="s">
        <v>132</v>
      </c>
      <c r="U301" s="124">
        <f t="shared" si="3"/>
        <v>1</v>
      </c>
      <c r="V301" s="124">
        <v>2.0</v>
      </c>
      <c r="W301" s="124"/>
      <c r="X301" s="125"/>
      <c r="Y301" s="126"/>
      <c r="Z301" s="125">
        <f t="shared" si="4"/>
        <v>2</v>
      </c>
      <c r="AA301" s="127" t="str">
        <f t="shared" si="5"/>
        <v>Bajo</v>
      </c>
      <c r="AB301" s="128">
        <f t="shared" si="6"/>
        <v>3</v>
      </c>
      <c r="AC301" s="129">
        <f t="shared" si="7"/>
        <v>0.04</v>
      </c>
    </row>
    <row r="302" ht="14.25" hidden="1" customHeight="1">
      <c r="A302" s="116" t="s">
        <v>927</v>
      </c>
      <c r="B302" s="117" t="s">
        <v>1037</v>
      </c>
      <c r="C302" s="117" t="s">
        <v>1142</v>
      </c>
      <c r="D302" s="117" t="s">
        <v>1143</v>
      </c>
      <c r="E302" s="117" t="s">
        <v>1142</v>
      </c>
      <c r="F302" s="117" t="s">
        <v>1144</v>
      </c>
      <c r="G302" s="117" t="s">
        <v>211</v>
      </c>
      <c r="H302" s="117" t="s">
        <v>212</v>
      </c>
      <c r="I302" s="117">
        <v>1.0</v>
      </c>
      <c r="J302" s="117">
        <v>1.0</v>
      </c>
      <c r="K302" s="117" t="str">
        <f t="shared" si="1"/>
        <v>No</v>
      </c>
      <c r="L302" s="118" t="s">
        <v>116</v>
      </c>
      <c r="M302" s="119">
        <v>0.3333333333333333</v>
      </c>
      <c r="N302" s="120">
        <v>1.0</v>
      </c>
      <c r="O302" s="121"/>
      <c r="P302" s="117">
        <v>12.0</v>
      </c>
      <c r="Q302" s="117">
        <f t="shared" si="2"/>
        <v>0</v>
      </c>
      <c r="R302" s="122">
        <f>+(IF(((M302*24)-P302)&lt;0,0,((M302*24)-P302)*'Estimación de pérdidas'!$F$72))*N302</f>
        <v>0</v>
      </c>
      <c r="S302" s="123" t="s">
        <v>117</v>
      </c>
      <c r="T302" s="124" t="s">
        <v>132</v>
      </c>
      <c r="U302" s="124">
        <f t="shared" si="3"/>
        <v>1</v>
      </c>
      <c r="V302" s="124">
        <v>2.0</v>
      </c>
      <c r="W302" s="124"/>
      <c r="X302" s="125"/>
      <c r="Y302" s="126"/>
      <c r="Z302" s="125">
        <f t="shared" si="4"/>
        <v>2</v>
      </c>
      <c r="AA302" s="127" t="str">
        <f t="shared" si="5"/>
        <v>Bajo</v>
      </c>
      <c r="AB302" s="128">
        <f t="shared" si="6"/>
        <v>3</v>
      </c>
      <c r="AC302" s="129">
        <f t="shared" si="7"/>
        <v>0.04</v>
      </c>
    </row>
    <row r="303" ht="14.25" hidden="1" customHeight="1">
      <c r="A303" s="116" t="s">
        <v>1145</v>
      </c>
      <c r="B303" s="117" t="s">
        <v>1145</v>
      </c>
      <c r="C303" s="117" t="s">
        <v>1146</v>
      </c>
      <c r="D303" s="117" t="s">
        <v>1147</v>
      </c>
      <c r="E303" s="117" t="s">
        <v>1148</v>
      </c>
      <c r="F303" s="117" t="s">
        <v>1149</v>
      </c>
      <c r="G303" s="117" t="s">
        <v>615</v>
      </c>
      <c r="H303" s="117" t="s">
        <v>846</v>
      </c>
      <c r="I303" s="117">
        <v>1.0</v>
      </c>
      <c r="J303" s="117">
        <v>1.0</v>
      </c>
      <c r="K303" s="117" t="str">
        <f t="shared" si="1"/>
        <v>No</v>
      </c>
      <c r="L303" s="118" t="s">
        <v>116</v>
      </c>
      <c r="M303" s="119">
        <v>0.25</v>
      </c>
      <c r="N303" s="120">
        <v>1.0</v>
      </c>
      <c r="O303" s="121">
        <v>91.32</v>
      </c>
      <c r="P303" s="117">
        <v>1.0</v>
      </c>
      <c r="Q303" s="117">
        <f t="shared" si="2"/>
        <v>5</v>
      </c>
      <c r="R303" s="122">
        <f>+(IF(((M303*24)-P303)&lt;0,0,((M303*24)-P303)*'Estimación de pérdidas'!$F$72))*N303</f>
        <v>288390.3746</v>
      </c>
      <c r="S303" s="123" t="s">
        <v>272</v>
      </c>
      <c r="T303" s="124" t="s">
        <v>106</v>
      </c>
      <c r="U303" s="124">
        <f t="shared" si="3"/>
        <v>3</v>
      </c>
      <c r="V303" s="124">
        <v>1.0</v>
      </c>
      <c r="W303" s="124"/>
      <c r="X303" s="125">
        <v>3.0</v>
      </c>
      <c r="Y303" s="126"/>
      <c r="Z303" s="125">
        <f t="shared" si="4"/>
        <v>3</v>
      </c>
      <c r="AA303" s="127" t="str">
        <f t="shared" si="5"/>
        <v>Moderado</v>
      </c>
      <c r="AB303" s="128">
        <f t="shared" si="6"/>
        <v>17</v>
      </c>
      <c r="AC303" s="129">
        <f t="shared" si="7"/>
        <v>0.311897419</v>
      </c>
      <c r="AD303" s="131"/>
    </row>
    <row r="304" ht="14.25" hidden="1" customHeight="1">
      <c r="A304" s="116" t="s">
        <v>1145</v>
      </c>
      <c r="B304" s="117" t="s">
        <v>1145</v>
      </c>
      <c r="C304" s="117" t="s">
        <v>1150</v>
      </c>
      <c r="D304" s="117" t="s">
        <v>1151</v>
      </c>
      <c r="E304" s="117" t="s">
        <v>1150</v>
      </c>
      <c r="F304" s="117" t="s">
        <v>1152</v>
      </c>
      <c r="G304" s="117" t="s">
        <v>165</v>
      </c>
      <c r="H304" s="117" t="s">
        <v>1153</v>
      </c>
      <c r="I304" s="117">
        <v>1.0</v>
      </c>
      <c r="J304" s="117">
        <v>1.0</v>
      </c>
      <c r="K304" s="117" t="str">
        <f t="shared" si="1"/>
        <v>No</v>
      </c>
      <c r="L304" s="118" t="s">
        <v>116</v>
      </c>
      <c r="M304" s="119">
        <v>0.3333333333333333</v>
      </c>
      <c r="N304" s="120">
        <v>1.0</v>
      </c>
      <c r="O304" s="121">
        <v>21.0</v>
      </c>
      <c r="P304" s="117">
        <v>8.0</v>
      </c>
      <c r="Q304" s="117">
        <f t="shared" si="2"/>
        <v>0</v>
      </c>
      <c r="R304" s="122">
        <f>+(IF(((M304*24)-P304)&lt;0,0,((M304*24)-P304)*'Estimación de pérdidas'!$F$72))*N304</f>
        <v>0</v>
      </c>
      <c r="S304" s="123" t="s">
        <v>117</v>
      </c>
      <c r="T304" s="124" t="s">
        <v>118</v>
      </c>
      <c r="U304" s="124">
        <f t="shared" si="3"/>
        <v>1</v>
      </c>
      <c r="V304" s="124">
        <v>1.0</v>
      </c>
      <c r="W304" s="124"/>
      <c r="X304" s="125"/>
      <c r="Y304" s="126"/>
      <c r="Z304" s="125">
        <f t="shared" si="4"/>
        <v>1</v>
      </c>
      <c r="AA304" s="127" t="str">
        <f t="shared" si="5"/>
        <v>Bajo</v>
      </c>
      <c r="AB304" s="128">
        <f t="shared" si="6"/>
        <v>2</v>
      </c>
      <c r="AC304" s="129">
        <f t="shared" si="7"/>
        <v>0.05059644256</v>
      </c>
    </row>
    <row r="305" ht="14.25" hidden="1" customHeight="1">
      <c r="A305" s="116" t="s">
        <v>1145</v>
      </c>
      <c r="B305" s="117" t="s">
        <v>1145</v>
      </c>
      <c r="C305" s="117" t="s">
        <v>1150</v>
      </c>
      <c r="D305" s="117" t="s">
        <v>1154</v>
      </c>
      <c r="E305" s="117" t="s">
        <v>1150</v>
      </c>
      <c r="F305" s="117" t="s">
        <v>1155</v>
      </c>
      <c r="G305" s="117" t="s">
        <v>165</v>
      </c>
      <c r="H305" s="117" t="s">
        <v>1153</v>
      </c>
      <c r="I305" s="117">
        <v>1.0</v>
      </c>
      <c r="J305" s="117">
        <v>1.0</v>
      </c>
      <c r="K305" s="117" t="str">
        <f t="shared" si="1"/>
        <v>No</v>
      </c>
      <c r="L305" s="118" t="s">
        <v>116</v>
      </c>
      <c r="M305" s="119">
        <v>0.3333333333333333</v>
      </c>
      <c r="N305" s="120">
        <v>1.0</v>
      </c>
      <c r="O305" s="121">
        <v>21.0</v>
      </c>
      <c r="P305" s="117">
        <v>8.0</v>
      </c>
      <c r="Q305" s="117">
        <f t="shared" si="2"/>
        <v>0</v>
      </c>
      <c r="R305" s="122">
        <f>+(IF(((M305*24)-P305)&lt;0,0,((M305*24)-P305)*'Estimación de pérdidas'!$F$72))*N305</f>
        <v>0</v>
      </c>
      <c r="S305" s="123" t="s">
        <v>117</v>
      </c>
      <c r="T305" s="124" t="s">
        <v>118</v>
      </c>
      <c r="U305" s="124">
        <f t="shared" si="3"/>
        <v>1</v>
      </c>
      <c r="V305" s="124">
        <v>1.0</v>
      </c>
      <c r="W305" s="124"/>
      <c r="X305" s="125"/>
      <c r="Y305" s="126"/>
      <c r="Z305" s="125">
        <f t="shared" si="4"/>
        <v>1</v>
      </c>
      <c r="AA305" s="127" t="str">
        <f t="shared" si="5"/>
        <v>Bajo</v>
      </c>
      <c r="AB305" s="128">
        <f t="shared" si="6"/>
        <v>2</v>
      </c>
      <c r="AC305" s="129">
        <f t="shared" si="7"/>
        <v>0.05059644256</v>
      </c>
    </row>
    <row r="306" ht="14.25" hidden="1" customHeight="1">
      <c r="A306" s="116" t="s">
        <v>1145</v>
      </c>
      <c r="B306" s="117" t="s">
        <v>1145</v>
      </c>
      <c r="C306" s="117" t="s">
        <v>1150</v>
      </c>
      <c r="D306" s="117" t="s">
        <v>1156</v>
      </c>
      <c r="E306" s="117" t="s">
        <v>1150</v>
      </c>
      <c r="F306" s="117" t="s">
        <v>1157</v>
      </c>
      <c r="G306" s="117" t="s">
        <v>165</v>
      </c>
      <c r="H306" s="117" t="s">
        <v>1153</v>
      </c>
      <c r="I306" s="117">
        <v>1.0</v>
      </c>
      <c r="J306" s="117">
        <v>1.0</v>
      </c>
      <c r="K306" s="117" t="str">
        <f t="shared" si="1"/>
        <v>No</v>
      </c>
      <c r="L306" s="118" t="s">
        <v>116</v>
      </c>
      <c r="M306" s="119">
        <v>0.3333333333333333</v>
      </c>
      <c r="N306" s="120">
        <v>1.0</v>
      </c>
      <c r="O306" s="121">
        <v>21.0</v>
      </c>
      <c r="P306" s="117">
        <v>8.0</v>
      </c>
      <c r="Q306" s="117">
        <f t="shared" si="2"/>
        <v>0</v>
      </c>
      <c r="R306" s="122">
        <f>+(IF(((M306*24)-P306)&lt;0,0,((M306*24)-P306)*'Estimación de pérdidas'!$F$72))*N306</f>
        <v>0</v>
      </c>
      <c r="S306" s="123" t="s">
        <v>117</v>
      </c>
      <c r="T306" s="124" t="s">
        <v>118</v>
      </c>
      <c r="U306" s="124">
        <f t="shared" si="3"/>
        <v>1</v>
      </c>
      <c r="V306" s="124">
        <v>1.0</v>
      </c>
      <c r="W306" s="124"/>
      <c r="X306" s="125"/>
      <c r="Y306" s="126"/>
      <c r="Z306" s="125">
        <f t="shared" si="4"/>
        <v>1</v>
      </c>
      <c r="AA306" s="127" t="str">
        <f t="shared" si="5"/>
        <v>Bajo</v>
      </c>
      <c r="AB306" s="128">
        <f t="shared" si="6"/>
        <v>2</v>
      </c>
      <c r="AC306" s="129">
        <f t="shared" si="7"/>
        <v>0.05059644256</v>
      </c>
    </row>
    <row r="307" ht="14.25" hidden="1" customHeight="1">
      <c r="A307" s="116" t="s">
        <v>1145</v>
      </c>
      <c r="B307" s="117" t="s">
        <v>1145</v>
      </c>
      <c r="C307" s="117" t="s">
        <v>1150</v>
      </c>
      <c r="D307" s="117" t="s">
        <v>1158</v>
      </c>
      <c r="E307" s="117" t="s">
        <v>1150</v>
      </c>
      <c r="F307" s="117" t="s">
        <v>1159</v>
      </c>
      <c r="G307" s="117" t="s">
        <v>165</v>
      </c>
      <c r="H307" s="117" t="s">
        <v>1153</v>
      </c>
      <c r="I307" s="117">
        <v>1.0</v>
      </c>
      <c r="J307" s="117">
        <v>1.0</v>
      </c>
      <c r="K307" s="117" t="str">
        <f t="shared" si="1"/>
        <v>No</v>
      </c>
      <c r="L307" s="118" t="s">
        <v>116</v>
      </c>
      <c r="M307" s="119">
        <v>0.3333333333333333</v>
      </c>
      <c r="N307" s="120">
        <v>1.0</v>
      </c>
      <c r="O307" s="121">
        <v>21.0</v>
      </c>
      <c r="P307" s="117">
        <v>8.0</v>
      </c>
      <c r="Q307" s="117">
        <f t="shared" si="2"/>
        <v>0</v>
      </c>
      <c r="R307" s="122">
        <f>+(IF(((M307*24)-P307)&lt;0,0,((M307*24)-P307)*'Estimación de pérdidas'!$F$72))*N307</f>
        <v>0</v>
      </c>
      <c r="S307" s="123" t="s">
        <v>117</v>
      </c>
      <c r="T307" s="124" t="s">
        <v>118</v>
      </c>
      <c r="U307" s="124">
        <f t="shared" si="3"/>
        <v>1</v>
      </c>
      <c r="V307" s="124">
        <v>1.0</v>
      </c>
      <c r="W307" s="124"/>
      <c r="X307" s="125"/>
      <c r="Y307" s="126"/>
      <c r="Z307" s="125">
        <f t="shared" si="4"/>
        <v>1</v>
      </c>
      <c r="AA307" s="127" t="str">
        <f t="shared" si="5"/>
        <v>Bajo</v>
      </c>
      <c r="AB307" s="128">
        <f t="shared" si="6"/>
        <v>2</v>
      </c>
      <c r="AC307" s="129">
        <f t="shared" si="7"/>
        <v>0.05059644256</v>
      </c>
    </row>
    <row r="308" ht="14.25" hidden="1" customHeight="1">
      <c r="A308" s="116" t="s">
        <v>1145</v>
      </c>
      <c r="B308" s="117" t="s">
        <v>1145</v>
      </c>
      <c r="C308" s="117" t="s">
        <v>1150</v>
      </c>
      <c r="D308" s="117" t="s">
        <v>1160</v>
      </c>
      <c r="E308" s="117" t="s">
        <v>1150</v>
      </c>
      <c r="F308" s="117" t="s">
        <v>1161</v>
      </c>
      <c r="G308" s="117" t="s">
        <v>165</v>
      </c>
      <c r="H308" s="117" t="s">
        <v>1153</v>
      </c>
      <c r="I308" s="117">
        <v>1.0</v>
      </c>
      <c r="J308" s="117">
        <v>1.0</v>
      </c>
      <c r="K308" s="117" t="str">
        <f t="shared" si="1"/>
        <v>No</v>
      </c>
      <c r="L308" s="118" t="s">
        <v>116</v>
      </c>
      <c r="M308" s="119">
        <v>0.3333333333333333</v>
      </c>
      <c r="N308" s="120">
        <v>1.0</v>
      </c>
      <c r="O308" s="121">
        <v>21.0</v>
      </c>
      <c r="P308" s="117">
        <v>8.0</v>
      </c>
      <c r="Q308" s="117">
        <f t="shared" si="2"/>
        <v>0</v>
      </c>
      <c r="R308" s="122">
        <f>+(IF(((M308*24)-P308)&lt;0,0,((M308*24)-P308)*'Estimación de pérdidas'!$F$72))*N308</f>
        <v>0</v>
      </c>
      <c r="S308" s="123" t="s">
        <v>117</v>
      </c>
      <c r="T308" s="124" t="s">
        <v>118</v>
      </c>
      <c r="U308" s="124">
        <f t="shared" si="3"/>
        <v>1</v>
      </c>
      <c r="V308" s="124">
        <v>1.0</v>
      </c>
      <c r="W308" s="124"/>
      <c r="X308" s="125"/>
      <c r="Y308" s="126"/>
      <c r="Z308" s="125">
        <f t="shared" si="4"/>
        <v>1</v>
      </c>
      <c r="AA308" s="127" t="str">
        <f t="shared" si="5"/>
        <v>Bajo</v>
      </c>
      <c r="AB308" s="128">
        <f t="shared" si="6"/>
        <v>2</v>
      </c>
      <c r="AC308" s="129">
        <f t="shared" si="7"/>
        <v>0.05059644256</v>
      </c>
    </row>
    <row r="309" ht="14.25" hidden="1" customHeight="1">
      <c r="A309" s="116" t="s">
        <v>1145</v>
      </c>
      <c r="B309" s="117" t="s">
        <v>1145</v>
      </c>
      <c r="C309" s="117" t="s">
        <v>1162</v>
      </c>
      <c r="D309" s="117" t="s">
        <v>1163</v>
      </c>
      <c r="E309" s="117" t="s">
        <v>1164</v>
      </c>
      <c r="F309" s="117" t="s">
        <v>1165</v>
      </c>
      <c r="G309" s="117" t="s">
        <v>1001</v>
      </c>
      <c r="H309" s="117" t="s">
        <v>1166</v>
      </c>
      <c r="I309" s="117">
        <v>1.0</v>
      </c>
      <c r="J309" s="117">
        <v>1.0</v>
      </c>
      <c r="K309" s="117" t="str">
        <f t="shared" si="1"/>
        <v>No</v>
      </c>
      <c r="L309" s="118" t="s">
        <v>116</v>
      </c>
      <c r="M309" s="119">
        <v>0.25</v>
      </c>
      <c r="N309" s="120">
        <v>0.5</v>
      </c>
      <c r="O309" s="121">
        <v>91.32</v>
      </c>
      <c r="P309" s="117">
        <v>1.0</v>
      </c>
      <c r="Q309" s="117">
        <f t="shared" si="2"/>
        <v>2.5</v>
      </c>
      <c r="R309" s="122">
        <f>+(IF(((M309*24)-P309)&lt;0,0,((M309*24)-P309)*'Estimación de pérdidas'!$F$72))*N309</f>
        <v>144195.1873</v>
      </c>
      <c r="S309" s="123" t="s">
        <v>272</v>
      </c>
      <c r="T309" s="124" t="s">
        <v>118</v>
      </c>
      <c r="U309" s="124">
        <f t="shared" si="3"/>
        <v>2</v>
      </c>
      <c r="V309" s="124">
        <v>1.0</v>
      </c>
      <c r="W309" s="124"/>
      <c r="X309" s="125">
        <v>2.0</v>
      </c>
      <c r="Y309" s="126"/>
      <c r="Z309" s="125">
        <f t="shared" si="4"/>
        <v>2</v>
      </c>
      <c r="AA309" s="127" t="str">
        <f t="shared" si="5"/>
        <v>Bajo</v>
      </c>
      <c r="AB309" s="128">
        <f t="shared" si="6"/>
        <v>5</v>
      </c>
      <c r="AC309" s="129">
        <f t="shared" si="7"/>
        <v>0.1073312629</v>
      </c>
    </row>
    <row r="310" ht="14.25" hidden="1" customHeight="1">
      <c r="A310" s="116" t="s">
        <v>1145</v>
      </c>
      <c r="B310" s="117" t="s">
        <v>1145</v>
      </c>
      <c r="C310" s="117" t="s">
        <v>1162</v>
      </c>
      <c r="D310" s="117" t="s">
        <v>1167</v>
      </c>
      <c r="E310" s="117" t="s">
        <v>1164</v>
      </c>
      <c r="F310" s="117" t="s">
        <v>1168</v>
      </c>
      <c r="G310" s="117" t="s">
        <v>1001</v>
      </c>
      <c r="H310" s="117" t="s">
        <v>1166</v>
      </c>
      <c r="I310" s="117">
        <v>1.0</v>
      </c>
      <c r="J310" s="117">
        <v>1.0</v>
      </c>
      <c r="K310" s="117" t="str">
        <f t="shared" si="1"/>
        <v>No</v>
      </c>
      <c r="L310" s="118" t="s">
        <v>116</v>
      </c>
      <c r="M310" s="119">
        <v>0.25</v>
      </c>
      <c r="N310" s="120">
        <v>0.5</v>
      </c>
      <c r="O310" s="121">
        <v>91.32</v>
      </c>
      <c r="P310" s="117">
        <v>1.0</v>
      </c>
      <c r="Q310" s="117">
        <f t="shared" si="2"/>
        <v>2.5</v>
      </c>
      <c r="R310" s="122">
        <f>+(IF(((M310*24)-P310)&lt;0,0,((M310*24)-P310)*'Estimación de pérdidas'!$F$72))*N310</f>
        <v>144195.1873</v>
      </c>
      <c r="S310" s="123" t="s">
        <v>272</v>
      </c>
      <c r="T310" s="124" t="s">
        <v>118</v>
      </c>
      <c r="U310" s="124">
        <f t="shared" si="3"/>
        <v>2</v>
      </c>
      <c r="V310" s="124">
        <v>1.0</v>
      </c>
      <c r="W310" s="124"/>
      <c r="X310" s="125">
        <v>2.0</v>
      </c>
      <c r="Y310" s="126"/>
      <c r="Z310" s="125">
        <f t="shared" si="4"/>
        <v>2</v>
      </c>
      <c r="AA310" s="127" t="str">
        <f t="shared" si="5"/>
        <v>Bajo</v>
      </c>
      <c r="AB310" s="128">
        <f t="shared" si="6"/>
        <v>5</v>
      </c>
      <c r="AC310" s="129">
        <f t="shared" si="7"/>
        <v>0.1073312629</v>
      </c>
    </row>
    <row r="311" ht="14.25" hidden="1" customHeight="1">
      <c r="A311" s="116" t="s">
        <v>1145</v>
      </c>
      <c r="B311" s="117" t="s">
        <v>1145</v>
      </c>
      <c r="C311" s="117" t="s">
        <v>1169</v>
      </c>
      <c r="D311" s="117" t="s">
        <v>1170</v>
      </c>
      <c r="E311" s="117" t="s">
        <v>1169</v>
      </c>
      <c r="F311" s="117" t="s">
        <v>1171</v>
      </c>
      <c r="G311" s="117" t="s">
        <v>188</v>
      </c>
      <c r="H311" s="117" t="s">
        <v>606</v>
      </c>
      <c r="I311" s="117">
        <v>1.0</v>
      </c>
      <c r="J311" s="117">
        <v>1.0</v>
      </c>
      <c r="K311" s="117" t="str">
        <f t="shared" si="1"/>
        <v>No</v>
      </c>
      <c r="L311" s="118" t="s">
        <v>116</v>
      </c>
      <c r="M311" s="119">
        <v>0.5</v>
      </c>
      <c r="N311" s="120">
        <v>0.0</v>
      </c>
      <c r="O311" s="121"/>
      <c r="P311" s="117">
        <v>0.0</v>
      </c>
      <c r="Q311" s="117">
        <f t="shared" si="2"/>
        <v>0</v>
      </c>
      <c r="R311" s="122">
        <f>+(IF(((M311*24)-P311)&lt;0,0,((M311*24)-P311)*'Estimación de pérdidas'!$F$72))*N311</f>
        <v>0</v>
      </c>
      <c r="S311" s="123" t="s">
        <v>117</v>
      </c>
      <c r="T311" s="124" t="s">
        <v>118</v>
      </c>
      <c r="U311" s="124">
        <f t="shared" si="3"/>
        <v>1</v>
      </c>
      <c r="V311" s="124">
        <v>2.0</v>
      </c>
      <c r="W311" s="124">
        <v>4.0</v>
      </c>
      <c r="X311" s="125"/>
      <c r="Y311" s="126"/>
      <c r="Z311" s="125">
        <f t="shared" si="4"/>
        <v>4</v>
      </c>
      <c r="AA311" s="127" t="str">
        <f t="shared" si="5"/>
        <v>Moderado</v>
      </c>
      <c r="AB311" s="128">
        <f t="shared" si="6"/>
        <v>14</v>
      </c>
      <c r="AC311" s="129">
        <f t="shared" si="7"/>
        <v>0.1639512123</v>
      </c>
      <c r="AD311" s="130"/>
    </row>
    <row r="312" ht="14.25" hidden="1" customHeight="1">
      <c r="A312" s="116" t="s">
        <v>1145</v>
      </c>
      <c r="B312" s="117" t="s">
        <v>1145</v>
      </c>
      <c r="C312" s="117" t="s">
        <v>1172</v>
      </c>
      <c r="D312" s="117" t="s">
        <v>1173</v>
      </c>
      <c r="E312" s="117" t="s">
        <v>1172</v>
      </c>
      <c r="F312" s="117" t="s">
        <v>1174</v>
      </c>
      <c r="G312" s="117" t="s">
        <v>615</v>
      </c>
      <c r="H312" s="117" t="s">
        <v>846</v>
      </c>
      <c r="I312" s="117">
        <v>1.0</v>
      </c>
      <c r="J312" s="117">
        <v>1.0</v>
      </c>
      <c r="K312" s="117" t="str">
        <f t="shared" si="1"/>
        <v>No</v>
      </c>
      <c r="L312" s="118" t="s">
        <v>116</v>
      </c>
      <c r="M312" s="119">
        <v>0.25</v>
      </c>
      <c r="N312" s="120">
        <v>0.5</v>
      </c>
      <c r="O312" s="121">
        <v>91.32</v>
      </c>
      <c r="P312" s="117">
        <v>1.0</v>
      </c>
      <c r="Q312" s="117">
        <f t="shared" si="2"/>
        <v>2.5</v>
      </c>
      <c r="R312" s="122">
        <f>+(IF(((M312*24)-P312)&lt;0,0,((M312*24)-P312)*'Estimación de pérdidas'!$F$72))*N312</f>
        <v>144195.1873</v>
      </c>
      <c r="S312" s="123" t="s">
        <v>272</v>
      </c>
      <c r="T312" s="124" t="s">
        <v>118</v>
      </c>
      <c r="U312" s="124">
        <f t="shared" si="3"/>
        <v>2</v>
      </c>
      <c r="V312" s="124">
        <v>1.0</v>
      </c>
      <c r="W312" s="124"/>
      <c r="X312" s="125">
        <v>2.0</v>
      </c>
      <c r="Y312" s="126"/>
      <c r="Z312" s="125">
        <f t="shared" si="4"/>
        <v>2</v>
      </c>
      <c r="AA312" s="127" t="str">
        <f t="shared" si="5"/>
        <v>Bajo</v>
      </c>
      <c r="AB312" s="128">
        <f t="shared" si="6"/>
        <v>5</v>
      </c>
      <c r="AC312" s="129">
        <f t="shared" si="7"/>
        <v>0.1073312629</v>
      </c>
    </row>
    <row r="313" ht="14.25" hidden="1" customHeight="1">
      <c r="A313" s="116" t="s">
        <v>1145</v>
      </c>
      <c r="B313" s="117" t="s">
        <v>1145</v>
      </c>
      <c r="C313" s="117" t="s">
        <v>1172</v>
      </c>
      <c r="D313" s="117" t="s">
        <v>1175</v>
      </c>
      <c r="E313" s="117" t="s">
        <v>1172</v>
      </c>
      <c r="F313" s="117" t="s">
        <v>1176</v>
      </c>
      <c r="G313" s="117" t="s">
        <v>615</v>
      </c>
      <c r="H313" s="117" t="s">
        <v>846</v>
      </c>
      <c r="I313" s="117">
        <v>1.0</v>
      </c>
      <c r="J313" s="117">
        <v>1.0</v>
      </c>
      <c r="K313" s="117" t="str">
        <f t="shared" si="1"/>
        <v>No</v>
      </c>
      <c r="L313" s="118" t="s">
        <v>116</v>
      </c>
      <c r="M313" s="119">
        <v>0.25</v>
      </c>
      <c r="N313" s="120">
        <v>0.5</v>
      </c>
      <c r="O313" s="121">
        <v>91.32</v>
      </c>
      <c r="P313" s="117">
        <v>1.0</v>
      </c>
      <c r="Q313" s="117">
        <f t="shared" si="2"/>
        <v>2.5</v>
      </c>
      <c r="R313" s="122">
        <f>+(IF(((M313*24)-P313)&lt;0,0,((M313*24)-P313)*'Estimación de pérdidas'!$F$72))*N313</f>
        <v>144195.1873</v>
      </c>
      <c r="S313" s="123" t="s">
        <v>272</v>
      </c>
      <c r="T313" s="124" t="s">
        <v>118</v>
      </c>
      <c r="U313" s="124">
        <f t="shared" si="3"/>
        <v>2</v>
      </c>
      <c r="V313" s="124">
        <v>1.0</v>
      </c>
      <c r="W313" s="124"/>
      <c r="X313" s="125">
        <v>2.0</v>
      </c>
      <c r="Y313" s="126"/>
      <c r="Z313" s="125">
        <f t="shared" si="4"/>
        <v>2</v>
      </c>
      <c r="AA313" s="127" t="str">
        <f t="shared" si="5"/>
        <v>Bajo</v>
      </c>
      <c r="AB313" s="128">
        <f t="shared" si="6"/>
        <v>5</v>
      </c>
      <c r="AC313" s="129">
        <f t="shared" si="7"/>
        <v>0.1073312629</v>
      </c>
    </row>
    <row r="314" ht="14.25" hidden="1" customHeight="1">
      <c r="A314" s="116" t="s">
        <v>1145</v>
      </c>
      <c r="B314" s="117" t="s">
        <v>1145</v>
      </c>
      <c r="C314" s="117" t="s">
        <v>1177</v>
      </c>
      <c r="D314" s="117" t="s">
        <v>1178</v>
      </c>
      <c r="E314" s="117" t="s">
        <v>1177</v>
      </c>
      <c r="F314" s="117" t="s">
        <v>1179</v>
      </c>
      <c r="G314" s="117" t="s">
        <v>472</v>
      </c>
      <c r="H314" s="117" t="s">
        <v>1180</v>
      </c>
      <c r="I314" s="117">
        <v>1.0</v>
      </c>
      <c r="J314" s="117">
        <v>1.0</v>
      </c>
      <c r="K314" s="117" t="str">
        <f t="shared" si="1"/>
        <v>No</v>
      </c>
      <c r="L314" s="118" t="s">
        <v>116</v>
      </c>
      <c r="M314" s="119">
        <v>0.25</v>
      </c>
      <c r="N314" s="120">
        <v>0.5</v>
      </c>
      <c r="O314" s="121">
        <v>91.32</v>
      </c>
      <c r="P314" s="117">
        <v>1.0</v>
      </c>
      <c r="Q314" s="117">
        <f t="shared" si="2"/>
        <v>2.5</v>
      </c>
      <c r="R314" s="122">
        <f>+(IF(((M314*24)-P314)&lt;0,0,((M314*24)-P314)*'Estimación de pérdidas'!$F$72))*N314</f>
        <v>144195.1873</v>
      </c>
      <c r="S314" s="123" t="s">
        <v>272</v>
      </c>
      <c r="T314" s="124" t="s">
        <v>118</v>
      </c>
      <c r="U314" s="124">
        <f t="shared" si="3"/>
        <v>2</v>
      </c>
      <c r="V314" s="124">
        <v>1.0</v>
      </c>
      <c r="W314" s="124"/>
      <c r="X314" s="125">
        <v>2.0</v>
      </c>
      <c r="Y314" s="126"/>
      <c r="Z314" s="125">
        <f t="shared" si="4"/>
        <v>2</v>
      </c>
      <c r="AA314" s="127" t="str">
        <f t="shared" si="5"/>
        <v>Bajo</v>
      </c>
      <c r="AB314" s="128">
        <f t="shared" si="6"/>
        <v>5</v>
      </c>
      <c r="AC314" s="129">
        <f t="shared" si="7"/>
        <v>0.1073312629</v>
      </c>
    </row>
    <row r="315" ht="14.25" hidden="1" customHeight="1">
      <c r="A315" s="116" t="s">
        <v>1145</v>
      </c>
      <c r="B315" s="117" t="s">
        <v>1145</v>
      </c>
      <c r="C315" s="117" t="s">
        <v>1177</v>
      </c>
      <c r="D315" s="117" t="s">
        <v>1181</v>
      </c>
      <c r="E315" s="117" t="s">
        <v>1177</v>
      </c>
      <c r="F315" s="117" t="s">
        <v>1179</v>
      </c>
      <c r="G315" s="117" t="s">
        <v>472</v>
      </c>
      <c r="H315" s="117" t="s">
        <v>1180</v>
      </c>
      <c r="I315" s="117">
        <v>1.0</v>
      </c>
      <c r="J315" s="117">
        <v>1.0</v>
      </c>
      <c r="K315" s="117" t="str">
        <f t="shared" si="1"/>
        <v>No</v>
      </c>
      <c r="L315" s="118" t="s">
        <v>116</v>
      </c>
      <c r="M315" s="119">
        <v>0.25</v>
      </c>
      <c r="N315" s="120">
        <v>0.5</v>
      </c>
      <c r="O315" s="121">
        <v>91.32</v>
      </c>
      <c r="P315" s="117">
        <v>1.0</v>
      </c>
      <c r="Q315" s="117">
        <f t="shared" si="2"/>
        <v>2.5</v>
      </c>
      <c r="R315" s="122">
        <f>+(IF(((M315*24)-P315)&lt;0,0,((M315*24)-P315)*'Estimación de pérdidas'!$F$72))*N315</f>
        <v>144195.1873</v>
      </c>
      <c r="S315" s="123" t="s">
        <v>272</v>
      </c>
      <c r="T315" s="124" t="s">
        <v>118</v>
      </c>
      <c r="U315" s="124">
        <f t="shared" si="3"/>
        <v>2</v>
      </c>
      <c r="V315" s="124">
        <v>1.0</v>
      </c>
      <c r="W315" s="124"/>
      <c r="X315" s="125">
        <v>2.0</v>
      </c>
      <c r="Y315" s="126"/>
      <c r="Z315" s="125">
        <f t="shared" si="4"/>
        <v>2</v>
      </c>
      <c r="AA315" s="127" t="str">
        <f t="shared" si="5"/>
        <v>Bajo</v>
      </c>
      <c r="AB315" s="128">
        <f t="shared" si="6"/>
        <v>5</v>
      </c>
      <c r="AC315" s="129">
        <f t="shared" si="7"/>
        <v>0.1073312629</v>
      </c>
    </row>
    <row r="316" ht="14.25" hidden="1" customHeight="1">
      <c r="A316" s="116" t="s">
        <v>1145</v>
      </c>
      <c r="B316" s="117" t="s">
        <v>1145</v>
      </c>
      <c r="C316" s="117" t="s">
        <v>1182</v>
      </c>
      <c r="D316" s="117" t="s">
        <v>1183</v>
      </c>
      <c r="E316" s="117" t="s">
        <v>1184</v>
      </c>
      <c r="F316" s="117" t="s">
        <v>1185</v>
      </c>
      <c r="G316" s="117" t="s">
        <v>270</v>
      </c>
      <c r="H316" s="117" t="s">
        <v>1186</v>
      </c>
      <c r="I316" s="117">
        <v>1.0</v>
      </c>
      <c r="J316" s="117">
        <v>1.0</v>
      </c>
      <c r="K316" s="117" t="str">
        <f t="shared" si="1"/>
        <v>No</v>
      </c>
      <c r="L316" s="118" t="s">
        <v>116</v>
      </c>
      <c r="M316" s="119">
        <v>0.3333333333333333</v>
      </c>
      <c r="N316" s="120">
        <v>1.0</v>
      </c>
      <c r="O316" s="121">
        <v>91.32</v>
      </c>
      <c r="P316" s="117">
        <v>1.0</v>
      </c>
      <c r="Q316" s="117">
        <f t="shared" si="2"/>
        <v>7</v>
      </c>
      <c r="R316" s="122">
        <f>+(IF(((M316*24)-P316)&lt;0,0,((M316*24)-P316)*'Estimación de pérdidas'!$F$72))*N316</f>
        <v>403746.5244</v>
      </c>
      <c r="S316" s="123" t="s">
        <v>272</v>
      </c>
      <c r="T316" s="124" t="s">
        <v>119</v>
      </c>
      <c r="U316" s="124">
        <f t="shared" si="3"/>
        <v>3</v>
      </c>
      <c r="V316" s="124">
        <v>1.0</v>
      </c>
      <c r="W316" s="124"/>
      <c r="X316" s="125">
        <v>3.0</v>
      </c>
      <c r="Y316" s="126"/>
      <c r="Z316" s="125">
        <f t="shared" si="4"/>
        <v>3</v>
      </c>
      <c r="AA316" s="127" t="str">
        <f t="shared" si="5"/>
        <v>Moderado</v>
      </c>
      <c r="AB316" s="128">
        <f t="shared" si="6"/>
        <v>13</v>
      </c>
      <c r="AC316" s="129">
        <f t="shared" si="7"/>
        <v>0.2339230643</v>
      </c>
      <c r="AD316" s="131"/>
    </row>
    <row r="317" ht="14.25" hidden="1" customHeight="1">
      <c r="A317" s="116" t="s">
        <v>1145</v>
      </c>
      <c r="B317" s="117" t="s">
        <v>1145</v>
      </c>
      <c r="C317" s="117" t="s">
        <v>1187</v>
      </c>
      <c r="D317" s="117" t="s">
        <v>1188</v>
      </c>
      <c r="E317" s="117" t="s">
        <v>1189</v>
      </c>
      <c r="F317" s="117" t="s">
        <v>1190</v>
      </c>
      <c r="G317" s="117" t="s">
        <v>1191</v>
      </c>
      <c r="H317" s="117" t="s">
        <v>1192</v>
      </c>
      <c r="I317" s="117">
        <v>1.0</v>
      </c>
      <c r="J317" s="117">
        <v>1.0</v>
      </c>
      <c r="K317" s="117" t="str">
        <f t="shared" si="1"/>
        <v>No</v>
      </c>
      <c r="L317" s="118" t="s">
        <v>116</v>
      </c>
      <c r="M317" s="119">
        <v>0.5</v>
      </c>
      <c r="N317" s="120">
        <v>0.5</v>
      </c>
      <c r="O317" s="121">
        <v>91.32</v>
      </c>
      <c r="P317" s="117">
        <v>1.0</v>
      </c>
      <c r="Q317" s="117">
        <f t="shared" si="2"/>
        <v>5.5</v>
      </c>
      <c r="R317" s="122">
        <f>+(IF(((M317*24)-P317)&lt;0,0,((M317*24)-P317)*'Estimación de pérdidas'!$F$72))*N317</f>
        <v>317229.412</v>
      </c>
      <c r="S317" s="123" t="s">
        <v>117</v>
      </c>
      <c r="T317" s="124" t="s">
        <v>132</v>
      </c>
      <c r="U317" s="124">
        <f t="shared" si="3"/>
        <v>3</v>
      </c>
      <c r="V317" s="124">
        <v>1.0</v>
      </c>
      <c r="W317" s="124"/>
      <c r="X317" s="125"/>
      <c r="Y317" s="126"/>
      <c r="Z317" s="125">
        <f t="shared" si="4"/>
        <v>3</v>
      </c>
      <c r="AA317" s="127" t="str">
        <f t="shared" si="5"/>
        <v>Bajo</v>
      </c>
      <c r="AB317" s="128">
        <f t="shared" si="6"/>
        <v>6</v>
      </c>
      <c r="AC317" s="129">
        <f t="shared" si="7"/>
        <v>0.05656854249</v>
      </c>
    </row>
    <row r="318" ht="14.25" hidden="1" customHeight="1">
      <c r="A318" s="116" t="s">
        <v>1145</v>
      </c>
      <c r="B318" s="117" t="s">
        <v>1145</v>
      </c>
      <c r="C318" s="117" t="s">
        <v>1193</v>
      </c>
      <c r="D318" s="117" t="s">
        <v>1194</v>
      </c>
      <c r="E318" s="117" t="s">
        <v>1184</v>
      </c>
      <c r="F318" s="117" t="s">
        <v>1195</v>
      </c>
      <c r="G318" s="117" t="s">
        <v>270</v>
      </c>
      <c r="H318" s="117" t="s">
        <v>1180</v>
      </c>
      <c r="I318" s="117">
        <v>1.0</v>
      </c>
      <c r="J318" s="117">
        <v>1.0</v>
      </c>
      <c r="K318" s="117" t="str">
        <f t="shared" si="1"/>
        <v>No</v>
      </c>
      <c r="L318" s="118" t="s">
        <v>116</v>
      </c>
      <c r="M318" s="119">
        <v>0.3333333333333333</v>
      </c>
      <c r="N318" s="120">
        <v>1.0</v>
      </c>
      <c r="O318" s="121">
        <v>91.32</v>
      </c>
      <c r="P318" s="117">
        <v>1.0</v>
      </c>
      <c r="Q318" s="117">
        <f t="shared" si="2"/>
        <v>7</v>
      </c>
      <c r="R318" s="122">
        <f>+(IF(((M318*24)-P318)&lt;0,0,((M318*24)-P318)*'Estimación de pérdidas'!$F$72))*N318</f>
        <v>403746.5244</v>
      </c>
      <c r="S318" s="123" t="s">
        <v>272</v>
      </c>
      <c r="T318" s="124" t="s">
        <v>119</v>
      </c>
      <c r="U318" s="124">
        <f t="shared" si="3"/>
        <v>3</v>
      </c>
      <c r="V318" s="124">
        <v>1.0</v>
      </c>
      <c r="W318" s="124"/>
      <c r="X318" s="125">
        <v>1.0</v>
      </c>
      <c r="Y318" s="126"/>
      <c r="Z318" s="125">
        <f t="shared" si="4"/>
        <v>3</v>
      </c>
      <c r="AA318" s="127" t="str">
        <f t="shared" si="5"/>
        <v>Moderado</v>
      </c>
      <c r="AB318" s="128">
        <f t="shared" si="6"/>
        <v>13</v>
      </c>
      <c r="AC318" s="129">
        <f t="shared" si="7"/>
        <v>0.1779887637</v>
      </c>
      <c r="AD318" s="131"/>
    </row>
    <row r="319" ht="14.25" hidden="1" customHeight="1">
      <c r="A319" s="116" t="s">
        <v>1145</v>
      </c>
      <c r="B319" s="117" t="s">
        <v>1145</v>
      </c>
      <c r="C319" s="117" t="s">
        <v>1196</v>
      </c>
      <c r="D319" s="117" t="s">
        <v>1197</v>
      </c>
      <c r="E319" s="117" t="s">
        <v>1196</v>
      </c>
      <c r="F319" s="117" t="s">
        <v>1198</v>
      </c>
      <c r="G319" s="117" t="s">
        <v>622</v>
      </c>
      <c r="H319" s="117" t="s">
        <v>631</v>
      </c>
      <c r="I319" s="117">
        <v>1.0</v>
      </c>
      <c r="J319" s="117">
        <v>1.0</v>
      </c>
      <c r="K319" s="117" t="str">
        <f t="shared" si="1"/>
        <v>No</v>
      </c>
      <c r="L319" s="118" t="s">
        <v>116</v>
      </c>
      <c r="M319" s="119">
        <v>0.25</v>
      </c>
      <c r="N319" s="120">
        <v>1.0</v>
      </c>
      <c r="O319" s="121">
        <v>21.0</v>
      </c>
      <c r="P319" s="117">
        <v>8.0</v>
      </c>
      <c r="Q319" s="117">
        <f t="shared" si="2"/>
        <v>0</v>
      </c>
      <c r="R319" s="122">
        <f>+(IF(((M319*24)-P319)&lt;0,0,((M319*24)-P319)*'Estimación de pérdidas'!$F$72))*N319</f>
        <v>0</v>
      </c>
      <c r="S319" s="123" t="s">
        <v>117</v>
      </c>
      <c r="T319" s="124" t="s">
        <v>119</v>
      </c>
      <c r="U319" s="124">
        <f t="shared" si="3"/>
        <v>1</v>
      </c>
      <c r="V319" s="124">
        <v>1.0</v>
      </c>
      <c r="W319" s="124"/>
      <c r="X319" s="125"/>
      <c r="Y319" s="126"/>
      <c r="Z319" s="125">
        <f t="shared" si="4"/>
        <v>1</v>
      </c>
      <c r="AA319" s="127" t="str">
        <f t="shared" si="5"/>
        <v>Bajo</v>
      </c>
      <c r="AB319" s="128">
        <f t="shared" si="6"/>
        <v>4</v>
      </c>
      <c r="AC319" s="129">
        <f t="shared" si="7"/>
        <v>0.07589466384</v>
      </c>
    </row>
    <row r="320" ht="14.25" hidden="1" customHeight="1">
      <c r="A320" s="116" t="s">
        <v>1145</v>
      </c>
      <c r="B320" s="117" t="s">
        <v>1145</v>
      </c>
      <c r="C320" s="117" t="s">
        <v>1199</v>
      </c>
      <c r="D320" s="117" t="s">
        <v>1200</v>
      </c>
      <c r="E320" s="117" t="s">
        <v>1201</v>
      </c>
      <c r="F320" s="117" t="s">
        <v>1202</v>
      </c>
      <c r="G320" s="117" t="s">
        <v>622</v>
      </c>
      <c r="H320" s="117" t="s">
        <v>631</v>
      </c>
      <c r="I320" s="117">
        <v>1.0</v>
      </c>
      <c r="J320" s="117">
        <v>1.0</v>
      </c>
      <c r="K320" s="117" t="str">
        <f t="shared" si="1"/>
        <v>No</v>
      </c>
      <c r="L320" s="118" t="s">
        <v>116</v>
      </c>
      <c r="M320" s="119">
        <v>0.75</v>
      </c>
      <c r="N320" s="120">
        <v>0.5</v>
      </c>
      <c r="O320" s="121">
        <v>21.0</v>
      </c>
      <c r="P320" s="117">
        <v>8.0</v>
      </c>
      <c r="Q320" s="117">
        <f t="shared" si="2"/>
        <v>5</v>
      </c>
      <c r="R320" s="122">
        <f>+(IF(((M320*24)-P320)&lt;0,0,((M320*24)-P320)*'Estimación de pérdidas'!$F$72))*N320</f>
        <v>288390.3746</v>
      </c>
      <c r="S320" s="123" t="s">
        <v>117</v>
      </c>
      <c r="T320" s="124" t="s">
        <v>119</v>
      </c>
      <c r="U320" s="124">
        <f t="shared" si="3"/>
        <v>3</v>
      </c>
      <c r="V320" s="124">
        <v>1.0</v>
      </c>
      <c r="W320" s="124"/>
      <c r="X320" s="125"/>
      <c r="Y320" s="126"/>
      <c r="Z320" s="125">
        <f t="shared" si="4"/>
        <v>3</v>
      </c>
      <c r="AA320" s="127" t="str">
        <f t="shared" si="5"/>
        <v>Moderado</v>
      </c>
      <c r="AB320" s="128">
        <f t="shared" si="6"/>
        <v>13</v>
      </c>
      <c r="AC320" s="129">
        <f t="shared" si="7"/>
        <v>0.1697056275</v>
      </c>
      <c r="AD320" s="131"/>
    </row>
    <row r="321" ht="14.25" hidden="1" customHeight="1">
      <c r="A321" s="116" t="s">
        <v>1145</v>
      </c>
      <c r="B321" s="117" t="s">
        <v>1145</v>
      </c>
      <c r="C321" s="117" t="s">
        <v>1199</v>
      </c>
      <c r="D321" s="117" t="s">
        <v>1203</v>
      </c>
      <c r="E321" s="117" t="s">
        <v>1201</v>
      </c>
      <c r="F321" s="117" t="s">
        <v>1202</v>
      </c>
      <c r="G321" s="117" t="s">
        <v>622</v>
      </c>
      <c r="H321" s="117" t="s">
        <v>631</v>
      </c>
      <c r="I321" s="117">
        <v>1.0</v>
      </c>
      <c r="J321" s="117">
        <v>1.0</v>
      </c>
      <c r="K321" s="117" t="str">
        <f t="shared" si="1"/>
        <v>No</v>
      </c>
      <c r="L321" s="118" t="s">
        <v>116</v>
      </c>
      <c r="M321" s="119">
        <v>0.75</v>
      </c>
      <c r="N321" s="120">
        <v>0.5</v>
      </c>
      <c r="O321" s="121">
        <v>21.0</v>
      </c>
      <c r="P321" s="117">
        <v>8.0</v>
      </c>
      <c r="Q321" s="117">
        <f t="shared" si="2"/>
        <v>5</v>
      </c>
      <c r="R321" s="122">
        <f>+(IF(((M321*24)-P321)&lt;0,0,((M321*24)-P321)*'Estimación de pérdidas'!$F$72))*N321</f>
        <v>288390.3746</v>
      </c>
      <c r="S321" s="123" t="s">
        <v>117</v>
      </c>
      <c r="T321" s="124" t="s">
        <v>119</v>
      </c>
      <c r="U321" s="124">
        <f t="shared" si="3"/>
        <v>3</v>
      </c>
      <c r="V321" s="124">
        <v>1.0</v>
      </c>
      <c r="W321" s="124"/>
      <c r="X321" s="125"/>
      <c r="Y321" s="126"/>
      <c r="Z321" s="125">
        <f t="shared" si="4"/>
        <v>3</v>
      </c>
      <c r="AA321" s="127" t="str">
        <f t="shared" si="5"/>
        <v>Moderado</v>
      </c>
      <c r="AB321" s="128">
        <f t="shared" si="6"/>
        <v>13</v>
      </c>
      <c r="AC321" s="129">
        <f t="shared" si="7"/>
        <v>0.1697056275</v>
      </c>
      <c r="AD321" s="131"/>
    </row>
    <row r="322" ht="14.25" customHeight="1">
      <c r="A322" s="116" t="s">
        <v>1145</v>
      </c>
      <c r="B322" s="117" t="s">
        <v>1145</v>
      </c>
      <c r="C322" s="117" t="s">
        <v>1204</v>
      </c>
      <c r="D322" s="117" t="s">
        <v>1205</v>
      </c>
      <c r="E322" s="117" t="s">
        <v>1204</v>
      </c>
      <c r="F322" s="117" t="s">
        <v>1206</v>
      </c>
      <c r="G322" s="117" t="s">
        <v>1207</v>
      </c>
      <c r="H322" s="117" t="s">
        <v>1208</v>
      </c>
      <c r="I322" s="117">
        <v>1.0</v>
      </c>
      <c r="J322" s="117">
        <v>1.0</v>
      </c>
      <c r="K322" s="117" t="str">
        <f t="shared" si="1"/>
        <v>No</v>
      </c>
      <c r="L322" s="118" t="s">
        <v>116</v>
      </c>
      <c r="M322" s="119">
        <v>0.25</v>
      </c>
      <c r="N322" s="120">
        <v>0.5</v>
      </c>
      <c r="O322" s="121">
        <v>91.32</v>
      </c>
      <c r="P322" s="117">
        <v>1.0</v>
      </c>
      <c r="Q322" s="117">
        <f t="shared" si="2"/>
        <v>2.5</v>
      </c>
      <c r="R322" s="122">
        <f>+(IF(((M322*24)-P322)&lt;0,0,((M322*24)-P322)*'Estimación de pérdidas'!$F$72))*N322</f>
        <v>144195.1873</v>
      </c>
      <c r="S322" s="123" t="s">
        <v>272</v>
      </c>
      <c r="T322" s="124" t="s">
        <v>118</v>
      </c>
      <c r="U322" s="124">
        <f t="shared" si="3"/>
        <v>2</v>
      </c>
      <c r="V322" s="124">
        <v>1.0</v>
      </c>
      <c r="W322" s="124"/>
      <c r="X322" s="125">
        <v>2.0</v>
      </c>
      <c r="Y322" s="126"/>
      <c r="Z322" s="125">
        <f t="shared" si="4"/>
        <v>2</v>
      </c>
      <c r="AA322" s="127" t="str">
        <f t="shared" si="5"/>
        <v>Bajo</v>
      </c>
      <c r="AB322" s="128">
        <f t="shared" si="6"/>
        <v>5</v>
      </c>
      <c r="AC322" s="129">
        <f t="shared" si="7"/>
        <v>0.1073312629</v>
      </c>
    </row>
    <row r="323" ht="14.25" customHeight="1">
      <c r="A323" s="116" t="s">
        <v>1145</v>
      </c>
      <c r="B323" s="117" t="s">
        <v>1145</v>
      </c>
      <c r="C323" s="117" t="s">
        <v>1204</v>
      </c>
      <c r="D323" s="117" t="s">
        <v>1209</v>
      </c>
      <c r="E323" s="117" t="s">
        <v>1204</v>
      </c>
      <c r="F323" s="117" t="s">
        <v>1206</v>
      </c>
      <c r="G323" s="117" t="s">
        <v>1207</v>
      </c>
      <c r="H323" s="117" t="s">
        <v>1208</v>
      </c>
      <c r="I323" s="117">
        <v>1.0</v>
      </c>
      <c r="J323" s="117">
        <v>1.0</v>
      </c>
      <c r="K323" s="117" t="str">
        <f t="shared" si="1"/>
        <v>No</v>
      </c>
      <c r="L323" s="118" t="s">
        <v>116</v>
      </c>
      <c r="M323" s="119">
        <v>0.25</v>
      </c>
      <c r="N323" s="120">
        <v>0.5</v>
      </c>
      <c r="O323" s="121">
        <v>91.32</v>
      </c>
      <c r="P323" s="117">
        <v>1.0</v>
      </c>
      <c r="Q323" s="117">
        <f t="shared" si="2"/>
        <v>2.5</v>
      </c>
      <c r="R323" s="122">
        <f>+(IF(((M323*24)-P323)&lt;0,0,((M323*24)-P323)*'Estimación de pérdidas'!$F$72))*N323</f>
        <v>144195.1873</v>
      </c>
      <c r="S323" s="123" t="s">
        <v>272</v>
      </c>
      <c r="T323" s="124" t="s">
        <v>118</v>
      </c>
      <c r="U323" s="124">
        <f t="shared" si="3"/>
        <v>2</v>
      </c>
      <c r="V323" s="124">
        <v>1.0</v>
      </c>
      <c r="W323" s="124"/>
      <c r="X323" s="125">
        <v>2.0</v>
      </c>
      <c r="Y323" s="126"/>
      <c r="Z323" s="125">
        <f t="shared" si="4"/>
        <v>2</v>
      </c>
      <c r="AA323" s="127" t="str">
        <f t="shared" si="5"/>
        <v>Bajo</v>
      </c>
      <c r="AB323" s="128">
        <f t="shared" si="6"/>
        <v>5</v>
      </c>
      <c r="AC323" s="129">
        <f t="shared" si="7"/>
        <v>0.1073312629</v>
      </c>
    </row>
    <row r="324" ht="14.25" customHeight="1">
      <c r="A324" s="116" t="s">
        <v>1145</v>
      </c>
      <c r="B324" s="117" t="s">
        <v>1145</v>
      </c>
      <c r="C324" s="117" t="s">
        <v>1204</v>
      </c>
      <c r="D324" s="117" t="s">
        <v>1210</v>
      </c>
      <c r="E324" s="117" t="s">
        <v>1204</v>
      </c>
      <c r="F324" s="117" t="s">
        <v>1211</v>
      </c>
      <c r="G324" s="117" t="s">
        <v>1207</v>
      </c>
      <c r="H324" s="117" t="s">
        <v>1208</v>
      </c>
      <c r="I324" s="117">
        <v>1.0</v>
      </c>
      <c r="J324" s="117">
        <v>1.0</v>
      </c>
      <c r="K324" s="117" t="str">
        <f t="shared" si="1"/>
        <v>No</v>
      </c>
      <c r="L324" s="118" t="s">
        <v>116</v>
      </c>
      <c r="M324" s="119">
        <v>0.25</v>
      </c>
      <c r="N324" s="120">
        <v>0.5</v>
      </c>
      <c r="O324" s="121">
        <v>91.32</v>
      </c>
      <c r="P324" s="117">
        <v>1.0</v>
      </c>
      <c r="Q324" s="117">
        <f t="shared" si="2"/>
        <v>2.5</v>
      </c>
      <c r="R324" s="122">
        <f>+(IF(((M324*24)-P324)&lt;0,0,((M324*24)-P324)*'Estimación de pérdidas'!$F$72))*N324</f>
        <v>144195.1873</v>
      </c>
      <c r="S324" s="123" t="s">
        <v>272</v>
      </c>
      <c r="T324" s="124" t="s">
        <v>118</v>
      </c>
      <c r="U324" s="124">
        <f t="shared" si="3"/>
        <v>2</v>
      </c>
      <c r="V324" s="124">
        <v>1.0</v>
      </c>
      <c r="W324" s="124"/>
      <c r="X324" s="125">
        <v>2.0</v>
      </c>
      <c r="Y324" s="126"/>
      <c r="Z324" s="125">
        <f t="shared" si="4"/>
        <v>2</v>
      </c>
      <c r="AA324" s="127" t="str">
        <f t="shared" si="5"/>
        <v>Bajo</v>
      </c>
      <c r="AB324" s="128">
        <f t="shared" si="6"/>
        <v>5</v>
      </c>
      <c r="AC324" s="129">
        <f t="shared" si="7"/>
        <v>0.1073312629</v>
      </c>
    </row>
    <row r="325" ht="14.25" customHeight="1">
      <c r="A325" s="116" t="s">
        <v>1145</v>
      </c>
      <c r="B325" s="117" t="s">
        <v>1145</v>
      </c>
      <c r="C325" s="117" t="s">
        <v>1204</v>
      </c>
      <c r="D325" s="117" t="s">
        <v>1212</v>
      </c>
      <c r="E325" s="117" t="s">
        <v>1204</v>
      </c>
      <c r="F325" s="117" t="s">
        <v>1211</v>
      </c>
      <c r="G325" s="117" t="s">
        <v>1207</v>
      </c>
      <c r="H325" s="117" t="s">
        <v>1208</v>
      </c>
      <c r="I325" s="117">
        <v>1.0</v>
      </c>
      <c r="J325" s="117">
        <v>1.0</v>
      </c>
      <c r="K325" s="117" t="str">
        <f t="shared" si="1"/>
        <v>No</v>
      </c>
      <c r="L325" s="118" t="s">
        <v>116</v>
      </c>
      <c r="M325" s="119">
        <v>0.25</v>
      </c>
      <c r="N325" s="120">
        <v>0.5</v>
      </c>
      <c r="O325" s="121">
        <v>91.32</v>
      </c>
      <c r="P325" s="117">
        <v>1.0</v>
      </c>
      <c r="Q325" s="117">
        <f t="shared" si="2"/>
        <v>2.5</v>
      </c>
      <c r="R325" s="122">
        <f>+(IF(((M325*24)-P325)&lt;0,0,((M325*24)-P325)*'Estimación de pérdidas'!$F$72))*N325</f>
        <v>144195.1873</v>
      </c>
      <c r="S325" s="123" t="s">
        <v>272</v>
      </c>
      <c r="T325" s="124" t="s">
        <v>118</v>
      </c>
      <c r="U325" s="124">
        <f t="shared" si="3"/>
        <v>2</v>
      </c>
      <c r="V325" s="124">
        <v>1.0</v>
      </c>
      <c r="W325" s="124"/>
      <c r="X325" s="125">
        <v>2.0</v>
      </c>
      <c r="Y325" s="126"/>
      <c r="Z325" s="125">
        <f t="shared" si="4"/>
        <v>2</v>
      </c>
      <c r="AA325" s="127" t="str">
        <f t="shared" si="5"/>
        <v>Bajo</v>
      </c>
      <c r="AB325" s="128">
        <f t="shared" si="6"/>
        <v>5</v>
      </c>
      <c r="AC325" s="129">
        <f t="shared" si="7"/>
        <v>0.1073312629</v>
      </c>
    </row>
    <row r="326" ht="14.25" hidden="1" customHeight="1">
      <c r="A326" s="116" t="s">
        <v>1145</v>
      </c>
      <c r="B326" s="117" t="s">
        <v>1145</v>
      </c>
      <c r="C326" s="117" t="s">
        <v>1213</v>
      </c>
      <c r="D326" s="117" t="s">
        <v>1214</v>
      </c>
      <c r="E326" s="117" t="s">
        <v>1215</v>
      </c>
      <c r="F326" s="117" t="s">
        <v>1216</v>
      </c>
      <c r="G326" s="117" t="s">
        <v>1217</v>
      </c>
      <c r="H326" s="117" t="s">
        <v>990</v>
      </c>
      <c r="I326" s="117">
        <v>1.0</v>
      </c>
      <c r="J326" s="117">
        <v>1.0</v>
      </c>
      <c r="K326" s="117" t="str">
        <f t="shared" si="1"/>
        <v>No</v>
      </c>
      <c r="L326" s="118" t="s">
        <v>116</v>
      </c>
      <c r="M326" s="119">
        <v>1.0</v>
      </c>
      <c r="N326" s="120">
        <v>0.5</v>
      </c>
      <c r="O326" s="121">
        <v>91.32</v>
      </c>
      <c r="P326" s="117">
        <v>1.0</v>
      </c>
      <c r="Q326" s="117">
        <f t="shared" si="2"/>
        <v>11.5</v>
      </c>
      <c r="R326" s="122">
        <f>+(IF(((M326*24)-P326)&lt;0,0,((M326*24)-P326)*'Estimación de pérdidas'!$F$72))*N326</f>
        <v>663297.8615</v>
      </c>
      <c r="S326" s="123" t="s">
        <v>117</v>
      </c>
      <c r="T326" s="124" t="s">
        <v>119</v>
      </c>
      <c r="U326" s="124">
        <f t="shared" si="3"/>
        <v>4</v>
      </c>
      <c r="V326" s="124">
        <v>1.0</v>
      </c>
      <c r="W326" s="124"/>
      <c r="X326" s="125"/>
      <c r="Y326" s="126"/>
      <c r="Z326" s="125">
        <f t="shared" si="4"/>
        <v>4</v>
      </c>
      <c r="AA326" s="127" t="str">
        <f t="shared" si="5"/>
        <v>Moderado</v>
      </c>
      <c r="AB326" s="128">
        <f t="shared" si="6"/>
        <v>18</v>
      </c>
      <c r="AC326" s="129">
        <f t="shared" si="7"/>
        <v>0.221269067</v>
      </c>
      <c r="AD326" s="130"/>
    </row>
    <row r="327" ht="14.25" hidden="1" customHeight="1">
      <c r="A327" s="116" t="s">
        <v>1145</v>
      </c>
      <c r="B327" s="117" t="s">
        <v>1145</v>
      </c>
      <c r="C327" s="117" t="s">
        <v>1213</v>
      </c>
      <c r="D327" s="117" t="s">
        <v>1218</v>
      </c>
      <c r="E327" s="117" t="s">
        <v>1219</v>
      </c>
      <c r="F327" s="117" t="s">
        <v>1216</v>
      </c>
      <c r="G327" s="117" t="s">
        <v>1217</v>
      </c>
      <c r="H327" s="117" t="s">
        <v>990</v>
      </c>
      <c r="I327" s="117">
        <v>1.0</v>
      </c>
      <c r="J327" s="117">
        <v>1.0</v>
      </c>
      <c r="K327" s="117" t="str">
        <f t="shared" si="1"/>
        <v>No</v>
      </c>
      <c r="L327" s="118" t="s">
        <v>116</v>
      </c>
      <c r="M327" s="119">
        <v>1.0</v>
      </c>
      <c r="N327" s="120">
        <v>0.5</v>
      </c>
      <c r="O327" s="121">
        <v>91.32</v>
      </c>
      <c r="P327" s="117">
        <v>1.0</v>
      </c>
      <c r="Q327" s="117">
        <f t="shared" si="2"/>
        <v>11.5</v>
      </c>
      <c r="R327" s="122">
        <f>+(IF(((M327*24)-P327)&lt;0,0,((M327*24)-P327)*'Estimación de pérdidas'!$F$72))*N327</f>
        <v>663297.8615</v>
      </c>
      <c r="S327" s="123" t="s">
        <v>117</v>
      </c>
      <c r="T327" s="124" t="s">
        <v>119</v>
      </c>
      <c r="U327" s="124">
        <f t="shared" si="3"/>
        <v>4</v>
      </c>
      <c r="V327" s="124">
        <v>1.0</v>
      </c>
      <c r="W327" s="124"/>
      <c r="X327" s="125"/>
      <c r="Y327" s="126"/>
      <c r="Z327" s="125">
        <f t="shared" si="4"/>
        <v>4</v>
      </c>
      <c r="AA327" s="127" t="str">
        <f t="shared" si="5"/>
        <v>Moderado</v>
      </c>
      <c r="AB327" s="128">
        <f t="shared" si="6"/>
        <v>18</v>
      </c>
      <c r="AC327" s="129">
        <f t="shared" si="7"/>
        <v>0.221269067</v>
      </c>
      <c r="AD327" s="130"/>
    </row>
    <row r="328" ht="14.25" hidden="1" customHeight="1">
      <c r="A328" s="116" t="s">
        <v>1145</v>
      </c>
      <c r="B328" s="117" t="s">
        <v>1145</v>
      </c>
      <c r="C328" s="117" t="s">
        <v>1220</v>
      </c>
      <c r="D328" s="117" t="s">
        <v>1221</v>
      </c>
      <c r="E328" s="117" t="s">
        <v>1222</v>
      </c>
      <c r="F328" s="117" t="s">
        <v>1223</v>
      </c>
      <c r="G328" s="117" t="s">
        <v>1224</v>
      </c>
      <c r="H328" s="117" t="s">
        <v>1225</v>
      </c>
      <c r="I328" s="117">
        <v>1.0</v>
      </c>
      <c r="J328" s="117">
        <v>1.0</v>
      </c>
      <c r="K328" s="117" t="str">
        <f t="shared" si="1"/>
        <v>No</v>
      </c>
      <c r="L328" s="118" t="s">
        <v>116</v>
      </c>
      <c r="M328" s="119">
        <v>0.5</v>
      </c>
      <c r="N328" s="120">
        <v>0.5</v>
      </c>
      <c r="O328" s="121">
        <v>91.32</v>
      </c>
      <c r="P328" s="117">
        <v>1.0</v>
      </c>
      <c r="Q328" s="117">
        <f t="shared" si="2"/>
        <v>5.5</v>
      </c>
      <c r="R328" s="122">
        <f>+(IF(((M328*24)-P328)&lt;0,0,((M328*24)-P328)*'Estimación de pérdidas'!$F$72))*N328</f>
        <v>317229.412</v>
      </c>
      <c r="S328" s="123" t="s">
        <v>117</v>
      </c>
      <c r="T328" s="124" t="s">
        <v>119</v>
      </c>
      <c r="U328" s="124">
        <f t="shared" si="3"/>
        <v>3</v>
      </c>
      <c r="V328" s="124">
        <v>1.0</v>
      </c>
      <c r="W328" s="124"/>
      <c r="X328" s="125"/>
      <c r="Y328" s="126"/>
      <c r="Z328" s="125">
        <f t="shared" si="4"/>
        <v>3</v>
      </c>
      <c r="AA328" s="127" t="str">
        <f t="shared" si="5"/>
        <v>Moderado</v>
      </c>
      <c r="AB328" s="128">
        <f t="shared" si="6"/>
        <v>13</v>
      </c>
      <c r="AC328" s="129">
        <f t="shared" si="7"/>
        <v>0.1697056275</v>
      </c>
      <c r="AD328" s="131"/>
    </row>
    <row r="329" ht="14.25" hidden="1" customHeight="1">
      <c r="A329" s="116" t="s">
        <v>1145</v>
      </c>
      <c r="B329" s="117" t="s">
        <v>1145</v>
      </c>
      <c r="C329" s="117" t="s">
        <v>1220</v>
      </c>
      <c r="D329" s="117" t="s">
        <v>1226</v>
      </c>
      <c r="E329" s="117" t="s">
        <v>1227</v>
      </c>
      <c r="F329" s="117" t="s">
        <v>1223</v>
      </c>
      <c r="G329" s="117" t="s">
        <v>1224</v>
      </c>
      <c r="H329" s="117" t="s">
        <v>1225</v>
      </c>
      <c r="I329" s="117">
        <v>1.0</v>
      </c>
      <c r="J329" s="117">
        <v>1.0</v>
      </c>
      <c r="K329" s="117" t="str">
        <f t="shared" si="1"/>
        <v>No</v>
      </c>
      <c r="L329" s="118" t="s">
        <v>116</v>
      </c>
      <c r="M329" s="119">
        <v>0.5</v>
      </c>
      <c r="N329" s="120">
        <v>0.5</v>
      </c>
      <c r="O329" s="121">
        <v>91.32</v>
      </c>
      <c r="P329" s="117">
        <v>1.0</v>
      </c>
      <c r="Q329" s="117">
        <f t="shared" si="2"/>
        <v>5.5</v>
      </c>
      <c r="R329" s="122">
        <f>+(IF(((M329*24)-P329)&lt;0,0,((M329*24)-P329)*'Estimación de pérdidas'!$F$72))*N329</f>
        <v>317229.412</v>
      </c>
      <c r="S329" s="123" t="s">
        <v>117</v>
      </c>
      <c r="T329" s="124" t="s">
        <v>119</v>
      </c>
      <c r="U329" s="124">
        <f t="shared" si="3"/>
        <v>3</v>
      </c>
      <c r="V329" s="124">
        <v>1.0</v>
      </c>
      <c r="W329" s="124"/>
      <c r="X329" s="125"/>
      <c r="Y329" s="126"/>
      <c r="Z329" s="125">
        <f t="shared" si="4"/>
        <v>3</v>
      </c>
      <c r="AA329" s="127" t="str">
        <f t="shared" si="5"/>
        <v>Moderado</v>
      </c>
      <c r="AB329" s="128">
        <f t="shared" si="6"/>
        <v>13</v>
      </c>
      <c r="AC329" s="129">
        <f t="shared" si="7"/>
        <v>0.1697056275</v>
      </c>
      <c r="AD329" s="131"/>
    </row>
    <row r="330" ht="14.25" hidden="1" customHeight="1">
      <c r="A330" s="116" t="s">
        <v>1145</v>
      </c>
      <c r="B330" s="117" t="s">
        <v>1145</v>
      </c>
      <c r="C330" s="117" t="s">
        <v>1228</v>
      </c>
      <c r="D330" s="117" t="s">
        <v>1229</v>
      </c>
      <c r="E330" s="117" t="s">
        <v>1230</v>
      </c>
      <c r="F330" s="117" t="s">
        <v>1231</v>
      </c>
      <c r="G330" s="117" t="s">
        <v>1232</v>
      </c>
      <c r="H330" s="117" t="s">
        <v>1233</v>
      </c>
      <c r="I330" s="117">
        <v>1.0</v>
      </c>
      <c r="J330" s="117">
        <v>1.0</v>
      </c>
      <c r="K330" s="117" t="str">
        <f t="shared" si="1"/>
        <v>No</v>
      </c>
      <c r="L330" s="118" t="s">
        <v>116</v>
      </c>
      <c r="M330" s="119">
        <v>0.25</v>
      </c>
      <c r="N330" s="120">
        <v>1.0</v>
      </c>
      <c r="O330" s="121">
        <v>91.32</v>
      </c>
      <c r="P330" s="117">
        <v>1.0</v>
      </c>
      <c r="Q330" s="117">
        <f t="shared" si="2"/>
        <v>5</v>
      </c>
      <c r="R330" s="122">
        <f>+(IF(((M330*24)-P330)&lt;0,0,((M330*24)-P330)*'Estimación de pérdidas'!$F$72))*N330</f>
        <v>288390.3746</v>
      </c>
      <c r="S330" s="123" t="s">
        <v>272</v>
      </c>
      <c r="T330" s="124" t="s">
        <v>119</v>
      </c>
      <c r="U330" s="124">
        <f t="shared" si="3"/>
        <v>3</v>
      </c>
      <c r="V330" s="124">
        <v>1.0</v>
      </c>
      <c r="W330" s="124"/>
      <c r="X330" s="125">
        <v>1.0</v>
      </c>
      <c r="Y330" s="126"/>
      <c r="Z330" s="125">
        <f t="shared" si="4"/>
        <v>3</v>
      </c>
      <c r="AA330" s="127" t="str">
        <f t="shared" si="5"/>
        <v>Moderado</v>
      </c>
      <c r="AB330" s="128">
        <f t="shared" si="6"/>
        <v>13</v>
      </c>
      <c r="AC330" s="129">
        <f t="shared" si="7"/>
        <v>0.1779887637</v>
      </c>
      <c r="AD330" s="131"/>
    </row>
    <row r="331" ht="14.25" hidden="1" customHeight="1">
      <c r="A331" s="116" t="s">
        <v>1145</v>
      </c>
      <c r="B331" s="117" t="s">
        <v>1145</v>
      </c>
      <c r="C331" s="117" t="s">
        <v>1234</v>
      </c>
      <c r="D331" s="117" t="s">
        <v>1235</v>
      </c>
      <c r="E331" s="117" t="s">
        <v>1234</v>
      </c>
      <c r="F331" s="117" t="s">
        <v>1236</v>
      </c>
      <c r="G331" s="117" t="s">
        <v>1001</v>
      </c>
      <c r="H331" s="117" t="s">
        <v>1237</v>
      </c>
      <c r="I331" s="117">
        <v>2.0</v>
      </c>
      <c r="J331" s="117">
        <v>1.0</v>
      </c>
      <c r="K331" s="117" t="str">
        <f t="shared" si="1"/>
        <v>Si</v>
      </c>
      <c r="L331" s="118" t="s">
        <v>287</v>
      </c>
      <c r="M331" s="119">
        <v>0.25</v>
      </c>
      <c r="N331" s="120">
        <v>0.0</v>
      </c>
      <c r="O331" s="121"/>
      <c r="P331" s="117">
        <v>0.0</v>
      </c>
      <c r="Q331" s="117">
        <f t="shared" si="2"/>
        <v>0</v>
      </c>
      <c r="R331" s="122">
        <f>+(IF(((M331*24)-P331)&lt;0,0,((M331*24)-P331)*'Estimación de pérdidas'!$F$72))*N331</f>
        <v>0</v>
      </c>
      <c r="S331" s="123" t="s">
        <v>272</v>
      </c>
      <c r="T331" s="124" t="s">
        <v>119</v>
      </c>
      <c r="U331" s="124">
        <f t="shared" si="3"/>
        <v>1</v>
      </c>
      <c r="V331" s="124">
        <v>1.0</v>
      </c>
      <c r="W331" s="124"/>
      <c r="X331" s="125">
        <v>2.0</v>
      </c>
      <c r="Y331" s="126"/>
      <c r="Z331" s="125">
        <f t="shared" si="4"/>
        <v>2</v>
      </c>
      <c r="AA331" s="127" t="str">
        <f t="shared" si="5"/>
        <v>Moderado</v>
      </c>
      <c r="AB331" s="128">
        <f t="shared" si="6"/>
        <v>8</v>
      </c>
      <c r="AC331" s="129">
        <f t="shared" si="7"/>
        <v>0.1314534138</v>
      </c>
      <c r="AD331" s="131"/>
    </row>
    <row r="332" ht="14.25" hidden="1" customHeight="1">
      <c r="A332" s="116" t="s">
        <v>1145</v>
      </c>
      <c r="B332" s="117" t="s">
        <v>1145</v>
      </c>
      <c r="C332" s="117" t="s">
        <v>1234</v>
      </c>
      <c r="D332" s="117" t="s">
        <v>1238</v>
      </c>
      <c r="E332" s="117" t="s">
        <v>1234</v>
      </c>
      <c r="F332" s="117" t="s">
        <v>1239</v>
      </c>
      <c r="G332" s="117" t="s">
        <v>1001</v>
      </c>
      <c r="H332" s="117" t="s">
        <v>1237</v>
      </c>
      <c r="I332" s="117">
        <v>2.0</v>
      </c>
      <c r="J332" s="117">
        <v>1.0</v>
      </c>
      <c r="K332" s="117" t="str">
        <f t="shared" si="1"/>
        <v>Si</v>
      </c>
      <c r="L332" s="118" t="s">
        <v>287</v>
      </c>
      <c r="M332" s="119">
        <v>0.25</v>
      </c>
      <c r="N332" s="120">
        <v>0.0</v>
      </c>
      <c r="O332" s="121"/>
      <c r="P332" s="117">
        <v>0.0</v>
      </c>
      <c r="Q332" s="117">
        <f t="shared" si="2"/>
        <v>0</v>
      </c>
      <c r="R332" s="122">
        <f>+(IF(((M332*24)-P332)&lt;0,0,((M332*24)-P332)*'Estimación de pérdidas'!$F$72))*N332</f>
        <v>0</v>
      </c>
      <c r="S332" s="123" t="s">
        <v>272</v>
      </c>
      <c r="T332" s="124" t="s">
        <v>119</v>
      </c>
      <c r="U332" s="124">
        <f t="shared" si="3"/>
        <v>1</v>
      </c>
      <c r="V332" s="124">
        <v>1.0</v>
      </c>
      <c r="W332" s="124"/>
      <c r="X332" s="125">
        <v>2.0</v>
      </c>
      <c r="Y332" s="126"/>
      <c r="Z332" s="125">
        <f t="shared" si="4"/>
        <v>2</v>
      </c>
      <c r="AA332" s="127" t="str">
        <f t="shared" si="5"/>
        <v>Moderado</v>
      </c>
      <c r="AB332" s="128">
        <f t="shared" si="6"/>
        <v>8</v>
      </c>
      <c r="AC332" s="129">
        <f t="shared" si="7"/>
        <v>0.1314534138</v>
      </c>
      <c r="AD332" s="131"/>
    </row>
    <row r="333" ht="14.25" hidden="1" customHeight="1">
      <c r="A333" s="116" t="s">
        <v>1145</v>
      </c>
      <c r="B333" s="117" t="s">
        <v>1145</v>
      </c>
      <c r="C333" s="117" t="s">
        <v>1234</v>
      </c>
      <c r="D333" s="117" t="s">
        <v>1240</v>
      </c>
      <c r="E333" s="117" t="s">
        <v>1234</v>
      </c>
      <c r="F333" s="117" t="s">
        <v>1241</v>
      </c>
      <c r="G333" s="117" t="s">
        <v>1001</v>
      </c>
      <c r="H333" s="117" t="s">
        <v>1072</v>
      </c>
      <c r="I333" s="117">
        <v>2.0</v>
      </c>
      <c r="J333" s="117">
        <v>1.0</v>
      </c>
      <c r="K333" s="117" t="str">
        <f t="shared" si="1"/>
        <v>Si</v>
      </c>
      <c r="L333" s="118" t="s">
        <v>287</v>
      </c>
      <c r="M333" s="119">
        <v>0.25</v>
      </c>
      <c r="N333" s="120">
        <v>0.0</v>
      </c>
      <c r="O333" s="121"/>
      <c r="P333" s="117">
        <v>0.0</v>
      </c>
      <c r="Q333" s="117">
        <f t="shared" si="2"/>
        <v>0</v>
      </c>
      <c r="R333" s="122">
        <f>+(IF(((M333*24)-P333)&lt;0,0,((M333*24)-P333)*'Estimación de pérdidas'!$F$72))*N333</f>
        <v>0</v>
      </c>
      <c r="S333" s="123" t="s">
        <v>272</v>
      </c>
      <c r="T333" s="124" t="s">
        <v>119</v>
      </c>
      <c r="U333" s="124">
        <f t="shared" si="3"/>
        <v>1</v>
      </c>
      <c r="V333" s="124">
        <v>1.0</v>
      </c>
      <c r="W333" s="124"/>
      <c r="X333" s="125">
        <v>2.0</v>
      </c>
      <c r="Y333" s="126"/>
      <c r="Z333" s="125">
        <f t="shared" si="4"/>
        <v>2</v>
      </c>
      <c r="AA333" s="127" t="str">
        <f t="shared" si="5"/>
        <v>Moderado</v>
      </c>
      <c r="AB333" s="128">
        <f t="shared" si="6"/>
        <v>8</v>
      </c>
      <c r="AC333" s="129">
        <f t="shared" si="7"/>
        <v>0.1314534138</v>
      </c>
      <c r="AD333" s="131"/>
    </row>
    <row r="334" ht="14.25" hidden="1" customHeight="1">
      <c r="A334" s="116" t="s">
        <v>1145</v>
      </c>
      <c r="B334" s="117" t="s">
        <v>1145</v>
      </c>
      <c r="C334" s="117" t="s">
        <v>1234</v>
      </c>
      <c r="D334" s="117" t="s">
        <v>1242</v>
      </c>
      <c r="E334" s="117" t="s">
        <v>1234</v>
      </c>
      <c r="F334" s="117" t="s">
        <v>1243</v>
      </c>
      <c r="G334" s="117" t="s">
        <v>1001</v>
      </c>
      <c r="H334" s="117" t="s">
        <v>1237</v>
      </c>
      <c r="I334" s="117">
        <v>2.0</v>
      </c>
      <c r="J334" s="117">
        <v>1.0</v>
      </c>
      <c r="K334" s="117" t="str">
        <f t="shared" si="1"/>
        <v>Si</v>
      </c>
      <c r="L334" s="118" t="s">
        <v>287</v>
      </c>
      <c r="M334" s="119">
        <v>0.25</v>
      </c>
      <c r="N334" s="120">
        <v>0.0</v>
      </c>
      <c r="O334" s="121"/>
      <c r="P334" s="117">
        <v>0.0</v>
      </c>
      <c r="Q334" s="117">
        <f t="shared" si="2"/>
        <v>0</v>
      </c>
      <c r="R334" s="122">
        <f>+(IF(((M334*24)-P334)&lt;0,0,((M334*24)-P334)*'Estimación de pérdidas'!$F$72))*N334</f>
        <v>0</v>
      </c>
      <c r="S334" s="123" t="s">
        <v>272</v>
      </c>
      <c r="T334" s="124" t="s">
        <v>119</v>
      </c>
      <c r="U334" s="124">
        <f t="shared" si="3"/>
        <v>1</v>
      </c>
      <c r="V334" s="124">
        <v>1.0</v>
      </c>
      <c r="W334" s="124"/>
      <c r="X334" s="125">
        <v>2.0</v>
      </c>
      <c r="Y334" s="126"/>
      <c r="Z334" s="125">
        <f t="shared" si="4"/>
        <v>2</v>
      </c>
      <c r="AA334" s="127" t="str">
        <f t="shared" si="5"/>
        <v>Moderado</v>
      </c>
      <c r="AB334" s="128">
        <f t="shared" si="6"/>
        <v>8</v>
      </c>
      <c r="AC334" s="129">
        <f t="shared" si="7"/>
        <v>0.1314534138</v>
      </c>
      <c r="AD334" s="131"/>
    </row>
    <row r="335" ht="14.25" hidden="1" customHeight="1">
      <c r="A335" s="116" t="s">
        <v>300</v>
      </c>
      <c r="B335" s="117" t="s">
        <v>301</v>
      </c>
      <c r="C335" s="117" t="s">
        <v>1244</v>
      </c>
      <c r="D335" s="117" t="s">
        <v>1245</v>
      </c>
      <c r="E335" s="117" t="s">
        <v>1246</v>
      </c>
      <c r="F335" s="117" t="s">
        <v>1247</v>
      </c>
      <c r="G335" s="117" t="s">
        <v>205</v>
      </c>
      <c r="H335" s="117" t="s">
        <v>1248</v>
      </c>
      <c r="I335" s="117">
        <v>1.0</v>
      </c>
      <c r="J335" s="117">
        <v>1.0</v>
      </c>
      <c r="K335" s="117" t="str">
        <f t="shared" si="1"/>
        <v>No</v>
      </c>
      <c r="L335" s="118" t="s">
        <v>116</v>
      </c>
      <c r="M335" s="119">
        <v>0.3333333333333333</v>
      </c>
      <c r="N335" s="120">
        <v>1.0</v>
      </c>
      <c r="O335" s="121">
        <v>91.32</v>
      </c>
      <c r="P335" s="117">
        <v>1.0</v>
      </c>
      <c r="Q335" s="117">
        <f t="shared" si="2"/>
        <v>7</v>
      </c>
      <c r="R335" s="122">
        <f>+(IF(((M335*24)-P335)&lt;0,0,((M335*24)-P335)*'Estimación de pérdidas'!$F$72))*N335</f>
        <v>403746.5244</v>
      </c>
      <c r="S335" s="123" t="s">
        <v>117</v>
      </c>
      <c r="T335" s="124" t="s">
        <v>106</v>
      </c>
      <c r="U335" s="124">
        <f t="shared" si="3"/>
        <v>3</v>
      </c>
      <c r="V335" s="124">
        <v>1.0</v>
      </c>
      <c r="W335" s="124"/>
      <c r="X335" s="125"/>
      <c r="Y335" s="126"/>
      <c r="Z335" s="125">
        <f t="shared" si="4"/>
        <v>3</v>
      </c>
      <c r="AA335" s="127" t="str">
        <f t="shared" si="5"/>
        <v>Moderado</v>
      </c>
      <c r="AB335" s="128">
        <f t="shared" si="6"/>
        <v>17</v>
      </c>
      <c r="AC335" s="129">
        <f t="shared" si="7"/>
        <v>0.22627417</v>
      </c>
      <c r="AD335" s="131"/>
    </row>
    <row r="336" ht="14.25" hidden="1" customHeight="1">
      <c r="A336" s="116" t="s">
        <v>1145</v>
      </c>
      <c r="B336" s="117" t="s">
        <v>1145</v>
      </c>
      <c r="C336" s="117" t="s">
        <v>1249</v>
      </c>
      <c r="D336" s="117" t="s">
        <v>1250</v>
      </c>
      <c r="E336" s="117" t="s">
        <v>1249</v>
      </c>
      <c r="F336" s="117" t="s">
        <v>1251</v>
      </c>
      <c r="G336" s="117" t="s">
        <v>1252</v>
      </c>
      <c r="H336" s="117" t="s">
        <v>1253</v>
      </c>
      <c r="I336" s="117">
        <v>1.0</v>
      </c>
      <c r="J336" s="117">
        <v>1.0</v>
      </c>
      <c r="K336" s="117" t="str">
        <f t="shared" si="1"/>
        <v>No</v>
      </c>
      <c r="L336" s="118" t="s">
        <v>116</v>
      </c>
      <c r="M336" s="119">
        <v>0.25</v>
      </c>
      <c r="N336" s="120">
        <v>0.0</v>
      </c>
      <c r="O336" s="121">
        <v>91.32</v>
      </c>
      <c r="P336" s="117">
        <v>1.0</v>
      </c>
      <c r="Q336" s="117">
        <f t="shared" si="2"/>
        <v>0</v>
      </c>
      <c r="R336" s="122">
        <f>+(IF(((M336*24)-P336)&lt;0,0,((M336*24)-P336)*'Estimación de pérdidas'!$F$72))*N336</f>
        <v>0</v>
      </c>
      <c r="S336" s="123" t="s">
        <v>117</v>
      </c>
      <c r="T336" s="124" t="s">
        <v>118</v>
      </c>
      <c r="U336" s="124">
        <f t="shared" si="3"/>
        <v>1</v>
      </c>
      <c r="V336" s="124">
        <v>1.0</v>
      </c>
      <c r="W336" s="124"/>
      <c r="X336" s="125"/>
      <c r="Y336" s="126"/>
      <c r="Z336" s="125">
        <f t="shared" si="4"/>
        <v>1</v>
      </c>
      <c r="AA336" s="127" t="str">
        <f t="shared" si="5"/>
        <v>Bajo</v>
      </c>
      <c r="AB336" s="128">
        <f t="shared" si="6"/>
        <v>2</v>
      </c>
      <c r="AC336" s="129">
        <f t="shared" si="7"/>
        <v>0.05059644256</v>
      </c>
    </row>
    <row r="337" ht="14.25" hidden="1" customHeight="1">
      <c r="A337" s="116" t="s">
        <v>1145</v>
      </c>
      <c r="B337" s="117" t="s">
        <v>1145</v>
      </c>
      <c r="C337" s="117" t="s">
        <v>1249</v>
      </c>
      <c r="D337" s="117" t="s">
        <v>1254</v>
      </c>
      <c r="E337" s="117" t="s">
        <v>1249</v>
      </c>
      <c r="F337" s="117" t="s">
        <v>1251</v>
      </c>
      <c r="G337" s="117" t="s">
        <v>1252</v>
      </c>
      <c r="H337" s="117" t="s">
        <v>1253</v>
      </c>
      <c r="I337" s="117">
        <v>1.0</v>
      </c>
      <c r="J337" s="117">
        <v>1.0</v>
      </c>
      <c r="K337" s="117" t="str">
        <f t="shared" si="1"/>
        <v>No</v>
      </c>
      <c r="L337" s="118" t="s">
        <v>116</v>
      </c>
      <c r="M337" s="119">
        <v>0.25</v>
      </c>
      <c r="N337" s="120">
        <v>0.0</v>
      </c>
      <c r="O337" s="121">
        <v>91.32</v>
      </c>
      <c r="P337" s="117">
        <v>1.0</v>
      </c>
      <c r="Q337" s="117">
        <f t="shared" si="2"/>
        <v>0</v>
      </c>
      <c r="R337" s="122">
        <f>+(IF(((M337*24)-P337)&lt;0,0,((M337*24)-P337)*'Estimación de pérdidas'!$F$72))*N337</f>
        <v>0</v>
      </c>
      <c r="S337" s="123" t="s">
        <v>117</v>
      </c>
      <c r="T337" s="124" t="s">
        <v>118</v>
      </c>
      <c r="U337" s="124">
        <f t="shared" si="3"/>
        <v>1</v>
      </c>
      <c r="V337" s="124">
        <v>1.0</v>
      </c>
      <c r="W337" s="124"/>
      <c r="X337" s="125"/>
      <c r="Y337" s="126"/>
      <c r="Z337" s="125">
        <f t="shared" si="4"/>
        <v>1</v>
      </c>
      <c r="AA337" s="127" t="str">
        <f t="shared" si="5"/>
        <v>Bajo</v>
      </c>
      <c r="AB337" s="128">
        <f t="shared" si="6"/>
        <v>2</v>
      </c>
      <c r="AC337" s="129">
        <f t="shared" si="7"/>
        <v>0.05059644256</v>
      </c>
    </row>
    <row r="338" ht="14.25" hidden="1" customHeight="1">
      <c r="A338" s="116" t="s">
        <v>1145</v>
      </c>
      <c r="B338" s="117" t="s">
        <v>1145</v>
      </c>
      <c r="C338" s="117" t="s">
        <v>1249</v>
      </c>
      <c r="D338" s="117" t="s">
        <v>1255</v>
      </c>
      <c r="E338" s="117" t="s">
        <v>1249</v>
      </c>
      <c r="F338" s="117" t="s">
        <v>1251</v>
      </c>
      <c r="G338" s="117" t="s">
        <v>1252</v>
      </c>
      <c r="H338" s="117" t="s">
        <v>1253</v>
      </c>
      <c r="I338" s="117">
        <v>1.0</v>
      </c>
      <c r="J338" s="117">
        <v>1.0</v>
      </c>
      <c r="K338" s="117" t="str">
        <f t="shared" si="1"/>
        <v>No</v>
      </c>
      <c r="L338" s="118" t="s">
        <v>116</v>
      </c>
      <c r="M338" s="119">
        <v>0.25</v>
      </c>
      <c r="N338" s="120">
        <v>0.0</v>
      </c>
      <c r="O338" s="121">
        <v>91.32</v>
      </c>
      <c r="P338" s="117">
        <v>1.0</v>
      </c>
      <c r="Q338" s="117">
        <f t="shared" si="2"/>
        <v>0</v>
      </c>
      <c r="R338" s="122">
        <f>+(IF(((M338*24)-P338)&lt;0,0,((M338*24)-P338)*'Estimación de pérdidas'!$F$72))*N338</f>
        <v>0</v>
      </c>
      <c r="S338" s="123" t="s">
        <v>117</v>
      </c>
      <c r="T338" s="124" t="s">
        <v>118</v>
      </c>
      <c r="U338" s="124">
        <f t="shared" si="3"/>
        <v>1</v>
      </c>
      <c r="V338" s="124">
        <v>1.0</v>
      </c>
      <c r="W338" s="124"/>
      <c r="X338" s="125"/>
      <c r="Y338" s="126"/>
      <c r="Z338" s="125">
        <f t="shared" si="4"/>
        <v>1</v>
      </c>
      <c r="AA338" s="127" t="str">
        <f t="shared" si="5"/>
        <v>Bajo</v>
      </c>
      <c r="AB338" s="128">
        <f t="shared" si="6"/>
        <v>2</v>
      </c>
      <c r="AC338" s="129">
        <f t="shared" si="7"/>
        <v>0.05059644256</v>
      </c>
    </row>
    <row r="339" ht="14.25" hidden="1" customHeight="1">
      <c r="A339" s="116" t="s">
        <v>1145</v>
      </c>
      <c r="B339" s="117" t="s">
        <v>1145</v>
      </c>
      <c r="C339" s="117" t="s">
        <v>1249</v>
      </c>
      <c r="D339" s="117" t="s">
        <v>1256</v>
      </c>
      <c r="E339" s="117" t="s">
        <v>1249</v>
      </c>
      <c r="F339" s="117" t="s">
        <v>1251</v>
      </c>
      <c r="G339" s="117" t="s">
        <v>1252</v>
      </c>
      <c r="H339" s="117" t="s">
        <v>1253</v>
      </c>
      <c r="I339" s="117">
        <v>1.0</v>
      </c>
      <c r="J339" s="117">
        <v>1.0</v>
      </c>
      <c r="K339" s="117" t="str">
        <f t="shared" si="1"/>
        <v>No</v>
      </c>
      <c r="L339" s="118" t="s">
        <v>116</v>
      </c>
      <c r="M339" s="119">
        <v>0.25</v>
      </c>
      <c r="N339" s="120">
        <v>0.0</v>
      </c>
      <c r="O339" s="121">
        <v>91.32</v>
      </c>
      <c r="P339" s="117">
        <v>1.0</v>
      </c>
      <c r="Q339" s="117">
        <f t="shared" si="2"/>
        <v>0</v>
      </c>
      <c r="R339" s="122">
        <f>+(IF(((M339*24)-P339)&lt;0,0,((M339*24)-P339)*'Estimación de pérdidas'!$F$72))*N339</f>
        <v>0</v>
      </c>
      <c r="S339" s="123" t="s">
        <v>117</v>
      </c>
      <c r="T339" s="124" t="s">
        <v>118</v>
      </c>
      <c r="U339" s="124">
        <f t="shared" si="3"/>
        <v>1</v>
      </c>
      <c r="V339" s="124">
        <v>1.0</v>
      </c>
      <c r="W339" s="124"/>
      <c r="X339" s="125"/>
      <c r="Y339" s="126"/>
      <c r="Z339" s="125">
        <f t="shared" si="4"/>
        <v>1</v>
      </c>
      <c r="AA339" s="127" t="str">
        <f t="shared" si="5"/>
        <v>Bajo</v>
      </c>
      <c r="AB339" s="128">
        <f t="shared" si="6"/>
        <v>2</v>
      </c>
      <c r="AC339" s="129">
        <f t="shared" si="7"/>
        <v>0.05059644256</v>
      </c>
    </row>
    <row r="340" ht="14.25" hidden="1" customHeight="1">
      <c r="A340" s="116" t="s">
        <v>1145</v>
      </c>
      <c r="B340" s="117" t="s">
        <v>1145</v>
      </c>
      <c r="C340" s="117" t="s">
        <v>1249</v>
      </c>
      <c r="D340" s="117" t="s">
        <v>1257</v>
      </c>
      <c r="E340" s="117" t="s">
        <v>1249</v>
      </c>
      <c r="F340" s="117" t="s">
        <v>1251</v>
      </c>
      <c r="G340" s="117" t="s">
        <v>1252</v>
      </c>
      <c r="H340" s="117" t="s">
        <v>1253</v>
      </c>
      <c r="I340" s="117">
        <v>1.0</v>
      </c>
      <c r="J340" s="117">
        <v>1.0</v>
      </c>
      <c r="K340" s="117" t="str">
        <f t="shared" si="1"/>
        <v>No</v>
      </c>
      <c r="L340" s="118" t="s">
        <v>116</v>
      </c>
      <c r="M340" s="119">
        <v>0.25</v>
      </c>
      <c r="N340" s="120">
        <v>0.0</v>
      </c>
      <c r="O340" s="121">
        <v>91.32</v>
      </c>
      <c r="P340" s="117">
        <v>1.0</v>
      </c>
      <c r="Q340" s="117">
        <f t="shared" si="2"/>
        <v>0</v>
      </c>
      <c r="R340" s="122">
        <f>+(IF(((M340*24)-P340)&lt;0,0,((M340*24)-P340)*'Estimación de pérdidas'!$F$72))*N340</f>
        <v>0</v>
      </c>
      <c r="S340" s="123" t="s">
        <v>117</v>
      </c>
      <c r="T340" s="124" t="s">
        <v>118</v>
      </c>
      <c r="U340" s="124">
        <f t="shared" si="3"/>
        <v>1</v>
      </c>
      <c r="V340" s="124">
        <v>1.0</v>
      </c>
      <c r="W340" s="124"/>
      <c r="X340" s="125"/>
      <c r="Y340" s="126"/>
      <c r="Z340" s="125">
        <f t="shared" si="4"/>
        <v>1</v>
      </c>
      <c r="AA340" s="127" t="str">
        <f t="shared" si="5"/>
        <v>Bajo</v>
      </c>
      <c r="AB340" s="128">
        <f t="shared" si="6"/>
        <v>2</v>
      </c>
      <c r="AC340" s="129">
        <f t="shared" si="7"/>
        <v>0.05059644256</v>
      </c>
    </row>
    <row r="341" ht="14.25" hidden="1" customHeight="1">
      <c r="A341" s="116" t="s">
        <v>1145</v>
      </c>
      <c r="B341" s="117" t="s">
        <v>1145</v>
      </c>
      <c r="C341" s="117" t="s">
        <v>1258</v>
      </c>
      <c r="D341" s="117" t="s">
        <v>1259</v>
      </c>
      <c r="E341" s="117" t="s">
        <v>1258</v>
      </c>
      <c r="F341" s="117" t="s">
        <v>1251</v>
      </c>
      <c r="G341" s="117" t="s">
        <v>1252</v>
      </c>
      <c r="H341" s="117" t="s">
        <v>1253</v>
      </c>
      <c r="I341" s="117">
        <v>1.0</v>
      </c>
      <c r="J341" s="117">
        <v>1.0</v>
      </c>
      <c r="K341" s="117" t="str">
        <f t="shared" si="1"/>
        <v>No</v>
      </c>
      <c r="L341" s="118" t="s">
        <v>116</v>
      </c>
      <c r="M341" s="119">
        <v>0.25</v>
      </c>
      <c r="N341" s="120">
        <v>0.0</v>
      </c>
      <c r="O341" s="121">
        <v>91.32</v>
      </c>
      <c r="P341" s="117">
        <v>1.0</v>
      </c>
      <c r="Q341" s="117">
        <f t="shared" si="2"/>
        <v>0</v>
      </c>
      <c r="R341" s="122">
        <f>+(IF(((M341*24)-P341)&lt;0,0,((M341*24)-P341)*'Estimación de pérdidas'!$F$72))*N341</f>
        <v>0</v>
      </c>
      <c r="S341" s="123" t="s">
        <v>117</v>
      </c>
      <c r="T341" s="124" t="s">
        <v>118</v>
      </c>
      <c r="U341" s="124">
        <f t="shared" si="3"/>
        <v>1</v>
      </c>
      <c r="V341" s="124">
        <v>1.0</v>
      </c>
      <c r="W341" s="124"/>
      <c r="X341" s="125"/>
      <c r="Y341" s="126"/>
      <c r="Z341" s="125">
        <f t="shared" si="4"/>
        <v>1</v>
      </c>
      <c r="AA341" s="127" t="str">
        <f t="shared" si="5"/>
        <v>Bajo</v>
      </c>
      <c r="AB341" s="128">
        <f t="shared" si="6"/>
        <v>2</v>
      </c>
      <c r="AC341" s="129">
        <f t="shared" si="7"/>
        <v>0.05059644256</v>
      </c>
    </row>
    <row r="342" ht="14.25" hidden="1" customHeight="1">
      <c r="A342" s="116" t="s">
        <v>1145</v>
      </c>
      <c r="B342" s="117" t="s">
        <v>1145</v>
      </c>
      <c r="C342" s="117" t="s">
        <v>1260</v>
      </c>
      <c r="D342" s="117" t="s">
        <v>1261</v>
      </c>
      <c r="E342" s="117" t="s">
        <v>1260</v>
      </c>
      <c r="F342" s="117" t="s">
        <v>1262</v>
      </c>
      <c r="G342" s="117" t="s">
        <v>1263</v>
      </c>
      <c r="H342" s="117" t="s">
        <v>1264</v>
      </c>
      <c r="I342" s="117">
        <v>1.0</v>
      </c>
      <c r="J342" s="117">
        <v>1.0</v>
      </c>
      <c r="K342" s="117" t="str">
        <f t="shared" si="1"/>
        <v>No</v>
      </c>
      <c r="L342" s="118" t="s">
        <v>116</v>
      </c>
      <c r="M342" s="119">
        <v>0.25</v>
      </c>
      <c r="N342" s="120">
        <v>1.0</v>
      </c>
      <c r="O342" s="121">
        <v>91.32</v>
      </c>
      <c r="P342" s="117">
        <v>1.0</v>
      </c>
      <c r="Q342" s="117">
        <f t="shared" si="2"/>
        <v>5</v>
      </c>
      <c r="R342" s="122">
        <f>+(IF(((M342*24)-P342)&lt;0,0,((M342*24)-P342)*'Estimación de pérdidas'!$F$72))*N342</f>
        <v>288390.3746</v>
      </c>
      <c r="S342" s="123" t="s">
        <v>117</v>
      </c>
      <c r="T342" s="124" t="s">
        <v>118</v>
      </c>
      <c r="U342" s="124">
        <f t="shared" si="3"/>
        <v>3</v>
      </c>
      <c r="V342" s="124">
        <v>1.0</v>
      </c>
      <c r="W342" s="124"/>
      <c r="X342" s="125"/>
      <c r="Y342" s="126"/>
      <c r="Z342" s="125">
        <f t="shared" si="4"/>
        <v>3</v>
      </c>
      <c r="AA342" s="127" t="str">
        <f t="shared" si="5"/>
        <v>Moderado</v>
      </c>
      <c r="AB342" s="128">
        <f t="shared" si="6"/>
        <v>9</v>
      </c>
      <c r="AC342" s="129">
        <f t="shared" si="7"/>
        <v>0.113137085</v>
      </c>
      <c r="AD342" s="131"/>
    </row>
    <row r="343" ht="14.25" hidden="1" customHeight="1">
      <c r="A343" s="116" t="s">
        <v>1145</v>
      </c>
      <c r="B343" s="117" t="s">
        <v>1145</v>
      </c>
      <c r="C343" s="117" t="s">
        <v>1265</v>
      </c>
      <c r="D343" s="117" t="s">
        <v>1266</v>
      </c>
      <c r="E343" s="117" t="s">
        <v>1265</v>
      </c>
      <c r="F343" s="117" t="s">
        <v>1267</v>
      </c>
      <c r="G343" s="117" t="s">
        <v>205</v>
      </c>
      <c r="H343" s="117" t="s">
        <v>491</v>
      </c>
      <c r="I343" s="117">
        <v>2.0</v>
      </c>
      <c r="J343" s="117">
        <v>1.0</v>
      </c>
      <c r="K343" s="117" t="str">
        <f t="shared" si="1"/>
        <v>Si</v>
      </c>
      <c r="L343" s="118" t="s">
        <v>287</v>
      </c>
      <c r="M343" s="119">
        <v>0.25</v>
      </c>
      <c r="N343" s="120">
        <v>0.0</v>
      </c>
      <c r="O343" s="121">
        <v>91.32</v>
      </c>
      <c r="P343" s="117">
        <v>1.0</v>
      </c>
      <c r="Q343" s="117">
        <f t="shared" si="2"/>
        <v>0</v>
      </c>
      <c r="R343" s="122">
        <f>+(IF(((M343*24)-P343)&lt;0,0,((M343*24)-P343)*'Estimación de pérdidas'!$F$72))*N343</f>
        <v>0</v>
      </c>
      <c r="S343" s="123" t="s">
        <v>117</v>
      </c>
      <c r="T343" s="124" t="s">
        <v>106</v>
      </c>
      <c r="U343" s="124">
        <f t="shared" si="3"/>
        <v>1</v>
      </c>
      <c r="V343" s="124">
        <v>1.0</v>
      </c>
      <c r="W343" s="124"/>
      <c r="X343" s="125"/>
      <c r="Y343" s="126"/>
      <c r="Z343" s="125">
        <f t="shared" si="4"/>
        <v>1</v>
      </c>
      <c r="AA343" s="127" t="str">
        <f t="shared" si="5"/>
        <v>Bajo</v>
      </c>
      <c r="AB343" s="128">
        <f t="shared" si="6"/>
        <v>7</v>
      </c>
      <c r="AC343" s="129">
        <f t="shared" si="7"/>
        <v>0.1011928851</v>
      </c>
    </row>
    <row r="344" ht="14.25" hidden="1" customHeight="1">
      <c r="A344" s="116" t="s">
        <v>1145</v>
      </c>
      <c r="B344" s="117" t="s">
        <v>1145</v>
      </c>
      <c r="C344" s="117" t="s">
        <v>1265</v>
      </c>
      <c r="D344" s="117" t="s">
        <v>1268</v>
      </c>
      <c r="E344" s="117" t="s">
        <v>1265</v>
      </c>
      <c r="F344" s="117" t="s">
        <v>1267</v>
      </c>
      <c r="G344" s="117" t="s">
        <v>205</v>
      </c>
      <c r="H344" s="117" t="s">
        <v>491</v>
      </c>
      <c r="I344" s="117">
        <v>2.0</v>
      </c>
      <c r="J344" s="117">
        <v>1.0</v>
      </c>
      <c r="K344" s="117" t="str">
        <f t="shared" si="1"/>
        <v>Si</v>
      </c>
      <c r="L344" s="118" t="s">
        <v>287</v>
      </c>
      <c r="M344" s="119">
        <v>0.25</v>
      </c>
      <c r="N344" s="120">
        <v>0.0</v>
      </c>
      <c r="O344" s="121">
        <v>91.32</v>
      </c>
      <c r="P344" s="117">
        <v>1.0</v>
      </c>
      <c r="Q344" s="117">
        <f t="shared" si="2"/>
        <v>0</v>
      </c>
      <c r="R344" s="122">
        <f>+(IF(((M344*24)-P344)&lt;0,0,((M344*24)-P344)*'Estimación de pérdidas'!$F$72))*N344</f>
        <v>0</v>
      </c>
      <c r="S344" s="123" t="s">
        <v>117</v>
      </c>
      <c r="T344" s="124" t="s">
        <v>106</v>
      </c>
      <c r="U344" s="124">
        <f t="shared" si="3"/>
        <v>1</v>
      </c>
      <c r="V344" s="124">
        <v>1.0</v>
      </c>
      <c r="W344" s="124"/>
      <c r="X344" s="125"/>
      <c r="Y344" s="126"/>
      <c r="Z344" s="125">
        <f t="shared" si="4"/>
        <v>1</v>
      </c>
      <c r="AA344" s="127" t="str">
        <f t="shared" si="5"/>
        <v>Bajo</v>
      </c>
      <c r="AB344" s="128">
        <f t="shared" si="6"/>
        <v>7</v>
      </c>
      <c r="AC344" s="129">
        <f t="shared" si="7"/>
        <v>0.1011928851</v>
      </c>
    </row>
    <row r="345" ht="14.25" hidden="1" customHeight="1">
      <c r="A345" s="116" t="s">
        <v>1145</v>
      </c>
      <c r="B345" s="117" t="s">
        <v>1145</v>
      </c>
      <c r="C345" s="117" t="s">
        <v>1269</v>
      </c>
      <c r="D345" s="117" t="s">
        <v>1270</v>
      </c>
      <c r="E345" s="117" t="s">
        <v>1271</v>
      </c>
      <c r="F345" s="117" t="s">
        <v>1272</v>
      </c>
      <c r="G345" s="117" t="s">
        <v>205</v>
      </c>
      <c r="H345" s="117" t="s">
        <v>491</v>
      </c>
      <c r="I345" s="117">
        <v>1.0</v>
      </c>
      <c r="J345" s="117">
        <v>1.0</v>
      </c>
      <c r="K345" s="117" t="str">
        <f t="shared" si="1"/>
        <v>No</v>
      </c>
      <c r="L345" s="118" t="s">
        <v>116</v>
      </c>
      <c r="M345" s="119">
        <v>0.25</v>
      </c>
      <c r="N345" s="120">
        <v>0.0</v>
      </c>
      <c r="O345" s="121"/>
      <c r="P345" s="117">
        <v>0.0</v>
      </c>
      <c r="Q345" s="117">
        <f t="shared" si="2"/>
        <v>0</v>
      </c>
      <c r="R345" s="122">
        <f>+(IF(((M345*24)-P345)&lt;0,0,((M345*24)-P345)*'Estimación de pérdidas'!$F$72))*N345</f>
        <v>0</v>
      </c>
      <c r="S345" s="123" t="s">
        <v>117</v>
      </c>
      <c r="T345" s="124" t="s">
        <v>106</v>
      </c>
      <c r="U345" s="124">
        <f t="shared" si="3"/>
        <v>1</v>
      </c>
      <c r="V345" s="124">
        <v>1.0</v>
      </c>
      <c r="W345" s="124"/>
      <c r="X345" s="125"/>
      <c r="Y345" s="126"/>
      <c r="Z345" s="125">
        <f t="shared" si="4"/>
        <v>1</v>
      </c>
      <c r="AA345" s="127" t="str">
        <f t="shared" si="5"/>
        <v>Bajo</v>
      </c>
      <c r="AB345" s="128">
        <f t="shared" si="6"/>
        <v>7</v>
      </c>
      <c r="AC345" s="129">
        <f t="shared" si="7"/>
        <v>0.1011928851</v>
      </c>
    </row>
    <row r="346" ht="14.25" hidden="1" customHeight="1">
      <c r="A346" s="116" t="s">
        <v>1145</v>
      </c>
      <c r="B346" s="117" t="s">
        <v>1145</v>
      </c>
      <c r="C346" s="117" t="s">
        <v>1273</v>
      </c>
      <c r="D346" s="117" t="s">
        <v>1274</v>
      </c>
      <c r="E346" s="117" t="s">
        <v>1273</v>
      </c>
      <c r="F346" s="117" t="s">
        <v>1275</v>
      </c>
      <c r="G346" s="117" t="s">
        <v>205</v>
      </c>
      <c r="H346" s="117" t="s">
        <v>729</v>
      </c>
      <c r="I346" s="117">
        <v>1.0</v>
      </c>
      <c r="J346" s="117">
        <v>1.0</v>
      </c>
      <c r="K346" s="117" t="str">
        <f t="shared" si="1"/>
        <v>No</v>
      </c>
      <c r="L346" s="118" t="s">
        <v>116</v>
      </c>
      <c r="M346" s="119">
        <v>0.3333333333333333</v>
      </c>
      <c r="N346" s="120">
        <v>1.0</v>
      </c>
      <c r="O346" s="121">
        <v>78.83375000000001</v>
      </c>
      <c r="P346" s="117">
        <v>4.0</v>
      </c>
      <c r="Q346" s="117">
        <f t="shared" si="2"/>
        <v>4</v>
      </c>
      <c r="R346" s="122">
        <f>+(IF(((M346*24)-P346)&lt;0,0,((M346*24)-P346)*'Estimación de pérdidas'!$F$72))*N346</f>
        <v>230712.2997</v>
      </c>
      <c r="S346" s="123" t="s">
        <v>117</v>
      </c>
      <c r="T346" s="124" t="s">
        <v>106</v>
      </c>
      <c r="U346" s="124">
        <f t="shared" si="3"/>
        <v>3</v>
      </c>
      <c r="V346" s="124">
        <v>1.0</v>
      </c>
      <c r="W346" s="124"/>
      <c r="X346" s="125"/>
      <c r="Y346" s="126"/>
      <c r="Z346" s="125">
        <f t="shared" si="4"/>
        <v>3</v>
      </c>
      <c r="AA346" s="127" t="str">
        <f t="shared" si="5"/>
        <v>Moderado</v>
      </c>
      <c r="AB346" s="128">
        <f t="shared" si="6"/>
        <v>17</v>
      </c>
      <c r="AC346" s="129">
        <f t="shared" si="7"/>
        <v>0.22627417</v>
      </c>
      <c r="AD346" s="131"/>
    </row>
    <row r="347" ht="14.25" hidden="1" customHeight="1">
      <c r="A347" s="116" t="s">
        <v>1145</v>
      </c>
      <c r="B347" s="117" t="s">
        <v>1145</v>
      </c>
      <c r="C347" s="117" t="s">
        <v>1276</v>
      </c>
      <c r="D347" s="117" t="s">
        <v>1277</v>
      </c>
      <c r="E347" s="117" t="s">
        <v>1276</v>
      </c>
      <c r="F347" s="117" t="s">
        <v>1278</v>
      </c>
      <c r="G347" s="117" t="s">
        <v>205</v>
      </c>
      <c r="H347" s="117" t="s">
        <v>729</v>
      </c>
      <c r="I347" s="117">
        <v>1.0</v>
      </c>
      <c r="J347" s="117">
        <v>1.0</v>
      </c>
      <c r="K347" s="117" t="str">
        <f t="shared" si="1"/>
        <v>No</v>
      </c>
      <c r="L347" s="118" t="s">
        <v>116</v>
      </c>
      <c r="M347" s="119">
        <v>0.25</v>
      </c>
      <c r="N347" s="120">
        <v>0.0</v>
      </c>
      <c r="O347" s="121"/>
      <c r="P347" s="117">
        <v>0.0</v>
      </c>
      <c r="Q347" s="117">
        <f t="shared" si="2"/>
        <v>0</v>
      </c>
      <c r="R347" s="122">
        <f>+(IF(((M347*24)-P347)&lt;0,0,((M347*24)-P347)*'Estimación de pérdidas'!$F$72))*N347</f>
        <v>0</v>
      </c>
      <c r="S347" s="123" t="s">
        <v>117</v>
      </c>
      <c r="T347" s="124" t="s">
        <v>106</v>
      </c>
      <c r="U347" s="124">
        <f t="shared" si="3"/>
        <v>1</v>
      </c>
      <c r="V347" s="124">
        <v>1.0</v>
      </c>
      <c r="W347" s="124"/>
      <c r="X347" s="125"/>
      <c r="Y347" s="126"/>
      <c r="Z347" s="125">
        <f t="shared" si="4"/>
        <v>1</v>
      </c>
      <c r="AA347" s="127" t="str">
        <f t="shared" si="5"/>
        <v>Bajo</v>
      </c>
      <c r="AB347" s="128">
        <f t="shared" si="6"/>
        <v>7</v>
      </c>
      <c r="AC347" s="129">
        <f t="shared" si="7"/>
        <v>0.1011928851</v>
      </c>
    </row>
    <row r="348" ht="14.25" hidden="1" customHeight="1">
      <c r="A348" s="116" t="s">
        <v>1145</v>
      </c>
      <c r="B348" s="117" t="s">
        <v>1145</v>
      </c>
      <c r="C348" s="117" t="s">
        <v>1279</v>
      </c>
      <c r="D348" s="117" t="s">
        <v>1280</v>
      </c>
      <c r="E348" s="117" t="s">
        <v>1281</v>
      </c>
      <c r="F348" s="117" t="s">
        <v>1282</v>
      </c>
      <c r="G348" s="117" t="s">
        <v>205</v>
      </c>
      <c r="H348" s="117" t="s">
        <v>729</v>
      </c>
      <c r="I348" s="117">
        <v>1.0</v>
      </c>
      <c r="J348" s="117">
        <v>1.0</v>
      </c>
      <c r="K348" s="117" t="str">
        <f t="shared" si="1"/>
        <v>No</v>
      </c>
      <c r="L348" s="118" t="s">
        <v>116</v>
      </c>
      <c r="M348" s="119">
        <v>0.25</v>
      </c>
      <c r="N348" s="120">
        <v>1.0</v>
      </c>
      <c r="O348" s="121">
        <v>78.83375000000001</v>
      </c>
      <c r="P348" s="117">
        <v>4.0</v>
      </c>
      <c r="Q348" s="117">
        <f t="shared" si="2"/>
        <v>2</v>
      </c>
      <c r="R348" s="122">
        <f>+(IF(((M348*24)-P348)&lt;0,0,((M348*24)-P348)*'Estimación de pérdidas'!$F$72))*N348</f>
        <v>115356.1498</v>
      </c>
      <c r="S348" s="123" t="s">
        <v>117</v>
      </c>
      <c r="T348" s="124" t="s">
        <v>106</v>
      </c>
      <c r="U348" s="124">
        <f t="shared" si="3"/>
        <v>2</v>
      </c>
      <c r="V348" s="124">
        <v>1.0</v>
      </c>
      <c r="W348" s="124"/>
      <c r="X348" s="125"/>
      <c r="Y348" s="126"/>
      <c r="Z348" s="125">
        <f t="shared" si="4"/>
        <v>2</v>
      </c>
      <c r="AA348" s="127" t="str">
        <f t="shared" si="5"/>
        <v>Moderado</v>
      </c>
      <c r="AB348" s="128">
        <f t="shared" si="6"/>
        <v>12</v>
      </c>
      <c r="AC348" s="129">
        <f t="shared" si="7"/>
        <v>0.16</v>
      </c>
      <c r="AD348" s="131"/>
    </row>
    <row r="349" ht="14.25" hidden="1" customHeight="1">
      <c r="A349" s="116" t="s">
        <v>1145</v>
      </c>
      <c r="B349" s="117" t="s">
        <v>1145</v>
      </c>
      <c r="C349" s="117" t="s">
        <v>1283</v>
      </c>
      <c r="D349" s="117" t="s">
        <v>1284</v>
      </c>
      <c r="E349" s="117" t="s">
        <v>1283</v>
      </c>
      <c r="F349" s="117" t="s">
        <v>1285</v>
      </c>
      <c r="G349" s="117" t="s">
        <v>205</v>
      </c>
      <c r="H349" s="117" t="s">
        <v>729</v>
      </c>
      <c r="I349" s="117">
        <v>1.0</v>
      </c>
      <c r="J349" s="117">
        <v>1.0</v>
      </c>
      <c r="K349" s="117" t="str">
        <f t="shared" si="1"/>
        <v>No</v>
      </c>
      <c r="L349" s="118" t="s">
        <v>116</v>
      </c>
      <c r="M349" s="119">
        <v>0.25</v>
      </c>
      <c r="N349" s="120">
        <v>1.0</v>
      </c>
      <c r="O349" s="121">
        <v>78.83375000000001</v>
      </c>
      <c r="P349" s="117">
        <v>4.0</v>
      </c>
      <c r="Q349" s="117">
        <f t="shared" si="2"/>
        <v>2</v>
      </c>
      <c r="R349" s="122">
        <f>+(IF(((M349*24)-P349)&lt;0,0,((M349*24)-P349)*'Estimación de pérdidas'!$F$72))*N349</f>
        <v>115356.1498</v>
      </c>
      <c r="S349" s="123" t="s">
        <v>117</v>
      </c>
      <c r="T349" s="124" t="s">
        <v>106</v>
      </c>
      <c r="U349" s="124">
        <f t="shared" si="3"/>
        <v>2</v>
      </c>
      <c r="V349" s="124">
        <v>1.0</v>
      </c>
      <c r="W349" s="124"/>
      <c r="X349" s="125"/>
      <c r="Y349" s="126"/>
      <c r="Z349" s="125">
        <f t="shared" si="4"/>
        <v>2</v>
      </c>
      <c r="AA349" s="127" t="str">
        <f t="shared" si="5"/>
        <v>Moderado</v>
      </c>
      <c r="AB349" s="128">
        <f t="shared" si="6"/>
        <v>12</v>
      </c>
      <c r="AC349" s="129">
        <f t="shared" si="7"/>
        <v>0.16</v>
      </c>
      <c r="AD349" s="131"/>
    </row>
    <row r="350" ht="14.25" hidden="1" customHeight="1">
      <c r="A350" s="116" t="s">
        <v>1145</v>
      </c>
      <c r="B350" s="117" t="s">
        <v>1145</v>
      </c>
      <c r="C350" s="117" t="s">
        <v>692</v>
      </c>
      <c r="D350" s="117" t="s">
        <v>1286</v>
      </c>
      <c r="E350" s="117" t="s">
        <v>1287</v>
      </c>
      <c r="F350" s="117" t="s">
        <v>1288</v>
      </c>
      <c r="G350" s="117" t="s">
        <v>205</v>
      </c>
      <c r="H350" s="117" t="s">
        <v>1289</v>
      </c>
      <c r="I350" s="117">
        <v>1.0</v>
      </c>
      <c r="J350" s="117">
        <v>1.0</v>
      </c>
      <c r="K350" s="117" t="str">
        <f t="shared" si="1"/>
        <v>No</v>
      </c>
      <c r="L350" s="118" t="s">
        <v>116</v>
      </c>
      <c r="M350" s="119">
        <v>0.3333333333333333</v>
      </c>
      <c r="N350" s="120">
        <v>0.5</v>
      </c>
      <c r="O350" s="121">
        <v>91.33375000000001</v>
      </c>
      <c r="P350" s="117">
        <v>1.0</v>
      </c>
      <c r="Q350" s="117">
        <f t="shared" si="2"/>
        <v>3.5</v>
      </c>
      <c r="R350" s="122">
        <f>+(IF(((M350*24)-P350)&lt;0,0,((M350*24)-P350)*'Estimación de pérdidas'!$F$72))*N350</f>
        <v>201873.2622</v>
      </c>
      <c r="S350" s="123" t="s">
        <v>272</v>
      </c>
      <c r="T350" s="124" t="s">
        <v>106</v>
      </c>
      <c r="U350" s="124">
        <f t="shared" si="3"/>
        <v>3</v>
      </c>
      <c r="V350" s="124">
        <v>2.0</v>
      </c>
      <c r="W350" s="124"/>
      <c r="X350" s="125">
        <v>2.0</v>
      </c>
      <c r="Y350" s="126"/>
      <c r="Z350" s="125">
        <f t="shared" si="4"/>
        <v>3</v>
      </c>
      <c r="AA350" s="127" t="str">
        <f t="shared" si="5"/>
        <v>Moderado</v>
      </c>
      <c r="AB350" s="128">
        <f t="shared" si="6"/>
        <v>17</v>
      </c>
      <c r="AC350" s="129">
        <f t="shared" si="7"/>
        <v>0.2950254226</v>
      </c>
      <c r="AD350" s="131"/>
    </row>
    <row r="351" ht="14.25" hidden="1" customHeight="1">
      <c r="A351" s="116" t="s">
        <v>1145</v>
      </c>
      <c r="B351" s="117" t="s">
        <v>1145</v>
      </c>
      <c r="C351" s="117" t="s">
        <v>692</v>
      </c>
      <c r="D351" s="117" t="s">
        <v>1290</v>
      </c>
      <c r="E351" s="117" t="s">
        <v>1287</v>
      </c>
      <c r="F351" s="117" t="s">
        <v>1291</v>
      </c>
      <c r="G351" s="117" t="s">
        <v>205</v>
      </c>
      <c r="H351" s="117" t="s">
        <v>1289</v>
      </c>
      <c r="I351" s="117">
        <v>1.0</v>
      </c>
      <c r="J351" s="117">
        <v>1.0</v>
      </c>
      <c r="K351" s="117" t="str">
        <f t="shared" si="1"/>
        <v>No</v>
      </c>
      <c r="L351" s="118" t="s">
        <v>116</v>
      </c>
      <c r="M351" s="119">
        <v>0.3333333333333333</v>
      </c>
      <c r="N351" s="120">
        <v>0.5</v>
      </c>
      <c r="O351" s="121">
        <v>91.33375000000001</v>
      </c>
      <c r="P351" s="117">
        <v>1.0</v>
      </c>
      <c r="Q351" s="117">
        <f t="shared" si="2"/>
        <v>3.5</v>
      </c>
      <c r="R351" s="122">
        <f>+(IF(((M351*24)-P351)&lt;0,0,((M351*24)-P351)*'Estimación de pérdidas'!$F$72))*N351</f>
        <v>201873.2622</v>
      </c>
      <c r="S351" s="123" t="s">
        <v>272</v>
      </c>
      <c r="T351" s="124" t="s">
        <v>106</v>
      </c>
      <c r="U351" s="124">
        <f t="shared" si="3"/>
        <v>3</v>
      </c>
      <c r="V351" s="124">
        <v>2.0</v>
      </c>
      <c r="W351" s="124"/>
      <c r="X351" s="125">
        <v>2.0</v>
      </c>
      <c r="Y351" s="126"/>
      <c r="Z351" s="125">
        <f t="shared" si="4"/>
        <v>3</v>
      </c>
      <c r="AA351" s="127" t="str">
        <f t="shared" si="5"/>
        <v>Moderado</v>
      </c>
      <c r="AB351" s="128">
        <f t="shared" si="6"/>
        <v>17</v>
      </c>
      <c r="AC351" s="129">
        <f t="shared" si="7"/>
        <v>0.2950254226</v>
      </c>
      <c r="AD351" s="131"/>
    </row>
    <row r="352" ht="14.25" hidden="1" customHeight="1">
      <c r="A352" s="116" t="s">
        <v>1145</v>
      </c>
      <c r="B352" s="117" t="s">
        <v>1145</v>
      </c>
      <c r="C352" s="117" t="s">
        <v>1292</v>
      </c>
      <c r="D352" s="117" t="s">
        <v>1293</v>
      </c>
      <c r="E352" s="117" t="s">
        <v>1292</v>
      </c>
      <c r="F352" s="117" t="s">
        <v>1294</v>
      </c>
      <c r="G352" s="117" t="s">
        <v>1295</v>
      </c>
      <c r="H352" s="117" t="s">
        <v>1296</v>
      </c>
      <c r="I352" s="117">
        <v>1.0</v>
      </c>
      <c r="J352" s="117">
        <v>1.0</v>
      </c>
      <c r="K352" s="117" t="str">
        <f t="shared" si="1"/>
        <v>No</v>
      </c>
      <c r="L352" s="118" t="s">
        <v>116</v>
      </c>
      <c r="M352" s="119">
        <v>0.3333333333333333</v>
      </c>
      <c r="N352" s="120">
        <v>0.0</v>
      </c>
      <c r="O352" s="121"/>
      <c r="P352" s="117">
        <v>0.0</v>
      </c>
      <c r="Q352" s="117">
        <f t="shared" si="2"/>
        <v>0</v>
      </c>
      <c r="R352" s="122">
        <f>+(IF(((M352*24)-P352)&lt;0,0,((M352*24)-P352)*'Estimación de pérdidas'!$F$72))*N352</f>
        <v>0</v>
      </c>
      <c r="S352" s="123" t="s">
        <v>117</v>
      </c>
      <c r="T352" s="124" t="s">
        <v>118</v>
      </c>
      <c r="U352" s="124">
        <f t="shared" si="3"/>
        <v>1</v>
      </c>
      <c r="V352" s="124">
        <v>1.0</v>
      </c>
      <c r="W352" s="124"/>
      <c r="X352" s="125"/>
      <c r="Y352" s="126"/>
      <c r="Z352" s="125">
        <f t="shared" si="4"/>
        <v>1</v>
      </c>
      <c r="AA352" s="127" t="str">
        <f t="shared" si="5"/>
        <v>Bajo</v>
      </c>
      <c r="AB352" s="128">
        <f t="shared" si="6"/>
        <v>2</v>
      </c>
      <c r="AC352" s="129">
        <f t="shared" si="7"/>
        <v>0.05059644256</v>
      </c>
    </row>
    <row r="353" ht="14.25" hidden="1" customHeight="1">
      <c r="A353" s="116" t="s">
        <v>1145</v>
      </c>
      <c r="B353" s="117" t="s">
        <v>1145</v>
      </c>
      <c r="C353" s="117" t="s">
        <v>1187</v>
      </c>
      <c r="D353" s="117" t="s">
        <v>1297</v>
      </c>
      <c r="E353" s="117" t="s">
        <v>1298</v>
      </c>
      <c r="F353" s="117" t="s">
        <v>1299</v>
      </c>
      <c r="G353" s="117" t="s">
        <v>1191</v>
      </c>
      <c r="H353" s="117" t="s">
        <v>1192</v>
      </c>
      <c r="I353" s="117">
        <v>1.0</v>
      </c>
      <c r="J353" s="117">
        <v>1.0</v>
      </c>
      <c r="K353" s="117" t="str">
        <f t="shared" si="1"/>
        <v>No</v>
      </c>
      <c r="L353" s="118" t="s">
        <v>116</v>
      </c>
      <c r="M353" s="119">
        <v>0.5</v>
      </c>
      <c r="N353" s="120">
        <v>0.5</v>
      </c>
      <c r="O353" s="121">
        <v>91.32</v>
      </c>
      <c r="P353" s="117">
        <v>1.0</v>
      </c>
      <c r="Q353" s="117">
        <f t="shared" si="2"/>
        <v>5.5</v>
      </c>
      <c r="R353" s="122">
        <f>+(IF(((M353*24)-P353)&lt;0,0,((M353*24)-P353)*'Estimación de pérdidas'!$F$72))*N353</f>
        <v>317229.412</v>
      </c>
      <c r="S353" s="123" t="s">
        <v>117</v>
      </c>
      <c r="T353" s="124" t="s">
        <v>132</v>
      </c>
      <c r="U353" s="124">
        <f t="shared" si="3"/>
        <v>3</v>
      </c>
      <c r="V353" s="124">
        <v>1.0</v>
      </c>
      <c r="W353" s="124"/>
      <c r="X353" s="125"/>
      <c r="Y353" s="126"/>
      <c r="Z353" s="125">
        <f t="shared" si="4"/>
        <v>3</v>
      </c>
      <c r="AA353" s="127" t="str">
        <f t="shared" si="5"/>
        <v>Bajo</v>
      </c>
      <c r="AB353" s="128">
        <f t="shared" si="6"/>
        <v>6</v>
      </c>
      <c r="AC353" s="129">
        <f t="shared" si="7"/>
        <v>0.05656854249</v>
      </c>
    </row>
    <row r="354" ht="14.25" hidden="1" customHeight="1">
      <c r="A354" s="116" t="s">
        <v>1145</v>
      </c>
      <c r="B354" s="117" t="s">
        <v>1145</v>
      </c>
      <c r="C354" s="117" t="s">
        <v>1300</v>
      </c>
      <c r="D354" s="117" t="s">
        <v>1301</v>
      </c>
      <c r="E354" s="117" t="s">
        <v>1300</v>
      </c>
      <c r="F354" s="117" t="s">
        <v>1302</v>
      </c>
      <c r="G354" s="117" t="s">
        <v>211</v>
      </c>
      <c r="H354" s="117" t="s">
        <v>1030</v>
      </c>
      <c r="I354" s="117">
        <v>1.0</v>
      </c>
      <c r="J354" s="117">
        <v>1.0</v>
      </c>
      <c r="K354" s="117" t="str">
        <f t="shared" si="1"/>
        <v>No</v>
      </c>
      <c r="L354" s="118" t="s">
        <v>116</v>
      </c>
      <c r="M354" s="119">
        <v>0.3333333333333333</v>
      </c>
      <c r="N354" s="120">
        <v>1.0</v>
      </c>
      <c r="O354" s="121">
        <v>91.32</v>
      </c>
      <c r="P354" s="117">
        <v>1.0</v>
      </c>
      <c r="Q354" s="117">
        <f t="shared" si="2"/>
        <v>7</v>
      </c>
      <c r="R354" s="122">
        <f>+(IF(((M354*24)-P354)&lt;0,0,((M354*24)-P354)*'Estimación de pérdidas'!$F$72))*N354</f>
        <v>403746.5244</v>
      </c>
      <c r="S354" s="123" t="s">
        <v>272</v>
      </c>
      <c r="T354" s="124" t="s">
        <v>132</v>
      </c>
      <c r="U354" s="124">
        <f t="shared" si="3"/>
        <v>3</v>
      </c>
      <c r="V354" s="124">
        <v>1.0</v>
      </c>
      <c r="W354" s="124"/>
      <c r="X354" s="125">
        <v>3.0</v>
      </c>
      <c r="Y354" s="126"/>
      <c r="Z354" s="125">
        <f t="shared" si="4"/>
        <v>3</v>
      </c>
      <c r="AA354" s="127" t="str">
        <f t="shared" si="5"/>
        <v>Bajo</v>
      </c>
      <c r="AB354" s="128">
        <f t="shared" si="6"/>
        <v>6</v>
      </c>
      <c r="AC354" s="129">
        <f t="shared" si="7"/>
        <v>0.07797435476</v>
      </c>
    </row>
    <row r="355" ht="14.25" hidden="1" customHeight="1">
      <c r="A355" s="116" t="s">
        <v>1145</v>
      </c>
      <c r="B355" s="117" t="s">
        <v>1145</v>
      </c>
      <c r="C355" s="117" t="s">
        <v>1303</v>
      </c>
      <c r="D355" s="117" t="s">
        <v>1304</v>
      </c>
      <c r="E355" s="117" t="s">
        <v>1303</v>
      </c>
      <c r="F355" s="117" t="s">
        <v>1305</v>
      </c>
      <c r="G355" s="117" t="s">
        <v>211</v>
      </c>
      <c r="H355" s="117" t="s">
        <v>831</v>
      </c>
      <c r="I355" s="117">
        <v>1.0</v>
      </c>
      <c r="J355" s="117">
        <v>1.0</v>
      </c>
      <c r="K355" s="117" t="str">
        <f t="shared" si="1"/>
        <v>No</v>
      </c>
      <c r="L355" s="118" t="s">
        <v>116</v>
      </c>
      <c r="M355" s="119">
        <v>0.3333333333333333</v>
      </c>
      <c r="N355" s="120">
        <v>1.0</v>
      </c>
      <c r="O355" s="121">
        <v>78.83375000000001</v>
      </c>
      <c r="P355" s="117">
        <v>4.0</v>
      </c>
      <c r="Q355" s="117">
        <f t="shared" si="2"/>
        <v>4</v>
      </c>
      <c r="R355" s="122">
        <f>+(IF(((M355*24)-P355)&lt;0,0,((M355*24)-P355)*'Estimación de pérdidas'!$F$72))*N355</f>
        <v>230712.2997</v>
      </c>
      <c r="S355" s="123" t="s">
        <v>117</v>
      </c>
      <c r="T355" s="124" t="s">
        <v>132</v>
      </c>
      <c r="U355" s="124">
        <f t="shared" si="3"/>
        <v>3</v>
      </c>
      <c r="V355" s="124">
        <v>1.0</v>
      </c>
      <c r="W355" s="124"/>
      <c r="X355" s="125"/>
      <c r="Y355" s="126"/>
      <c r="Z355" s="125">
        <f t="shared" si="4"/>
        <v>3</v>
      </c>
      <c r="AA355" s="127" t="str">
        <f t="shared" si="5"/>
        <v>Bajo</v>
      </c>
      <c r="AB355" s="128">
        <f t="shared" si="6"/>
        <v>6</v>
      </c>
      <c r="AC355" s="129">
        <f t="shared" si="7"/>
        <v>0.05656854249</v>
      </c>
    </row>
    <row r="356" ht="14.25" hidden="1" customHeight="1">
      <c r="A356" s="116" t="s">
        <v>1145</v>
      </c>
      <c r="B356" s="117" t="s">
        <v>1145</v>
      </c>
      <c r="C356" s="117" t="s">
        <v>1306</v>
      </c>
      <c r="D356" s="117" t="s">
        <v>1307</v>
      </c>
      <c r="E356" s="117" t="s">
        <v>1306</v>
      </c>
      <c r="F356" s="117" t="s">
        <v>1308</v>
      </c>
      <c r="G356" s="117" t="s">
        <v>211</v>
      </c>
      <c r="H356" s="117" t="s">
        <v>831</v>
      </c>
      <c r="I356" s="117">
        <v>1.0</v>
      </c>
      <c r="J356" s="117">
        <v>1.0</v>
      </c>
      <c r="K356" s="117" t="str">
        <f t="shared" si="1"/>
        <v>No</v>
      </c>
      <c r="L356" s="118" t="s">
        <v>116</v>
      </c>
      <c r="M356" s="119">
        <v>0.3333333333333333</v>
      </c>
      <c r="N356" s="120">
        <v>1.0</v>
      </c>
      <c r="O356" s="121">
        <v>78.83375000000001</v>
      </c>
      <c r="P356" s="117">
        <v>4.0</v>
      </c>
      <c r="Q356" s="117">
        <f t="shared" si="2"/>
        <v>4</v>
      </c>
      <c r="R356" s="122">
        <f>+(IF(((M356*24)-P356)&lt;0,0,((M356*24)-P356)*'Estimación de pérdidas'!$F$72))*N356</f>
        <v>230712.2997</v>
      </c>
      <c r="S356" s="123" t="s">
        <v>117</v>
      </c>
      <c r="T356" s="124" t="s">
        <v>132</v>
      </c>
      <c r="U356" s="124">
        <f t="shared" si="3"/>
        <v>3</v>
      </c>
      <c r="V356" s="124">
        <v>1.0</v>
      </c>
      <c r="W356" s="124"/>
      <c r="X356" s="125"/>
      <c r="Y356" s="126"/>
      <c r="Z356" s="125">
        <f t="shared" si="4"/>
        <v>3</v>
      </c>
      <c r="AA356" s="127" t="str">
        <f t="shared" si="5"/>
        <v>Bajo</v>
      </c>
      <c r="AB356" s="128">
        <f t="shared" si="6"/>
        <v>6</v>
      </c>
      <c r="AC356" s="129">
        <f t="shared" si="7"/>
        <v>0.05656854249</v>
      </c>
    </row>
    <row r="357" ht="14.25" hidden="1" customHeight="1">
      <c r="A357" s="116" t="s">
        <v>1145</v>
      </c>
      <c r="B357" s="117" t="s">
        <v>1145</v>
      </c>
      <c r="C357" s="117" t="s">
        <v>1309</v>
      </c>
      <c r="D357" s="117" t="s">
        <v>1310</v>
      </c>
      <c r="E357" s="117" t="s">
        <v>1311</v>
      </c>
      <c r="F357" s="117" t="s">
        <v>1312</v>
      </c>
      <c r="G357" s="117" t="s">
        <v>211</v>
      </c>
      <c r="H357" s="117" t="s">
        <v>831</v>
      </c>
      <c r="I357" s="117">
        <v>1.0</v>
      </c>
      <c r="J357" s="117">
        <v>1.0</v>
      </c>
      <c r="K357" s="117" t="str">
        <f t="shared" si="1"/>
        <v>No</v>
      </c>
      <c r="L357" s="118" t="s">
        <v>116</v>
      </c>
      <c r="M357" s="119">
        <v>0.3333333333333333</v>
      </c>
      <c r="N357" s="120">
        <v>1.0</v>
      </c>
      <c r="O357" s="121">
        <v>91.32</v>
      </c>
      <c r="P357" s="117">
        <v>1.0</v>
      </c>
      <c r="Q357" s="117">
        <f t="shared" si="2"/>
        <v>7</v>
      </c>
      <c r="R357" s="122">
        <f>+(IF(((M357*24)-P357)&lt;0,0,((M357*24)-P357)*'Estimación de pérdidas'!$F$72))*N357</f>
        <v>403746.5244</v>
      </c>
      <c r="S357" s="123" t="s">
        <v>117</v>
      </c>
      <c r="T357" s="124" t="s">
        <v>132</v>
      </c>
      <c r="U357" s="124">
        <f t="shared" si="3"/>
        <v>3</v>
      </c>
      <c r="V357" s="124">
        <v>1.0</v>
      </c>
      <c r="W357" s="124"/>
      <c r="X357" s="125"/>
      <c r="Y357" s="126"/>
      <c r="Z357" s="125">
        <f t="shared" si="4"/>
        <v>3</v>
      </c>
      <c r="AA357" s="127" t="str">
        <f t="shared" si="5"/>
        <v>Bajo</v>
      </c>
      <c r="AB357" s="128">
        <f t="shared" si="6"/>
        <v>6</v>
      </c>
      <c r="AC357" s="129">
        <f t="shared" si="7"/>
        <v>0.05656854249</v>
      </c>
    </row>
    <row r="358" ht="14.25" hidden="1" customHeight="1">
      <c r="A358" s="116" t="s">
        <v>1145</v>
      </c>
      <c r="B358" s="117" t="s">
        <v>1145</v>
      </c>
      <c r="C358" s="117" t="s">
        <v>1313</v>
      </c>
      <c r="D358" s="117" t="s">
        <v>1314</v>
      </c>
      <c r="E358" s="117" t="s">
        <v>1313</v>
      </c>
      <c r="F358" s="117" t="s">
        <v>1315</v>
      </c>
      <c r="G358" s="117" t="s">
        <v>840</v>
      </c>
      <c r="H358" s="117" t="s">
        <v>1316</v>
      </c>
      <c r="I358" s="117">
        <v>1.0</v>
      </c>
      <c r="J358" s="117">
        <v>1.0</v>
      </c>
      <c r="K358" s="117" t="str">
        <f t="shared" si="1"/>
        <v>No</v>
      </c>
      <c r="L358" s="118" t="s">
        <v>116</v>
      </c>
      <c r="M358" s="119">
        <v>0.5</v>
      </c>
      <c r="N358" s="120">
        <v>0.5</v>
      </c>
      <c r="O358" s="121">
        <v>91.32</v>
      </c>
      <c r="P358" s="117">
        <v>1.0</v>
      </c>
      <c r="Q358" s="117">
        <f t="shared" si="2"/>
        <v>5.5</v>
      </c>
      <c r="R358" s="122">
        <f>+(IF(((M358*24)-P358)&lt;0,0,((M358*24)-P358)*'Estimación de pérdidas'!$F$72))*N358</f>
        <v>317229.412</v>
      </c>
      <c r="S358" s="123" t="s">
        <v>272</v>
      </c>
      <c r="T358" s="124" t="s">
        <v>118</v>
      </c>
      <c r="U358" s="124">
        <f t="shared" si="3"/>
        <v>3</v>
      </c>
      <c r="V358" s="124">
        <v>1.0</v>
      </c>
      <c r="W358" s="124"/>
      <c r="X358" s="125">
        <v>2.0</v>
      </c>
      <c r="Y358" s="126"/>
      <c r="Z358" s="125">
        <f t="shared" si="4"/>
        <v>3</v>
      </c>
      <c r="AA358" s="127" t="str">
        <f t="shared" si="5"/>
        <v>Moderado</v>
      </c>
      <c r="AB358" s="128">
        <f t="shared" si="6"/>
        <v>9</v>
      </c>
      <c r="AC358" s="129">
        <f t="shared" si="7"/>
        <v>0.1338656042</v>
      </c>
      <c r="AD358" s="131"/>
    </row>
    <row r="359" ht="14.25" hidden="1" customHeight="1">
      <c r="A359" s="116" t="s">
        <v>1145</v>
      </c>
      <c r="B359" s="117" t="s">
        <v>1145</v>
      </c>
      <c r="C359" s="117" t="s">
        <v>1313</v>
      </c>
      <c r="D359" s="117" t="s">
        <v>1317</v>
      </c>
      <c r="E359" s="117" t="s">
        <v>1313</v>
      </c>
      <c r="F359" s="117" t="s">
        <v>1318</v>
      </c>
      <c r="G359" s="117" t="s">
        <v>840</v>
      </c>
      <c r="H359" s="117" t="s">
        <v>1316</v>
      </c>
      <c r="I359" s="117">
        <v>1.0</v>
      </c>
      <c r="J359" s="117">
        <v>1.0</v>
      </c>
      <c r="K359" s="117" t="str">
        <f t="shared" si="1"/>
        <v>No</v>
      </c>
      <c r="L359" s="118" t="s">
        <v>116</v>
      </c>
      <c r="M359" s="119">
        <v>0.5</v>
      </c>
      <c r="N359" s="120">
        <v>0.5</v>
      </c>
      <c r="O359" s="121">
        <v>91.32</v>
      </c>
      <c r="P359" s="117">
        <v>1.0</v>
      </c>
      <c r="Q359" s="117">
        <f t="shared" si="2"/>
        <v>5.5</v>
      </c>
      <c r="R359" s="122">
        <f>+(IF(((M359*24)-P359)&lt;0,0,((M359*24)-P359)*'Estimación de pérdidas'!$F$72))*N359</f>
        <v>317229.412</v>
      </c>
      <c r="S359" s="123" t="s">
        <v>272</v>
      </c>
      <c r="T359" s="124" t="s">
        <v>118</v>
      </c>
      <c r="U359" s="124">
        <f t="shared" si="3"/>
        <v>3</v>
      </c>
      <c r="V359" s="124">
        <v>1.0</v>
      </c>
      <c r="W359" s="124"/>
      <c r="X359" s="125">
        <v>2.0</v>
      </c>
      <c r="Y359" s="126"/>
      <c r="Z359" s="125">
        <f t="shared" si="4"/>
        <v>3</v>
      </c>
      <c r="AA359" s="127" t="str">
        <f t="shared" si="5"/>
        <v>Moderado</v>
      </c>
      <c r="AB359" s="128">
        <f t="shared" si="6"/>
        <v>9</v>
      </c>
      <c r="AC359" s="129">
        <f t="shared" si="7"/>
        <v>0.1338656042</v>
      </c>
      <c r="AD359" s="131"/>
    </row>
    <row r="360" ht="14.25" hidden="1" customHeight="1">
      <c r="A360" s="116" t="s">
        <v>1145</v>
      </c>
      <c r="B360" s="117" t="s">
        <v>1145</v>
      </c>
      <c r="C360" s="117" t="s">
        <v>1319</v>
      </c>
      <c r="D360" s="117" t="s">
        <v>1320</v>
      </c>
      <c r="E360" s="117" t="s">
        <v>1321</v>
      </c>
      <c r="F360" s="117" t="s">
        <v>1322</v>
      </c>
      <c r="G360" s="117" t="s">
        <v>472</v>
      </c>
      <c r="H360" s="117" t="s">
        <v>1180</v>
      </c>
      <c r="I360" s="117">
        <v>1.0</v>
      </c>
      <c r="J360" s="117">
        <v>1.0</v>
      </c>
      <c r="K360" s="117" t="str">
        <f t="shared" si="1"/>
        <v>No</v>
      </c>
      <c r="L360" s="118" t="s">
        <v>116</v>
      </c>
      <c r="M360" s="119">
        <v>0.25</v>
      </c>
      <c r="N360" s="120">
        <v>1.0</v>
      </c>
      <c r="O360" s="121">
        <v>91.32</v>
      </c>
      <c r="P360" s="117">
        <v>1.0</v>
      </c>
      <c r="Q360" s="117">
        <f t="shared" si="2"/>
        <v>5</v>
      </c>
      <c r="R360" s="122">
        <f>+(IF(((M360*24)-P360)&lt;0,0,((M360*24)-P360)*'Estimación de pérdidas'!$F$72))*N360</f>
        <v>288390.3746</v>
      </c>
      <c r="S360" s="123" t="s">
        <v>272</v>
      </c>
      <c r="T360" s="124" t="s">
        <v>119</v>
      </c>
      <c r="U360" s="124">
        <f t="shared" si="3"/>
        <v>3</v>
      </c>
      <c r="V360" s="124">
        <v>1.0</v>
      </c>
      <c r="W360" s="124"/>
      <c r="X360" s="125">
        <v>2.0</v>
      </c>
      <c r="Y360" s="126"/>
      <c r="Z360" s="125">
        <f t="shared" si="4"/>
        <v>3</v>
      </c>
      <c r="AA360" s="127" t="str">
        <f t="shared" si="5"/>
        <v>Moderado</v>
      </c>
      <c r="AB360" s="128">
        <f t="shared" si="6"/>
        <v>13</v>
      </c>
      <c r="AC360" s="129">
        <f t="shared" si="7"/>
        <v>0.2007984064</v>
      </c>
      <c r="AD360" s="131"/>
    </row>
    <row r="361" ht="14.25" hidden="1" customHeight="1">
      <c r="A361" s="116" t="s">
        <v>1145</v>
      </c>
      <c r="B361" s="117" t="s">
        <v>1145</v>
      </c>
      <c r="C361" s="117" t="s">
        <v>1319</v>
      </c>
      <c r="D361" s="117" t="s">
        <v>1323</v>
      </c>
      <c r="E361" s="117" t="s">
        <v>1321</v>
      </c>
      <c r="F361" s="117" t="s">
        <v>1322</v>
      </c>
      <c r="G361" s="117" t="s">
        <v>472</v>
      </c>
      <c r="H361" s="117" t="s">
        <v>1180</v>
      </c>
      <c r="I361" s="117">
        <v>1.0</v>
      </c>
      <c r="J361" s="117">
        <v>1.0</v>
      </c>
      <c r="K361" s="117" t="str">
        <f t="shared" si="1"/>
        <v>No</v>
      </c>
      <c r="L361" s="118" t="s">
        <v>116</v>
      </c>
      <c r="M361" s="119">
        <v>0.25</v>
      </c>
      <c r="N361" s="120">
        <v>0.5</v>
      </c>
      <c r="O361" s="121">
        <v>91.32</v>
      </c>
      <c r="P361" s="117">
        <v>1.0</v>
      </c>
      <c r="Q361" s="117">
        <f t="shared" si="2"/>
        <v>2.5</v>
      </c>
      <c r="R361" s="122">
        <f>+(IF(((M361*24)-P361)&lt;0,0,((M361*24)-P361)*'Estimación de pérdidas'!$F$72))*N361</f>
        <v>144195.1873</v>
      </c>
      <c r="S361" s="123" t="s">
        <v>272</v>
      </c>
      <c r="T361" s="124" t="s">
        <v>119</v>
      </c>
      <c r="U361" s="124">
        <f t="shared" si="3"/>
        <v>2</v>
      </c>
      <c r="V361" s="124">
        <v>1.0</v>
      </c>
      <c r="W361" s="124"/>
      <c r="X361" s="125">
        <v>2.0</v>
      </c>
      <c r="Y361" s="126"/>
      <c r="Z361" s="125">
        <f t="shared" si="4"/>
        <v>2</v>
      </c>
      <c r="AA361" s="127" t="str">
        <f t="shared" si="5"/>
        <v>Moderado</v>
      </c>
      <c r="AB361" s="128">
        <f t="shared" si="6"/>
        <v>8</v>
      </c>
      <c r="AC361" s="129">
        <f t="shared" si="7"/>
        <v>0.1609968944</v>
      </c>
      <c r="AD361" s="131"/>
    </row>
    <row r="362" ht="14.25" hidden="1" customHeight="1">
      <c r="A362" s="116" t="s">
        <v>1145</v>
      </c>
      <c r="B362" s="117" t="s">
        <v>1145</v>
      </c>
      <c r="C362" s="117" t="s">
        <v>1324</v>
      </c>
      <c r="D362" s="117" t="s">
        <v>1325</v>
      </c>
      <c r="E362" s="117" t="s">
        <v>1326</v>
      </c>
      <c r="F362" s="117" t="s">
        <v>1327</v>
      </c>
      <c r="G362" s="117" t="s">
        <v>1328</v>
      </c>
      <c r="H362" s="117" t="s">
        <v>1329</v>
      </c>
      <c r="I362" s="117">
        <v>1.0</v>
      </c>
      <c r="J362" s="117">
        <v>1.0</v>
      </c>
      <c r="K362" s="117" t="str">
        <f t="shared" si="1"/>
        <v>No</v>
      </c>
      <c r="L362" s="118" t="s">
        <v>116</v>
      </c>
      <c r="M362" s="119">
        <v>0.25</v>
      </c>
      <c r="N362" s="120">
        <v>0.5</v>
      </c>
      <c r="O362" s="121">
        <v>91.32</v>
      </c>
      <c r="P362" s="117">
        <v>1.0</v>
      </c>
      <c r="Q362" s="117">
        <f t="shared" si="2"/>
        <v>2.5</v>
      </c>
      <c r="R362" s="122">
        <f>+(IF(((M362*24)-P362)&lt;0,0,((M362*24)-P362)*'Estimación de pérdidas'!$F$72))*N362</f>
        <v>144195.1873</v>
      </c>
      <c r="S362" s="123" t="s">
        <v>117</v>
      </c>
      <c r="T362" s="124" t="s">
        <v>118</v>
      </c>
      <c r="U362" s="124">
        <f t="shared" si="3"/>
        <v>2</v>
      </c>
      <c r="V362" s="124">
        <v>1.0</v>
      </c>
      <c r="W362" s="124"/>
      <c r="X362" s="125"/>
      <c r="Y362" s="126"/>
      <c r="Z362" s="125">
        <f t="shared" si="4"/>
        <v>2</v>
      </c>
      <c r="AA362" s="127" t="str">
        <f t="shared" si="5"/>
        <v>Bajo</v>
      </c>
      <c r="AB362" s="128">
        <f t="shared" si="6"/>
        <v>5</v>
      </c>
      <c r="AC362" s="129">
        <f t="shared" si="7"/>
        <v>0.08</v>
      </c>
    </row>
    <row r="363" ht="14.25" hidden="1" customHeight="1">
      <c r="A363" s="116" t="s">
        <v>1145</v>
      </c>
      <c r="B363" s="117" t="s">
        <v>1145</v>
      </c>
      <c r="C363" s="117" t="s">
        <v>1330</v>
      </c>
      <c r="D363" s="117" t="s">
        <v>1331</v>
      </c>
      <c r="E363" s="117" t="s">
        <v>1332</v>
      </c>
      <c r="F363" s="117" t="s">
        <v>1333</v>
      </c>
      <c r="G363" s="117" t="s">
        <v>1334</v>
      </c>
      <c r="H363" s="117" t="s">
        <v>1335</v>
      </c>
      <c r="I363" s="117">
        <v>1.0</v>
      </c>
      <c r="J363" s="117">
        <v>1.0</v>
      </c>
      <c r="K363" s="117" t="str">
        <f t="shared" si="1"/>
        <v>No</v>
      </c>
      <c r="L363" s="118" t="s">
        <v>116</v>
      </c>
      <c r="M363" s="119">
        <v>0.5</v>
      </c>
      <c r="N363" s="120">
        <v>0.5</v>
      </c>
      <c r="O363" s="121">
        <v>91.32</v>
      </c>
      <c r="P363" s="117">
        <v>1.0</v>
      </c>
      <c r="Q363" s="117">
        <f t="shared" si="2"/>
        <v>5.5</v>
      </c>
      <c r="R363" s="122">
        <f>+(IF(((M363*24)-P363)&lt;0,0,((M363*24)-P363)*'Estimación de pérdidas'!$F$72))*N363</f>
        <v>317229.412</v>
      </c>
      <c r="S363" s="123" t="s">
        <v>272</v>
      </c>
      <c r="T363" s="124" t="s">
        <v>118</v>
      </c>
      <c r="U363" s="124">
        <f t="shared" si="3"/>
        <v>3</v>
      </c>
      <c r="V363" s="124">
        <v>1.0</v>
      </c>
      <c r="W363" s="124"/>
      <c r="X363" s="125">
        <v>2.0</v>
      </c>
      <c r="Y363" s="126"/>
      <c r="Z363" s="125">
        <f t="shared" si="4"/>
        <v>3</v>
      </c>
      <c r="AA363" s="127" t="str">
        <f t="shared" si="5"/>
        <v>Moderado</v>
      </c>
      <c r="AB363" s="128">
        <f t="shared" si="6"/>
        <v>9</v>
      </c>
      <c r="AC363" s="129">
        <f t="shared" si="7"/>
        <v>0.1338656042</v>
      </c>
      <c r="AD363" s="131"/>
    </row>
    <row r="364" ht="14.25" hidden="1" customHeight="1">
      <c r="A364" s="116" t="s">
        <v>1145</v>
      </c>
      <c r="B364" s="117" t="s">
        <v>1145</v>
      </c>
      <c r="C364" s="117" t="s">
        <v>1336</v>
      </c>
      <c r="D364" s="117" t="s">
        <v>1337</v>
      </c>
      <c r="E364" s="117" t="s">
        <v>1338</v>
      </c>
      <c r="F364" s="117" t="s">
        <v>1339</v>
      </c>
      <c r="G364" s="117" t="s">
        <v>1340</v>
      </c>
      <c r="H364" s="117" t="s">
        <v>1341</v>
      </c>
      <c r="I364" s="117">
        <v>1.0</v>
      </c>
      <c r="J364" s="117">
        <v>1.0</v>
      </c>
      <c r="K364" s="117" t="str">
        <f t="shared" si="1"/>
        <v>No</v>
      </c>
      <c r="L364" s="118" t="s">
        <v>116</v>
      </c>
      <c r="M364" s="119">
        <v>0.3333333333333333</v>
      </c>
      <c r="N364" s="120">
        <v>1.0</v>
      </c>
      <c r="O364" s="121">
        <v>78.83375000000001</v>
      </c>
      <c r="P364" s="117">
        <v>4.0</v>
      </c>
      <c r="Q364" s="117">
        <f t="shared" si="2"/>
        <v>4</v>
      </c>
      <c r="R364" s="122">
        <f>+(IF(((M364*24)-P364)&lt;0,0,((M364*24)-P364)*'Estimación de pérdidas'!$F$72))*N364</f>
        <v>230712.2997</v>
      </c>
      <c r="S364" s="123" t="s">
        <v>117</v>
      </c>
      <c r="T364" s="124" t="s">
        <v>132</v>
      </c>
      <c r="U364" s="124">
        <f t="shared" si="3"/>
        <v>3</v>
      </c>
      <c r="V364" s="124">
        <v>1.0</v>
      </c>
      <c r="W364" s="124"/>
      <c r="X364" s="125"/>
      <c r="Y364" s="126"/>
      <c r="Z364" s="125">
        <f t="shared" si="4"/>
        <v>3</v>
      </c>
      <c r="AA364" s="127" t="str">
        <f t="shared" si="5"/>
        <v>Bajo</v>
      </c>
      <c r="AB364" s="128">
        <f t="shared" si="6"/>
        <v>6</v>
      </c>
      <c r="AC364" s="129">
        <f t="shared" si="7"/>
        <v>0.05656854249</v>
      </c>
    </row>
    <row r="365" ht="14.25" hidden="1" customHeight="1">
      <c r="A365" s="116" t="s">
        <v>1145</v>
      </c>
      <c r="B365" s="117" t="s">
        <v>1145</v>
      </c>
      <c r="C365" s="117" t="s">
        <v>1330</v>
      </c>
      <c r="D365" s="117" t="s">
        <v>1342</v>
      </c>
      <c r="E365" s="117" t="s">
        <v>1332</v>
      </c>
      <c r="F365" s="117" t="s">
        <v>1343</v>
      </c>
      <c r="G365" s="117" t="s">
        <v>1334</v>
      </c>
      <c r="H365" s="117" t="s">
        <v>1335</v>
      </c>
      <c r="I365" s="117">
        <v>1.0</v>
      </c>
      <c r="J365" s="117">
        <v>1.0</v>
      </c>
      <c r="K365" s="117" t="str">
        <f t="shared" si="1"/>
        <v>No</v>
      </c>
      <c r="L365" s="118" t="s">
        <v>116</v>
      </c>
      <c r="M365" s="119">
        <v>0.5</v>
      </c>
      <c r="N365" s="120">
        <v>0.5</v>
      </c>
      <c r="O365" s="121">
        <v>91.32</v>
      </c>
      <c r="P365" s="117">
        <v>1.0</v>
      </c>
      <c r="Q365" s="117">
        <f t="shared" si="2"/>
        <v>5.5</v>
      </c>
      <c r="R365" s="122">
        <f>+(IF(((M365*24)-P365)&lt;0,0,((M365*24)-P365)*'Estimación de pérdidas'!$F$72))*N365</f>
        <v>317229.412</v>
      </c>
      <c r="S365" s="123" t="s">
        <v>272</v>
      </c>
      <c r="T365" s="124" t="s">
        <v>118</v>
      </c>
      <c r="U365" s="124">
        <f t="shared" si="3"/>
        <v>3</v>
      </c>
      <c r="V365" s="124">
        <v>1.0</v>
      </c>
      <c r="W365" s="124"/>
      <c r="X365" s="125">
        <v>2.0</v>
      </c>
      <c r="Y365" s="126"/>
      <c r="Z365" s="125">
        <f t="shared" si="4"/>
        <v>3</v>
      </c>
      <c r="AA365" s="127" t="str">
        <f t="shared" si="5"/>
        <v>Moderado</v>
      </c>
      <c r="AB365" s="128">
        <f t="shared" si="6"/>
        <v>9</v>
      </c>
      <c r="AC365" s="129">
        <f t="shared" si="7"/>
        <v>0.1338656042</v>
      </c>
      <c r="AD365" s="131"/>
    </row>
    <row r="366" ht="14.25" hidden="1" customHeight="1">
      <c r="A366" s="116" t="s">
        <v>1145</v>
      </c>
      <c r="B366" s="117" t="s">
        <v>1145</v>
      </c>
      <c r="C366" s="117" t="s">
        <v>1324</v>
      </c>
      <c r="D366" s="117" t="s">
        <v>1344</v>
      </c>
      <c r="E366" s="117" t="s">
        <v>1326</v>
      </c>
      <c r="F366" s="117" t="s">
        <v>1327</v>
      </c>
      <c r="G366" s="117" t="s">
        <v>1328</v>
      </c>
      <c r="H366" s="117" t="s">
        <v>1329</v>
      </c>
      <c r="I366" s="117">
        <v>1.0</v>
      </c>
      <c r="J366" s="117">
        <v>1.0</v>
      </c>
      <c r="K366" s="117" t="str">
        <f t="shared" si="1"/>
        <v>No</v>
      </c>
      <c r="L366" s="118" t="s">
        <v>116</v>
      </c>
      <c r="M366" s="119">
        <v>0.25</v>
      </c>
      <c r="N366" s="120">
        <v>0.5</v>
      </c>
      <c r="O366" s="121">
        <v>91.32</v>
      </c>
      <c r="P366" s="117">
        <v>1.0</v>
      </c>
      <c r="Q366" s="117">
        <f t="shared" si="2"/>
        <v>2.5</v>
      </c>
      <c r="R366" s="122">
        <f>+(IF(((M366*24)-P366)&lt;0,0,((M366*24)-P366)*'Estimación de pérdidas'!$F$72))*N366</f>
        <v>144195.1873</v>
      </c>
      <c r="S366" s="123" t="s">
        <v>117</v>
      </c>
      <c r="T366" s="124" t="s">
        <v>118</v>
      </c>
      <c r="U366" s="124">
        <f t="shared" si="3"/>
        <v>2</v>
      </c>
      <c r="V366" s="124">
        <v>1.0</v>
      </c>
      <c r="W366" s="124"/>
      <c r="X366" s="125"/>
      <c r="Y366" s="126"/>
      <c r="Z366" s="125">
        <f t="shared" si="4"/>
        <v>2</v>
      </c>
      <c r="AA366" s="127" t="str">
        <f t="shared" si="5"/>
        <v>Bajo</v>
      </c>
      <c r="AB366" s="128">
        <f t="shared" si="6"/>
        <v>5</v>
      </c>
      <c r="AC366" s="129">
        <f t="shared" si="7"/>
        <v>0.08</v>
      </c>
    </row>
    <row r="367" ht="14.25" hidden="1" customHeight="1">
      <c r="A367" s="116" t="s">
        <v>1345</v>
      </c>
      <c r="B367" s="117" t="s">
        <v>1346</v>
      </c>
      <c r="C367" s="117" t="s">
        <v>1347</v>
      </c>
      <c r="D367" s="117" t="s">
        <v>1348</v>
      </c>
      <c r="E367" s="117" t="s">
        <v>1347</v>
      </c>
      <c r="F367" s="117" t="s">
        <v>1349</v>
      </c>
      <c r="G367" s="117" t="s">
        <v>179</v>
      </c>
      <c r="H367" s="117" t="s">
        <v>1350</v>
      </c>
      <c r="I367" s="117">
        <v>1.0</v>
      </c>
      <c r="J367" s="117">
        <v>1.0</v>
      </c>
      <c r="K367" s="117" t="str">
        <f t="shared" si="1"/>
        <v>No</v>
      </c>
      <c r="L367" s="118" t="s">
        <v>116</v>
      </c>
      <c r="M367" s="119">
        <v>0.3333333333333333</v>
      </c>
      <c r="N367" s="120">
        <v>1.0</v>
      </c>
      <c r="O367" s="121">
        <v>91.32</v>
      </c>
      <c r="P367" s="117">
        <v>1.0</v>
      </c>
      <c r="Q367" s="117">
        <f t="shared" si="2"/>
        <v>7</v>
      </c>
      <c r="R367" s="122">
        <f>+(IF(((M367*24)-P367)&lt;0,0,((M367*24)-P367)*'Estimación de pérdidas'!$F$72))*N367</f>
        <v>403746.5244</v>
      </c>
      <c r="S367" s="123" t="s">
        <v>117</v>
      </c>
      <c r="T367" s="124" t="s">
        <v>132</v>
      </c>
      <c r="U367" s="124">
        <f t="shared" si="3"/>
        <v>3</v>
      </c>
      <c r="V367" s="124">
        <v>1.0</v>
      </c>
      <c r="W367" s="124"/>
      <c r="X367" s="125"/>
      <c r="Y367" s="126"/>
      <c r="Z367" s="125">
        <f t="shared" si="4"/>
        <v>3</v>
      </c>
      <c r="AA367" s="127" t="str">
        <f t="shared" si="5"/>
        <v>Bajo</v>
      </c>
      <c r="AB367" s="128">
        <f t="shared" si="6"/>
        <v>6</v>
      </c>
      <c r="AC367" s="129">
        <f t="shared" si="7"/>
        <v>0.05656854249</v>
      </c>
    </row>
    <row r="368" ht="14.25" hidden="1" customHeight="1">
      <c r="A368" s="116" t="s">
        <v>1345</v>
      </c>
      <c r="B368" s="117" t="s">
        <v>1346</v>
      </c>
      <c r="C368" s="117" t="s">
        <v>1351</v>
      </c>
      <c r="D368" s="117" t="s">
        <v>1352</v>
      </c>
      <c r="E368" s="117" t="s">
        <v>1351</v>
      </c>
      <c r="F368" s="117" t="s">
        <v>1353</v>
      </c>
      <c r="G368" s="117" t="s">
        <v>179</v>
      </c>
      <c r="H368" s="117" t="s">
        <v>1350</v>
      </c>
      <c r="I368" s="117">
        <v>1.0</v>
      </c>
      <c r="J368" s="117">
        <v>1.0</v>
      </c>
      <c r="K368" s="117" t="str">
        <f t="shared" si="1"/>
        <v>No</v>
      </c>
      <c r="L368" s="118" t="s">
        <v>116</v>
      </c>
      <c r="M368" s="119">
        <v>0.3333333333333333</v>
      </c>
      <c r="N368" s="120">
        <v>1.0</v>
      </c>
      <c r="O368" s="121">
        <v>91.32</v>
      </c>
      <c r="P368" s="117">
        <v>1.0</v>
      </c>
      <c r="Q368" s="117">
        <f t="shared" si="2"/>
        <v>7</v>
      </c>
      <c r="R368" s="122">
        <f>+(IF(((M368*24)-P368)&lt;0,0,((M368*24)-P368)*'Estimación de pérdidas'!$F$72))*N368</f>
        <v>403746.5244</v>
      </c>
      <c r="S368" s="123" t="s">
        <v>117</v>
      </c>
      <c r="T368" s="124" t="s">
        <v>132</v>
      </c>
      <c r="U368" s="124">
        <f t="shared" si="3"/>
        <v>3</v>
      </c>
      <c r="V368" s="124">
        <v>1.0</v>
      </c>
      <c r="W368" s="124"/>
      <c r="X368" s="125"/>
      <c r="Y368" s="126"/>
      <c r="Z368" s="125">
        <f t="shared" si="4"/>
        <v>3</v>
      </c>
      <c r="AA368" s="127" t="str">
        <f t="shared" si="5"/>
        <v>Bajo</v>
      </c>
      <c r="AB368" s="128">
        <f t="shared" si="6"/>
        <v>6</v>
      </c>
      <c r="AC368" s="129">
        <f t="shared" si="7"/>
        <v>0.05656854249</v>
      </c>
    </row>
    <row r="369" ht="14.25" hidden="1" customHeight="1">
      <c r="A369" s="116" t="s">
        <v>1345</v>
      </c>
      <c r="B369" s="117" t="s">
        <v>1346</v>
      </c>
      <c r="C369" s="117" t="s">
        <v>1354</v>
      </c>
      <c r="D369" s="117" t="s">
        <v>1355</v>
      </c>
      <c r="E369" s="117" t="s">
        <v>1354</v>
      </c>
      <c r="F369" s="117" t="s">
        <v>1356</v>
      </c>
      <c r="G369" s="117" t="s">
        <v>179</v>
      </c>
      <c r="H369" s="117" t="s">
        <v>1350</v>
      </c>
      <c r="I369" s="117">
        <v>1.0</v>
      </c>
      <c r="J369" s="117">
        <v>1.0</v>
      </c>
      <c r="K369" s="117" t="str">
        <f t="shared" si="1"/>
        <v>No</v>
      </c>
      <c r="L369" s="118" t="s">
        <v>116</v>
      </c>
      <c r="M369" s="119">
        <v>0.3333333333333333</v>
      </c>
      <c r="N369" s="120">
        <v>1.0</v>
      </c>
      <c r="O369" s="121">
        <v>91.32</v>
      </c>
      <c r="P369" s="117">
        <v>1.0</v>
      </c>
      <c r="Q369" s="117">
        <f t="shared" si="2"/>
        <v>7</v>
      </c>
      <c r="R369" s="122">
        <f>+(IF(((M369*24)-P369)&lt;0,0,((M369*24)-P369)*'Estimación de pérdidas'!$F$72))*N369</f>
        <v>403746.5244</v>
      </c>
      <c r="S369" s="123" t="s">
        <v>117</v>
      </c>
      <c r="T369" s="124" t="s">
        <v>132</v>
      </c>
      <c r="U369" s="124">
        <f t="shared" si="3"/>
        <v>3</v>
      </c>
      <c r="V369" s="124">
        <v>1.0</v>
      </c>
      <c r="W369" s="124"/>
      <c r="X369" s="125"/>
      <c r="Y369" s="126"/>
      <c r="Z369" s="125">
        <f t="shared" si="4"/>
        <v>3</v>
      </c>
      <c r="AA369" s="127" t="str">
        <f t="shared" si="5"/>
        <v>Bajo</v>
      </c>
      <c r="AB369" s="128">
        <f t="shared" si="6"/>
        <v>6</v>
      </c>
      <c r="AC369" s="129">
        <f t="shared" si="7"/>
        <v>0.05656854249</v>
      </c>
    </row>
    <row r="370" ht="14.25" hidden="1" customHeight="1">
      <c r="A370" s="116" t="s">
        <v>1345</v>
      </c>
      <c r="B370" s="117" t="s">
        <v>1346</v>
      </c>
      <c r="C370" s="117" t="s">
        <v>1357</v>
      </c>
      <c r="D370" s="117" t="s">
        <v>1358</v>
      </c>
      <c r="E370" s="117" t="s">
        <v>1359</v>
      </c>
      <c r="F370" s="117" t="s">
        <v>1360</v>
      </c>
      <c r="G370" s="117" t="s">
        <v>205</v>
      </c>
      <c r="H370" s="117" t="s">
        <v>491</v>
      </c>
      <c r="I370" s="117">
        <v>1.0</v>
      </c>
      <c r="J370" s="117">
        <v>1.0</v>
      </c>
      <c r="K370" s="117" t="str">
        <f t="shared" si="1"/>
        <v>No</v>
      </c>
      <c r="L370" s="118" t="s">
        <v>116</v>
      </c>
      <c r="M370" s="119">
        <v>0.33</v>
      </c>
      <c r="N370" s="120">
        <v>0.0</v>
      </c>
      <c r="O370" s="121"/>
      <c r="P370" s="117">
        <v>0.0</v>
      </c>
      <c r="Q370" s="117">
        <f t="shared" si="2"/>
        <v>0</v>
      </c>
      <c r="R370" s="122">
        <f>+(IF(((M370*24)-P370)&lt;0,0,((M370*24)-P370)*'Estimación de pérdidas'!$F$72))*N370</f>
        <v>0</v>
      </c>
      <c r="S370" s="123" t="s">
        <v>117</v>
      </c>
      <c r="T370" s="124" t="s">
        <v>119</v>
      </c>
      <c r="U370" s="124">
        <f t="shared" si="3"/>
        <v>1</v>
      </c>
      <c r="V370" s="124">
        <v>1.0</v>
      </c>
      <c r="W370" s="124"/>
      <c r="X370" s="125"/>
      <c r="Y370" s="126"/>
      <c r="Z370" s="125">
        <f t="shared" si="4"/>
        <v>1</v>
      </c>
      <c r="AA370" s="127" t="str">
        <f t="shared" si="5"/>
        <v>Bajo</v>
      </c>
      <c r="AB370" s="128">
        <f t="shared" si="6"/>
        <v>4</v>
      </c>
      <c r="AC370" s="129">
        <f t="shared" si="7"/>
        <v>0.07589466384</v>
      </c>
    </row>
    <row r="371" ht="14.25" hidden="1" customHeight="1">
      <c r="A371" s="116" t="s">
        <v>1345</v>
      </c>
      <c r="B371" s="117" t="s">
        <v>1346</v>
      </c>
      <c r="C371" s="117" t="s">
        <v>1361</v>
      </c>
      <c r="D371" s="117" t="s">
        <v>1362</v>
      </c>
      <c r="E371" s="117" t="s">
        <v>1361</v>
      </c>
      <c r="F371" s="117" t="s">
        <v>1363</v>
      </c>
      <c r="G371" s="117" t="s">
        <v>551</v>
      </c>
      <c r="H371" s="117" t="s">
        <v>1364</v>
      </c>
      <c r="I371" s="117">
        <v>1.0</v>
      </c>
      <c r="J371" s="117">
        <v>1.0</v>
      </c>
      <c r="K371" s="117" t="str">
        <f t="shared" si="1"/>
        <v>No</v>
      </c>
      <c r="L371" s="118" t="s">
        <v>116</v>
      </c>
      <c r="M371" s="119">
        <v>0.16666666666666666</v>
      </c>
      <c r="N371" s="120">
        <v>1.0</v>
      </c>
      <c r="O371" s="121">
        <v>1.0</v>
      </c>
      <c r="P371" s="117">
        <v>21.660183968462547</v>
      </c>
      <c r="Q371" s="117">
        <f t="shared" si="2"/>
        <v>0</v>
      </c>
      <c r="R371" s="122">
        <f>+(IF(((M371*24)-P371)&lt;0,0,((M371*24)-P371)*'Estimación de pérdidas'!$F$72))*N371</f>
        <v>0</v>
      </c>
      <c r="S371" s="123" t="s">
        <v>117</v>
      </c>
      <c r="T371" s="124" t="s">
        <v>118</v>
      </c>
      <c r="U371" s="124">
        <f t="shared" si="3"/>
        <v>1</v>
      </c>
      <c r="V371" s="124">
        <v>1.0</v>
      </c>
      <c r="W371" s="124"/>
      <c r="X371" s="125"/>
      <c r="Y371" s="126"/>
      <c r="Z371" s="125">
        <f t="shared" si="4"/>
        <v>1</v>
      </c>
      <c r="AA371" s="127" t="str">
        <f t="shared" si="5"/>
        <v>Bajo</v>
      </c>
      <c r="AB371" s="128">
        <f t="shared" si="6"/>
        <v>2</v>
      </c>
      <c r="AC371" s="129">
        <f t="shared" si="7"/>
        <v>0.05059644256</v>
      </c>
    </row>
    <row r="372" ht="14.25" hidden="1" customHeight="1">
      <c r="A372" s="116" t="s">
        <v>1345</v>
      </c>
      <c r="B372" s="117" t="s">
        <v>1346</v>
      </c>
      <c r="C372" s="117" t="s">
        <v>1365</v>
      </c>
      <c r="D372" s="117" t="s">
        <v>1366</v>
      </c>
      <c r="E372" s="117" t="s">
        <v>1365</v>
      </c>
      <c r="F372" s="117" t="s">
        <v>1367</v>
      </c>
      <c r="G372" s="117" t="s">
        <v>205</v>
      </c>
      <c r="H372" s="117" t="s">
        <v>491</v>
      </c>
      <c r="I372" s="117">
        <v>1.0</v>
      </c>
      <c r="J372" s="117">
        <v>1.0</v>
      </c>
      <c r="K372" s="117" t="str">
        <f t="shared" si="1"/>
        <v>No</v>
      </c>
      <c r="L372" s="118" t="s">
        <v>116</v>
      </c>
      <c r="M372" s="119">
        <v>0.25</v>
      </c>
      <c r="N372" s="120">
        <v>1.0</v>
      </c>
      <c r="O372" s="121">
        <v>1.0</v>
      </c>
      <c r="P372" s="117">
        <v>21.660183968462547</v>
      </c>
      <c r="Q372" s="117">
        <f t="shared" si="2"/>
        <v>0</v>
      </c>
      <c r="R372" s="122">
        <f>+(IF(((M372*24)-P372)&lt;0,0,((M372*24)-P372)*'Estimación de pérdidas'!$F$72))*N372</f>
        <v>0</v>
      </c>
      <c r="S372" s="123" t="s">
        <v>117</v>
      </c>
      <c r="T372" s="124" t="s">
        <v>106</v>
      </c>
      <c r="U372" s="124">
        <f t="shared" si="3"/>
        <v>1</v>
      </c>
      <c r="V372" s="124">
        <v>1.0</v>
      </c>
      <c r="W372" s="124"/>
      <c r="X372" s="125"/>
      <c r="Y372" s="126"/>
      <c r="Z372" s="125">
        <f t="shared" si="4"/>
        <v>1</v>
      </c>
      <c r="AA372" s="127" t="str">
        <f t="shared" si="5"/>
        <v>Bajo</v>
      </c>
      <c r="AB372" s="128">
        <f t="shared" si="6"/>
        <v>7</v>
      </c>
      <c r="AC372" s="129">
        <f t="shared" si="7"/>
        <v>0.1011928851</v>
      </c>
    </row>
    <row r="373" ht="14.25" hidden="1" customHeight="1">
      <c r="A373" s="116" t="s">
        <v>1345</v>
      </c>
      <c r="B373" s="117" t="s">
        <v>1346</v>
      </c>
      <c r="C373" s="117" t="s">
        <v>1368</v>
      </c>
      <c r="D373" s="117" t="s">
        <v>1369</v>
      </c>
      <c r="E373" s="117" t="s">
        <v>1368</v>
      </c>
      <c r="F373" s="117" t="s">
        <v>1370</v>
      </c>
      <c r="G373" s="117" t="s">
        <v>477</v>
      </c>
      <c r="H373" s="117" t="s">
        <v>1371</v>
      </c>
      <c r="I373" s="117">
        <v>1.0</v>
      </c>
      <c r="J373" s="117">
        <v>1.0</v>
      </c>
      <c r="K373" s="117" t="str">
        <f t="shared" si="1"/>
        <v>No</v>
      </c>
      <c r="L373" s="118" t="s">
        <v>116</v>
      </c>
      <c r="M373" s="119">
        <v>0.5</v>
      </c>
      <c r="N373" s="120">
        <v>1.0</v>
      </c>
      <c r="O373" s="121">
        <v>91.32</v>
      </c>
      <c r="P373" s="117">
        <v>1.0</v>
      </c>
      <c r="Q373" s="117">
        <f t="shared" si="2"/>
        <v>11</v>
      </c>
      <c r="R373" s="122">
        <f>+(IF(((M373*24)-P373)&lt;0,0,((M373*24)-P373)*'Estimación de pérdidas'!$F$72))*N373</f>
        <v>634458.8241</v>
      </c>
      <c r="S373" s="123" t="s">
        <v>117</v>
      </c>
      <c r="T373" s="124" t="s">
        <v>119</v>
      </c>
      <c r="U373" s="124">
        <f t="shared" si="3"/>
        <v>4</v>
      </c>
      <c r="V373" s="124">
        <v>2.0</v>
      </c>
      <c r="W373" s="124"/>
      <c r="X373" s="125"/>
      <c r="Y373" s="126"/>
      <c r="Z373" s="125">
        <f t="shared" si="4"/>
        <v>4</v>
      </c>
      <c r="AA373" s="127" t="str">
        <f t="shared" si="5"/>
        <v>Moderado</v>
      </c>
      <c r="AB373" s="128">
        <f t="shared" si="6"/>
        <v>18</v>
      </c>
      <c r="AC373" s="129">
        <f t="shared" si="7"/>
        <v>0.24</v>
      </c>
      <c r="AD373" s="130"/>
    </row>
    <row r="374" ht="14.25" hidden="1" customHeight="1">
      <c r="A374" s="116" t="s">
        <v>403</v>
      </c>
      <c r="B374" s="117" t="s">
        <v>1346</v>
      </c>
      <c r="C374" s="117" t="s">
        <v>761</v>
      </c>
      <c r="D374" s="117" t="s">
        <v>1372</v>
      </c>
      <c r="E374" s="117" t="s">
        <v>526</v>
      </c>
      <c r="F374" s="117" t="s">
        <v>763</v>
      </c>
      <c r="G374" s="117" t="s">
        <v>408</v>
      </c>
      <c r="H374" s="117" t="s">
        <v>764</v>
      </c>
      <c r="I374" s="117">
        <v>1.0</v>
      </c>
      <c r="J374" s="117">
        <v>1.0</v>
      </c>
      <c r="K374" s="117" t="str">
        <f t="shared" si="1"/>
        <v>No</v>
      </c>
      <c r="L374" s="118" t="s">
        <v>116</v>
      </c>
      <c r="M374" s="119">
        <v>0.3333333333333333</v>
      </c>
      <c r="N374" s="120">
        <v>0.0</v>
      </c>
      <c r="O374" s="121"/>
      <c r="P374" s="117">
        <v>0.0</v>
      </c>
      <c r="Q374" s="117">
        <f t="shared" si="2"/>
        <v>0</v>
      </c>
      <c r="R374" s="122">
        <f>+(IF(((M374*24)-P374)&lt;0,0,((M374*24)-P374)*'Estimación de pérdidas'!$F$72))*N374</f>
        <v>0</v>
      </c>
      <c r="S374" s="123" t="s">
        <v>272</v>
      </c>
      <c r="T374" s="124" t="s">
        <v>106</v>
      </c>
      <c r="U374" s="124">
        <f t="shared" si="3"/>
        <v>1</v>
      </c>
      <c r="V374" s="124">
        <v>1.0</v>
      </c>
      <c r="W374" s="124">
        <v>4.0</v>
      </c>
      <c r="X374" s="125"/>
      <c r="Y374" s="126"/>
      <c r="Z374" s="125">
        <f t="shared" si="4"/>
        <v>4</v>
      </c>
      <c r="AA374" s="127" t="str">
        <f t="shared" si="5"/>
        <v>Alto</v>
      </c>
      <c r="AB374" s="128">
        <f t="shared" si="6"/>
        <v>22</v>
      </c>
      <c r="AC374" s="129">
        <f t="shared" si="7"/>
        <v>0.3035786554</v>
      </c>
      <c r="AD374" s="130"/>
    </row>
    <row r="375" ht="14.25" hidden="1" customHeight="1">
      <c r="A375" s="116" t="s">
        <v>1345</v>
      </c>
      <c r="B375" s="117" t="s">
        <v>1346</v>
      </c>
      <c r="C375" s="117" t="s">
        <v>1373</v>
      </c>
      <c r="D375" s="117" t="s">
        <v>1374</v>
      </c>
      <c r="E375" s="117" t="s">
        <v>1375</v>
      </c>
      <c r="F375" s="117" t="s">
        <v>1376</v>
      </c>
      <c r="G375" s="117" t="s">
        <v>531</v>
      </c>
      <c r="H375" s="117" t="s">
        <v>1377</v>
      </c>
      <c r="I375" s="117">
        <v>1.0</v>
      </c>
      <c r="J375" s="117">
        <v>1.0</v>
      </c>
      <c r="K375" s="117" t="str">
        <f t="shared" si="1"/>
        <v>No</v>
      </c>
      <c r="L375" s="118" t="s">
        <v>116</v>
      </c>
      <c r="M375" s="119">
        <v>5.0</v>
      </c>
      <c r="N375" s="120">
        <v>1.0</v>
      </c>
      <c r="O375" s="121">
        <v>91.32</v>
      </c>
      <c r="P375" s="117">
        <v>1.0</v>
      </c>
      <c r="Q375" s="117">
        <f t="shared" si="2"/>
        <v>119</v>
      </c>
      <c r="R375" s="122">
        <f>+(IF(((M375*24)-P375)&lt;0,0,((M375*24)-P375)*'Estimación de pérdidas'!$F$72))*N375</f>
        <v>6863690.915</v>
      </c>
      <c r="S375" s="123" t="s">
        <v>272</v>
      </c>
      <c r="T375" s="124" t="s">
        <v>118</v>
      </c>
      <c r="U375" s="124">
        <f t="shared" si="3"/>
        <v>5</v>
      </c>
      <c r="V375" s="124">
        <v>2.0</v>
      </c>
      <c r="W375" s="124">
        <v>4.0</v>
      </c>
      <c r="X375" s="125">
        <v>2.0</v>
      </c>
      <c r="Y375" s="126"/>
      <c r="Z375" s="125">
        <f t="shared" si="4"/>
        <v>5</v>
      </c>
      <c r="AA375" s="127" t="str">
        <f t="shared" si="5"/>
        <v>Alto</v>
      </c>
      <c r="AB375" s="128">
        <f t="shared" si="6"/>
        <v>19</v>
      </c>
      <c r="AC375" s="129">
        <f t="shared" si="7"/>
        <v>0.2504396135</v>
      </c>
      <c r="AD375" s="130"/>
    </row>
    <row r="376" ht="14.25" hidden="1" customHeight="1">
      <c r="A376" s="116" t="s">
        <v>1345</v>
      </c>
      <c r="B376" s="117" t="s">
        <v>1378</v>
      </c>
      <c r="C376" s="117" t="s">
        <v>1379</v>
      </c>
      <c r="D376" s="117" t="s">
        <v>1380</v>
      </c>
      <c r="E376" s="117" t="s">
        <v>1379</v>
      </c>
      <c r="F376" s="117" t="s">
        <v>1381</v>
      </c>
      <c r="G376" s="117" t="s">
        <v>205</v>
      </c>
      <c r="H376" s="117" t="s">
        <v>491</v>
      </c>
      <c r="I376" s="117">
        <v>2.0</v>
      </c>
      <c r="J376" s="117">
        <v>1.0</v>
      </c>
      <c r="K376" s="117" t="str">
        <f t="shared" si="1"/>
        <v>Si</v>
      </c>
      <c r="L376" s="118" t="s">
        <v>287</v>
      </c>
      <c r="M376" s="119">
        <v>0.25</v>
      </c>
      <c r="N376" s="120">
        <v>0.0</v>
      </c>
      <c r="O376" s="121">
        <v>91.32</v>
      </c>
      <c r="P376" s="117">
        <v>1.0</v>
      </c>
      <c r="Q376" s="117">
        <f t="shared" si="2"/>
        <v>0</v>
      </c>
      <c r="R376" s="122">
        <f>+(IF(((M376*24)-P376)&lt;0,0,((M376*24)-P376)*'Estimación de pérdidas'!$F$72))*N376</f>
        <v>0</v>
      </c>
      <c r="S376" s="123" t="s">
        <v>117</v>
      </c>
      <c r="T376" s="124" t="s">
        <v>106</v>
      </c>
      <c r="U376" s="124">
        <f t="shared" si="3"/>
        <v>1</v>
      </c>
      <c r="V376" s="124">
        <v>2.0</v>
      </c>
      <c r="W376" s="124"/>
      <c r="X376" s="125"/>
      <c r="Y376" s="126"/>
      <c r="Z376" s="125">
        <f t="shared" si="4"/>
        <v>2</v>
      </c>
      <c r="AA376" s="127" t="str">
        <f t="shared" si="5"/>
        <v>Moderado</v>
      </c>
      <c r="AB376" s="128">
        <f t="shared" si="6"/>
        <v>12</v>
      </c>
      <c r="AC376" s="129">
        <f t="shared" si="7"/>
        <v>0.16</v>
      </c>
      <c r="AD376" s="131"/>
    </row>
    <row r="377" ht="14.25" hidden="1" customHeight="1">
      <c r="A377" s="116" t="s">
        <v>1345</v>
      </c>
      <c r="B377" s="117" t="s">
        <v>1378</v>
      </c>
      <c r="C377" s="117" t="s">
        <v>1382</v>
      </c>
      <c r="D377" s="117" t="s">
        <v>1383</v>
      </c>
      <c r="E377" s="117" t="s">
        <v>1382</v>
      </c>
      <c r="F377" s="117" t="s">
        <v>1381</v>
      </c>
      <c r="G377" s="117" t="s">
        <v>205</v>
      </c>
      <c r="H377" s="117" t="s">
        <v>491</v>
      </c>
      <c r="I377" s="117">
        <v>2.0</v>
      </c>
      <c r="J377" s="117">
        <v>1.0</v>
      </c>
      <c r="K377" s="117" t="str">
        <f t="shared" si="1"/>
        <v>Si</v>
      </c>
      <c r="L377" s="118" t="s">
        <v>287</v>
      </c>
      <c r="M377" s="119">
        <v>0.25</v>
      </c>
      <c r="N377" s="120">
        <v>0.0</v>
      </c>
      <c r="O377" s="121">
        <v>91.32</v>
      </c>
      <c r="P377" s="117">
        <v>1.0</v>
      </c>
      <c r="Q377" s="117">
        <f t="shared" si="2"/>
        <v>0</v>
      </c>
      <c r="R377" s="122">
        <f>+(IF(((M377*24)-P377)&lt;0,0,((M377*24)-P377)*'Estimación de pérdidas'!$F$72))*N377</f>
        <v>0</v>
      </c>
      <c r="S377" s="123" t="s">
        <v>117</v>
      </c>
      <c r="T377" s="124" t="s">
        <v>106</v>
      </c>
      <c r="U377" s="124">
        <f t="shared" si="3"/>
        <v>1</v>
      </c>
      <c r="V377" s="124">
        <v>2.0</v>
      </c>
      <c r="W377" s="124"/>
      <c r="X377" s="125"/>
      <c r="Y377" s="126"/>
      <c r="Z377" s="125">
        <f t="shared" si="4"/>
        <v>2</v>
      </c>
      <c r="AA377" s="127" t="str">
        <f t="shared" si="5"/>
        <v>Moderado</v>
      </c>
      <c r="AB377" s="128">
        <f t="shared" si="6"/>
        <v>12</v>
      </c>
      <c r="AC377" s="129">
        <f t="shared" si="7"/>
        <v>0.16</v>
      </c>
      <c r="AD377" s="131"/>
    </row>
    <row r="378" ht="14.25" hidden="1" customHeight="1">
      <c r="A378" s="116" t="s">
        <v>1345</v>
      </c>
      <c r="B378" s="117" t="s">
        <v>1378</v>
      </c>
      <c r="C378" s="117" t="s">
        <v>1384</v>
      </c>
      <c r="D378" s="117" t="s">
        <v>1385</v>
      </c>
      <c r="E378" s="117" t="s">
        <v>1386</v>
      </c>
      <c r="F378" s="117" t="s">
        <v>1387</v>
      </c>
      <c r="G378" s="117" t="s">
        <v>205</v>
      </c>
      <c r="H378" s="117" t="s">
        <v>491</v>
      </c>
      <c r="I378" s="117">
        <v>2.0</v>
      </c>
      <c r="J378" s="117">
        <v>1.0</v>
      </c>
      <c r="K378" s="117" t="str">
        <f t="shared" si="1"/>
        <v>Si</v>
      </c>
      <c r="L378" s="118" t="s">
        <v>287</v>
      </c>
      <c r="M378" s="119">
        <v>0.25</v>
      </c>
      <c r="N378" s="120">
        <v>0.0</v>
      </c>
      <c r="O378" s="121">
        <v>91.32</v>
      </c>
      <c r="P378" s="117">
        <v>1.0</v>
      </c>
      <c r="Q378" s="117">
        <f t="shared" si="2"/>
        <v>0</v>
      </c>
      <c r="R378" s="122">
        <f>+(IF(((M378*24)-P378)&lt;0,0,((M378*24)-P378)*'Estimación de pérdidas'!$F$72))*N378</f>
        <v>0</v>
      </c>
      <c r="S378" s="123" t="s">
        <v>117</v>
      </c>
      <c r="T378" s="124" t="s">
        <v>106</v>
      </c>
      <c r="U378" s="124">
        <f t="shared" si="3"/>
        <v>1</v>
      </c>
      <c r="V378" s="124">
        <v>2.0</v>
      </c>
      <c r="W378" s="124"/>
      <c r="X378" s="125"/>
      <c r="Y378" s="126"/>
      <c r="Z378" s="125">
        <f t="shared" si="4"/>
        <v>2</v>
      </c>
      <c r="AA378" s="127" t="str">
        <f t="shared" si="5"/>
        <v>Moderado</v>
      </c>
      <c r="AB378" s="128">
        <f t="shared" si="6"/>
        <v>12</v>
      </c>
      <c r="AC378" s="129">
        <f t="shared" si="7"/>
        <v>0.16</v>
      </c>
      <c r="AD378" s="131"/>
    </row>
    <row r="379" ht="14.25" hidden="1" customHeight="1">
      <c r="A379" s="116" t="s">
        <v>1345</v>
      </c>
      <c r="B379" s="117" t="s">
        <v>1378</v>
      </c>
      <c r="C379" s="117" t="s">
        <v>1384</v>
      </c>
      <c r="D379" s="117" t="s">
        <v>1388</v>
      </c>
      <c r="E379" s="117" t="s">
        <v>1386</v>
      </c>
      <c r="F379" s="117" t="s">
        <v>1387</v>
      </c>
      <c r="G379" s="117" t="s">
        <v>205</v>
      </c>
      <c r="H379" s="117" t="s">
        <v>491</v>
      </c>
      <c r="I379" s="117">
        <v>2.0</v>
      </c>
      <c r="J379" s="117">
        <v>1.0</v>
      </c>
      <c r="K379" s="117" t="str">
        <f t="shared" si="1"/>
        <v>Si</v>
      </c>
      <c r="L379" s="118" t="s">
        <v>287</v>
      </c>
      <c r="M379" s="119">
        <v>0.25</v>
      </c>
      <c r="N379" s="120">
        <v>0.0</v>
      </c>
      <c r="O379" s="121">
        <v>91.32</v>
      </c>
      <c r="P379" s="117">
        <v>1.0</v>
      </c>
      <c r="Q379" s="117">
        <f t="shared" si="2"/>
        <v>0</v>
      </c>
      <c r="R379" s="122">
        <f>+(IF(((M379*24)-P379)&lt;0,0,((M379*24)-P379)*'Estimación de pérdidas'!$F$72))*N379</f>
        <v>0</v>
      </c>
      <c r="S379" s="123" t="s">
        <v>117</v>
      </c>
      <c r="T379" s="124" t="s">
        <v>106</v>
      </c>
      <c r="U379" s="124">
        <f t="shared" si="3"/>
        <v>1</v>
      </c>
      <c r="V379" s="124">
        <v>2.0</v>
      </c>
      <c r="W379" s="124"/>
      <c r="X379" s="125"/>
      <c r="Y379" s="126"/>
      <c r="Z379" s="125">
        <f t="shared" si="4"/>
        <v>2</v>
      </c>
      <c r="AA379" s="127" t="str">
        <f t="shared" si="5"/>
        <v>Moderado</v>
      </c>
      <c r="AB379" s="128">
        <f t="shared" si="6"/>
        <v>12</v>
      </c>
      <c r="AC379" s="129">
        <f t="shared" si="7"/>
        <v>0.16</v>
      </c>
      <c r="AD379" s="131"/>
    </row>
    <row r="380" ht="14.25" hidden="1" customHeight="1">
      <c r="A380" s="116" t="s">
        <v>1345</v>
      </c>
      <c r="B380" s="117" t="s">
        <v>1378</v>
      </c>
      <c r="C380" s="117" t="s">
        <v>1389</v>
      </c>
      <c r="D380" s="117" t="s">
        <v>1390</v>
      </c>
      <c r="E380" s="117" t="s">
        <v>1391</v>
      </c>
      <c r="F380" s="117" t="s">
        <v>1392</v>
      </c>
      <c r="G380" s="117" t="s">
        <v>205</v>
      </c>
      <c r="H380" s="117" t="s">
        <v>491</v>
      </c>
      <c r="I380" s="117">
        <v>2.0</v>
      </c>
      <c r="J380" s="117">
        <v>1.0</v>
      </c>
      <c r="K380" s="117" t="str">
        <f t="shared" si="1"/>
        <v>Si</v>
      </c>
      <c r="L380" s="118" t="s">
        <v>287</v>
      </c>
      <c r="M380" s="119">
        <v>0.25</v>
      </c>
      <c r="N380" s="120">
        <v>0.0</v>
      </c>
      <c r="O380" s="121">
        <v>91.32</v>
      </c>
      <c r="P380" s="117">
        <v>1.0</v>
      </c>
      <c r="Q380" s="117">
        <f t="shared" si="2"/>
        <v>0</v>
      </c>
      <c r="R380" s="122">
        <f>+(IF(((M380*24)-P380)&lt;0,0,((M380*24)-P380)*'Estimación de pérdidas'!$F$72))*N380</f>
        <v>0</v>
      </c>
      <c r="S380" s="123" t="s">
        <v>117</v>
      </c>
      <c r="T380" s="124" t="s">
        <v>106</v>
      </c>
      <c r="U380" s="124">
        <f t="shared" si="3"/>
        <v>1</v>
      </c>
      <c r="V380" s="124">
        <v>2.0</v>
      </c>
      <c r="W380" s="124"/>
      <c r="X380" s="125"/>
      <c r="Y380" s="126"/>
      <c r="Z380" s="125">
        <f t="shared" si="4"/>
        <v>2</v>
      </c>
      <c r="AA380" s="127" t="str">
        <f t="shared" si="5"/>
        <v>Moderado</v>
      </c>
      <c r="AB380" s="128">
        <f t="shared" si="6"/>
        <v>12</v>
      </c>
      <c r="AC380" s="129">
        <f t="shared" si="7"/>
        <v>0.16</v>
      </c>
      <c r="AD380" s="131"/>
    </row>
    <row r="381" ht="14.25" hidden="1" customHeight="1">
      <c r="A381" s="116" t="s">
        <v>1345</v>
      </c>
      <c r="B381" s="117" t="s">
        <v>1378</v>
      </c>
      <c r="C381" s="117" t="s">
        <v>1389</v>
      </c>
      <c r="D381" s="117" t="s">
        <v>1393</v>
      </c>
      <c r="E381" s="117" t="s">
        <v>1391</v>
      </c>
      <c r="F381" s="117" t="s">
        <v>1392</v>
      </c>
      <c r="G381" s="117" t="s">
        <v>205</v>
      </c>
      <c r="H381" s="117" t="s">
        <v>491</v>
      </c>
      <c r="I381" s="117">
        <v>2.0</v>
      </c>
      <c r="J381" s="117">
        <v>1.0</v>
      </c>
      <c r="K381" s="117" t="str">
        <f t="shared" si="1"/>
        <v>Si</v>
      </c>
      <c r="L381" s="118" t="s">
        <v>287</v>
      </c>
      <c r="M381" s="119">
        <v>0.25</v>
      </c>
      <c r="N381" s="120">
        <v>0.0</v>
      </c>
      <c r="O381" s="121">
        <v>91.32</v>
      </c>
      <c r="P381" s="117">
        <v>1.0</v>
      </c>
      <c r="Q381" s="117">
        <f t="shared" si="2"/>
        <v>0</v>
      </c>
      <c r="R381" s="122">
        <f>+(IF(((M381*24)-P381)&lt;0,0,((M381*24)-P381)*'Estimación de pérdidas'!$F$72))*N381</f>
        <v>0</v>
      </c>
      <c r="S381" s="123" t="s">
        <v>117</v>
      </c>
      <c r="T381" s="124" t="s">
        <v>106</v>
      </c>
      <c r="U381" s="124">
        <f t="shared" si="3"/>
        <v>1</v>
      </c>
      <c r="V381" s="124">
        <v>2.0</v>
      </c>
      <c r="W381" s="124"/>
      <c r="X381" s="125"/>
      <c r="Y381" s="126"/>
      <c r="Z381" s="125">
        <f t="shared" si="4"/>
        <v>2</v>
      </c>
      <c r="AA381" s="127" t="str">
        <f t="shared" si="5"/>
        <v>Moderado</v>
      </c>
      <c r="AB381" s="128">
        <f t="shared" si="6"/>
        <v>12</v>
      </c>
      <c r="AC381" s="129">
        <f t="shared" si="7"/>
        <v>0.16</v>
      </c>
      <c r="AD381" s="131"/>
    </row>
    <row r="382" ht="14.25" hidden="1" customHeight="1">
      <c r="A382" s="116" t="s">
        <v>1345</v>
      </c>
      <c r="B382" s="117" t="s">
        <v>1378</v>
      </c>
      <c r="C382" s="117" t="s">
        <v>1394</v>
      </c>
      <c r="D382" s="117" t="s">
        <v>1395</v>
      </c>
      <c r="E382" s="117" t="s">
        <v>1394</v>
      </c>
      <c r="F382" s="117" t="s">
        <v>1396</v>
      </c>
      <c r="G382" s="117" t="s">
        <v>205</v>
      </c>
      <c r="H382" s="117" t="s">
        <v>491</v>
      </c>
      <c r="I382" s="117">
        <v>2.0</v>
      </c>
      <c r="J382" s="117">
        <v>1.0</v>
      </c>
      <c r="K382" s="117" t="str">
        <f t="shared" si="1"/>
        <v>Si</v>
      </c>
      <c r="L382" s="118" t="s">
        <v>287</v>
      </c>
      <c r="M382" s="119">
        <v>0.25</v>
      </c>
      <c r="N382" s="120">
        <v>0.0</v>
      </c>
      <c r="O382" s="121">
        <v>91.32</v>
      </c>
      <c r="P382" s="117">
        <v>1.0</v>
      </c>
      <c r="Q382" s="117">
        <f t="shared" si="2"/>
        <v>0</v>
      </c>
      <c r="R382" s="122">
        <f>+(IF(((M382*24)-P382)&lt;0,0,((M382*24)-P382)*'Estimación de pérdidas'!$F$72))*N382</f>
        <v>0</v>
      </c>
      <c r="S382" s="123" t="s">
        <v>117</v>
      </c>
      <c r="T382" s="124" t="s">
        <v>106</v>
      </c>
      <c r="U382" s="124">
        <f t="shared" si="3"/>
        <v>1</v>
      </c>
      <c r="V382" s="124">
        <v>1.0</v>
      </c>
      <c r="W382" s="124"/>
      <c r="X382" s="125"/>
      <c r="Y382" s="126"/>
      <c r="Z382" s="125">
        <f t="shared" si="4"/>
        <v>1</v>
      </c>
      <c r="AA382" s="127" t="str">
        <f t="shared" si="5"/>
        <v>Bajo</v>
      </c>
      <c r="AB382" s="128">
        <f t="shared" si="6"/>
        <v>7</v>
      </c>
      <c r="AC382" s="129">
        <f t="shared" si="7"/>
        <v>0.1011928851</v>
      </c>
    </row>
    <row r="383" ht="14.25" hidden="1" customHeight="1">
      <c r="A383" s="116" t="s">
        <v>1345</v>
      </c>
      <c r="B383" s="117" t="s">
        <v>1378</v>
      </c>
      <c r="C383" s="117" t="s">
        <v>1394</v>
      </c>
      <c r="D383" s="117" t="s">
        <v>1397</v>
      </c>
      <c r="E383" s="117" t="s">
        <v>1394</v>
      </c>
      <c r="F383" s="117" t="s">
        <v>1396</v>
      </c>
      <c r="G383" s="117" t="s">
        <v>205</v>
      </c>
      <c r="H383" s="117" t="s">
        <v>491</v>
      </c>
      <c r="I383" s="117">
        <v>2.0</v>
      </c>
      <c r="J383" s="117">
        <v>1.0</v>
      </c>
      <c r="K383" s="117" t="str">
        <f t="shared" si="1"/>
        <v>Si</v>
      </c>
      <c r="L383" s="118" t="s">
        <v>287</v>
      </c>
      <c r="M383" s="119">
        <v>0.25</v>
      </c>
      <c r="N383" s="120">
        <v>0.0</v>
      </c>
      <c r="O383" s="121">
        <v>91.32</v>
      </c>
      <c r="P383" s="117">
        <v>1.0</v>
      </c>
      <c r="Q383" s="117">
        <f t="shared" si="2"/>
        <v>0</v>
      </c>
      <c r="R383" s="122">
        <f>+(IF(((M383*24)-P383)&lt;0,0,((M383*24)-P383)*'Estimación de pérdidas'!$F$72))*N383</f>
        <v>0</v>
      </c>
      <c r="S383" s="123" t="s">
        <v>117</v>
      </c>
      <c r="T383" s="124" t="s">
        <v>106</v>
      </c>
      <c r="U383" s="124">
        <f t="shared" si="3"/>
        <v>1</v>
      </c>
      <c r="V383" s="124">
        <v>1.0</v>
      </c>
      <c r="W383" s="124"/>
      <c r="X383" s="125"/>
      <c r="Y383" s="126"/>
      <c r="Z383" s="125">
        <f t="shared" si="4"/>
        <v>1</v>
      </c>
      <c r="AA383" s="127" t="str">
        <f t="shared" si="5"/>
        <v>Bajo</v>
      </c>
      <c r="AB383" s="128">
        <f t="shared" si="6"/>
        <v>7</v>
      </c>
      <c r="AC383" s="129">
        <f t="shared" si="7"/>
        <v>0.1011928851</v>
      </c>
    </row>
    <row r="384" ht="14.25" hidden="1" customHeight="1">
      <c r="A384" s="116" t="s">
        <v>1345</v>
      </c>
      <c r="B384" s="117" t="s">
        <v>1378</v>
      </c>
      <c r="C384" s="117" t="s">
        <v>1398</v>
      </c>
      <c r="D384" s="117" t="s">
        <v>1399</v>
      </c>
      <c r="E384" s="117" t="s">
        <v>1400</v>
      </c>
      <c r="F384" s="117" t="s">
        <v>1401</v>
      </c>
      <c r="G384" s="117" t="s">
        <v>205</v>
      </c>
      <c r="H384" s="117" t="s">
        <v>491</v>
      </c>
      <c r="I384" s="117">
        <v>1.0</v>
      </c>
      <c r="J384" s="117">
        <v>1.0</v>
      </c>
      <c r="K384" s="117" t="str">
        <f t="shared" si="1"/>
        <v>No</v>
      </c>
      <c r="L384" s="118" t="s">
        <v>116</v>
      </c>
      <c r="M384" s="119">
        <v>0.33</v>
      </c>
      <c r="N384" s="120">
        <v>0.0</v>
      </c>
      <c r="O384" s="121"/>
      <c r="P384" s="117">
        <v>0.0</v>
      </c>
      <c r="Q384" s="117">
        <f t="shared" si="2"/>
        <v>0</v>
      </c>
      <c r="R384" s="122">
        <f>+(IF(((M384*24)-P384)&lt;0,0,((M384*24)-P384)*'Estimación de pérdidas'!$F$72))*N384</f>
        <v>0</v>
      </c>
      <c r="S384" s="123" t="s">
        <v>117</v>
      </c>
      <c r="T384" s="124" t="s">
        <v>119</v>
      </c>
      <c r="U384" s="124">
        <f t="shared" si="3"/>
        <v>1</v>
      </c>
      <c r="V384" s="124">
        <v>1.0</v>
      </c>
      <c r="W384" s="124"/>
      <c r="X384" s="125"/>
      <c r="Y384" s="126"/>
      <c r="Z384" s="125">
        <f t="shared" si="4"/>
        <v>1</v>
      </c>
      <c r="AA384" s="127" t="str">
        <f t="shared" si="5"/>
        <v>Bajo</v>
      </c>
      <c r="AB384" s="128">
        <f t="shared" si="6"/>
        <v>4</v>
      </c>
      <c r="AC384" s="129">
        <f t="shared" si="7"/>
        <v>0.07589466384</v>
      </c>
    </row>
    <row r="385" ht="14.25" hidden="1" customHeight="1">
      <c r="A385" s="116" t="s">
        <v>403</v>
      </c>
      <c r="B385" s="117" t="s">
        <v>1378</v>
      </c>
      <c r="C385" s="117" t="s">
        <v>404</v>
      </c>
      <c r="D385" s="117" t="s">
        <v>1402</v>
      </c>
      <c r="E385" s="117" t="s">
        <v>526</v>
      </c>
      <c r="F385" s="117" t="s">
        <v>407</v>
      </c>
      <c r="G385" s="117" t="s">
        <v>408</v>
      </c>
      <c r="H385" s="117" t="s">
        <v>409</v>
      </c>
      <c r="I385" s="117">
        <v>1.0</v>
      </c>
      <c r="J385" s="117">
        <v>1.0</v>
      </c>
      <c r="K385" s="117" t="str">
        <f t="shared" si="1"/>
        <v>No</v>
      </c>
      <c r="L385" s="118" t="s">
        <v>116</v>
      </c>
      <c r="M385" s="119">
        <v>0.3333333333333333</v>
      </c>
      <c r="N385" s="120">
        <v>0.0</v>
      </c>
      <c r="O385" s="121"/>
      <c r="P385" s="117">
        <v>0.0</v>
      </c>
      <c r="Q385" s="117">
        <f t="shared" si="2"/>
        <v>0</v>
      </c>
      <c r="R385" s="122">
        <f>+(IF(((M385*24)-P385)&lt;0,0,((M385*24)-P385)*'Estimación de pérdidas'!$F$72))*N385</f>
        <v>0</v>
      </c>
      <c r="S385" s="123" t="s">
        <v>272</v>
      </c>
      <c r="T385" s="124" t="s">
        <v>106</v>
      </c>
      <c r="U385" s="124">
        <f t="shared" si="3"/>
        <v>1</v>
      </c>
      <c r="V385" s="124">
        <v>1.0</v>
      </c>
      <c r="W385" s="124">
        <v>4.0</v>
      </c>
      <c r="X385" s="125"/>
      <c r="Y385" s="126"/>
      <c r="Z385" s="125">
        <f t="shared" si="4"/>
        <v>4</v>
      </c>
      <c r="AA385" s="127" t="str">
        <f t="shared" si="5"/>
        <v>Alto</v>
      </c>
      <c r="AB385" s="128">
        <f t="shared" si="6"/>
        <v>22</v>
      </c>
      <c r="AC385" s="129">
        <f t="shared" si="7"/>
        <v>0.3035786554</v>
      </c>
      <c r="AD385" s="130"/>
    </row>
    <row r="386" ht="14.25" hidden="1" customHeight="1">
      <c r="A386" s="116" t="s">
        <v>1345</v>
      </c>
      <c r="B386" s="117" t="s">
        <v>1378</v>
      </c>
      <c r="C386" s="117" t="s">
        <v>1403</v>
      </c>
      <c r="D386" s="117" t="s">
        <v>1404</v>
      </c>
      <c r="E386" s="117" t="s">
        <v>1405</v>
      </c>
      <c r="F386" s="117" t="s">
        <v>1406</v>
      </c>
      <c r="G386" s="117" t="s">
        <v>509</v>
      </c>
      <c r="H386" s="117" t="s">
        <v>510</v>
      </c>
      <c r="I386" s="117">
        <v>1.0</v>
      </c>
      <c r="J386" s="117">
        <v>1.0</v>
      </c>
      <c r="K386" s="117" t="str">
        <f t="shared" si="1"/>
        <v>No</v>
      </c>
      <c r="L386" s="118" t="s">
        <v>116</v>
      </c>
      <c r="M386" s="119">
        <v>1.75</v>
      </c>
      <c r="N386" s="120">
        <v>1.0</v>
      </c>
      <c r="O386" s="121">
        <v>91.32</v>
      </c>
      <c r="P386" s="117">
        <v>1.0</v>
      </c>
      <c r="Q386" s="117">
        <f t="shared" si="2"/>
        <v>41</v>
      </c>
      <c r="R386" s="122">
        <f>+(IF(((M386*24)-P386)&lt;0,0,((M386*24)-P386)*'Estimación de pérdidas'!$F$72))*N386</f>
        <v>2364801.071</v>
      </c>
      <c r="S386" s="123" t="s">
        <v>117</v>
      </c>
      <c r="T386" s="124" t="s">
        <v>118</v>
      </c>
      <c r="U386" s="124">
        <f t="shared" si="3"/>
        <v>5</v>
      </c>
      <c r="V386" s="124">
        <v>2.0</v>
      </c>
      <c r="W386" s="124"/>
      <c r="X386" s="125"/>
      <c r="Y386" s="126"/>
      <c r="Z386" s="125">
        <f t="shared" si="4"/>
        <v>5</v>
      </c>
      <c r="AA386" s="127" t="str">
        <f t="shared" si="5"/>
        <v>Alto</v>
      </c>
      <c r="AB386" s="128">
        <f t="shared" si="6"/>
        <v>19</v>
      </c>
      <c r="AC386" s="129">
        <f t="shared" si="7"/>
        <v>0.1926655133</v>
      </c>
      <c r="AD386" s="130"/>
    </row>
    <row r="387" ht="14.25" hidden="1" customHeight="1">
      <c r="A387" s="116" t="s">
        <v>1345</v>
      </c>
      <c r="B387" s="117" t="s">
        <v>1378</v>
      </c>
      <c r="C387" s="117" t="s">
        <v>1407</v>
      </c>
      <c r="D387" s="117" t="s">
        <v>1408</v>
      </c>
      <c r="E387" s="117" t="s">
        <v>1407</v>
      </c>
      <c r="F387" s="117" t="s">
        <v>1409</v>
      </c>
      <c r="G387" s="117" t="s">
        <v>509</v>
      </c>
      <c r="H387" s="117" t="s">
        <v>1410</v>
      </c>
      <c r="I387" s="117">
        <v>1.0</v>
      </c>
      <c r="J387" s="117">
        <v>1.0</v>
      </c>
      <c r="K387" s="117" t="str">
        <f t="shared" si="1"/>
        <v>No</v>
      </c>
      <c r="L387" s="118" t="s">
        <v>116</v>
      </c>
      <c r="M387" s="119">
        <v>1.75</v>
      </c>
      <c r="N387" s="120">
        <v>0.3</v>
      </c>
      <c r="O387" s="121">
        <v>91.32</v>
      </c>
      <c r="P387" s="117">
        <v>1.0</v>
      </c>
      <c r="Q387" s="117">
        <f t="shared" si="2"/>
        <v>12.3</v>
      </c>
      <c r="R387" s="122">
        <f>+(IF(((M387*24)-P387)&lt;0,0,((M387*24)-P387)*'Estimación de pérdidas'!$F$72))*N387</f>
        <v>709440.3214</v>
      </c>
      <c r="S387" s="123" t="s">
        <v>117</v>
      </c>
      <c r="T387" s="124" t="s">
        <v>118</v>
      </c>
      <c r="U387" s="124">
        <f t="shared" si="3"/>
        <v>4</v>
      </c>
      <c r="V387" s="124">
        <v>1.0</v>
      </c>
      <c r="W387" s="124"/>
      <c r="X387" s="125"/>
      <c r="Y387" s="126"/>
      <c r="Z387" s="125">
        <f t="shared" si="4"/>
        <v>4</v>
      </c>
      <c r="AA387" s="127" t="str">
        <f t="shared" si="5"/>
        <v>Moderado</v>
      </c>
      <c r="AB387" s="128">
        <f t="shared" si="6"/>
        <v>14</v>
      </c>
      <c r="AC387" s="129">
        <f t="shared" si="7"/>
        <v>0.1475127113</v>
      </c>
      <c r="AD387" s="130"/>
    </row>
    <row r="388" ht="14.25" hidden="1" customHeight="1">
      <c r="A388" s="116" t="s">
        <v>1345</v>
      </c>
      <c r="B388" s="117" t="s">
        <v>1378</v>
      </c>
      <c r="C388" s="117" t="s">
        <v>1411</v>
      </c>
      <c r="D388" s="117" t="s">
        <v>1412</v>
      </c>
      <c r="E388" s="117" t="s">
        <v>1411</v>
      </c>
      <c r="F388" s="117" t="s">
        <v>1413</v>
      </c>
      <c r="G388" s="117" t="s">
        <v>211</v>
      </c>
      <c r="H388" s="117" t="s">
        <v>831</v>
      </c>
      <c r="I388" s="117">
        <v>1.0</v>
      </c>
      <c r="J388" s="117">
        <v>1.0</v>
      </c>
      <c r="K388" s="117" t="str">
        <f t="shared" si="1"/>
        <v>No</v>
      </c>
      <c r="L388" s="118" t="s">
        <v>116</v>
      </c>
      <c r="M388" s="119">
        <v>1.0</v>
      </c>
      <c r="N388" s="120">
        <v>1.0</v>
      </c>
      <c r="O388" s="121">
        <v>91.32</v>
      </c>
      <c r="P388" s="117">
        <v>1.0</v>
      </c>
      <c r="Q388" s="117">
        <f t="shared" si="2"/>
        <v>23</v>
      </c>
      <c r="R388" s="122">
        <f>+(IF(((M388*24)-P388)&lt;0,0,((M388*24)-P388)*'Estimación de pérdidas'!$F$72))*N388</f>
        <v>1326595.723</v>
      </c>
      <c r="S388" s="123" t="s">
        <v>117</v>
      </c>
      <c r="T388" s="124" t="s">
        <v>132</v>
      </c>
      <c r="U388" s="124">
        <f t="shared" si="3"/>
        <v>5</v>
      </c>
      <c r="V388" s="124">
        <v>1.0</v>
      </c>
      <c r="W388" s="124"/>
      <c r="X388" s="125"/>
      <c r="Y388" s="126"/>
      <c r="Z388" s="125">
        <f t="shared" si="4"/>
        <v>5</v>
      </c>
      <c r="AA388" s="127" t="str">
        <f t="shared" si="5"/>
        <v>Moderado</v>
      </c>
      <c r="AB388" s="128">
        <f t="shared" si="6"/>
        <v>15</v>
      </c>
      <c r="AC388" s="129">
        <f t="shared" si="7"/>
        <v>0.09121403401</v>
      </c>
      <c r="AD388" s="131"/>
    </row>
    <row r="389" ht="14.25" hidden="1" customHeight="1">
      <c r="A389" s="116" t="s">
        <v>1345</v>
      </c>
      <c r="B389" s="117" t="s">
        <v>1414</v>
      </c>
      <c r="C389" s="117" t="s">
        <v>1415</v>
      </c>
      <c r="D389" s="117" t="s">
        <v>1416</v>
      </c>
      <c r="E389" s="117" t="s">
        <v>1417</v>
      </c>
      <c r="F389" s="117" t="s">
        <v>1418</v>
      </c>
      <c r="G389" s="117" t="s">
        <v>114</v>
      </c>
      <c r="H389" s="117" t="s">
        <v>1419</v>
      </c>
      <c r="I389" s="117">
        <v>1.0</v>
      </c>
      <c r="J389" s="117">
        <v>1.0</v>
      </c>
      <c r="K389" s="117" t="str">
        <f t="shared" si="1"/>
        <v>No</v>
      </c>
      <c r="L389" s="118" t="s">
        <v>116</v>
      </c>
      <c r="M389" s="119">
        <v>1.0</v>
      </c>
      <c r="N389" s="120">
        <v>0.33</v>
      </c>
      <c r="O389" s="121">
        <v>91.32</v>
      </c>
      <c r="P389" s="117">
        <v>1.0</v>
      </c>
      <c r="Q389" s="117">
        <f t="shared" si="2"/>
        <v>7.59</v>
      </c>
      <c r="R389" s="122">
        <f>+(IF(((M389*24)-P389)&lt;0,0,((M389*24)-P389)*'Estimación de pérdidas'!$F$72))*N389</f>
        <v>437776.5886</v>
      </c>
      <c r="S389" s="123" t="s">
        <v>117</v>
      </c>
      <c r="T389" s="124" t="s">
        <v>118</v>
      </c>
      <c r="U389" s="124">
        <f t="shared" si="3"/>
        <v>3</v>
      </c>
      <c r="V389" s="124">
        <v>2.0</v>
      </c>
      <c r="W389" s="124"/>
      <c r="X389" s="125"/>
      <c r="Y389" s="126"/>
      <c r="Z389" s="125">
        <f t="shared" si="4"/>
        <v>3</v>
      </c>
      <c r="AA389" s="127" t="str">
        <f t="shared" si="5"/>
        <v>Moderado</v>
      </c>
      <c r="AB389" s="128">
        <f t="shared" si="6"/>
        <v>9</v>
      </c>
      <c r="AC389" s="129">
        <f t="shared" si="7"/>
        <v>0.128996124</v>
      </c>
      <c r="AD389" s="131"/>
    </row>
    <row r="390" ht="14.25" hidden="1" customHeight="1">
      <c r="A390" s="116" t="s">
        <v>1345</v>
      </c>
      <c r="B390" s="117" t="s">
        <v>1414</v>
      </c>
      <c r="C390" s="117" t="s">
        <v>1415</v>
      </c>
      <c r="D390" s="117" t="s">
        <v>1420</v>
      </c>
      <c r="E390" s="117" t="s">
        <v>1417</v>
      </c>
      <c r="F390" s="117" t="s">
        <v>1418</v>
      </c>
      <c r="G390" s="117" t="s">
        <v>114</v>
      </c>
      <c r="H390" s="117" t="s">
        <v>1419</v>
      </c>
      <c r="I390" s="117">
        <v>1.0</v>
      </c>
      <c r="J390" s="117">
        <v>1.0</v>
      </c>
      <c r="K390" s="117" t="str">
        <f t="shared" si="1"/>
        <v>No</v>
      </c>
      <c r="L390" s="118" t="s">
        <v>116</v>
      </c>
      <c r="M390" s="119">
        <v>1.0</v>
      </c>
      <c r="N390" s="120">
        <v>0.33</v>
      </c>
      <c r="O390" s="121">
        <v>91.32</v>
      </c>
      <c r="P390" s="117">
        <v>1.0</v>
      </c>
      <c r="Q390" s="117">
        <f t="shared" si="2"/>
        <v>7.59</v>
      </c>
      <c r="R390" s="122">
        <f>+(IF(((M390*24)-P390)&lt;0,0,((M390*24)-P390)*'Estimación de pérdidas'!$F$72))*N390</f>
        <v>437776.5886</v>
      </c>
      <c r="S390" s="123" t="s">
        <v>117</v>
      </c>
      <c r="T390" s="124" t="s">
        <v>118</v>
      </c>
      <c r="U390" s="124">
        <f t="shared" si="3"/>
        <v>3</v>
      </c>
      <c r="V390" s="124">
        <v>2.0</v>
      </c>
      <c r="W390" s="124"/>
      <c r="X390" s="125"/>
      <c r="Y390" s="126"/>
      <c r="Z390" s="125">
        <f t="shared" si="4"/>
        <v>3</v>
      </c>
      <c r="AA390" s="127" t="str">
        <f t="shared" si="5"/>
        <v>Moderado</v>
      </c>
      <c r="AB390" s="128">
        <f t="shared" si="6"/>
        <v>9</v>
      </c>
      <c r="AC390" s="129">
        <f t="shared" si="7"/>
        <v>0.128996124</v>
      </c>
      <c r="AD390" s="131"/>
    </row>
    <row r="391" ht="14.25" hidden="1" customHeight="1">
      <c r="A391" s="116" t="s">
        <v>1345</v>
      </c>
      <c r="B391" s="117" t="s">
        <v>1414</v>
      </c>
      <c r="C391" s="117" t="s">
        <v>1415</v>
      </c>
      <c r="D391" s="117" t="s">
        <v>1421</v>
      </c>
      <c r="E391" s="117" t="s">
        <v>1417</v>
      </c>
      <c r="F391" s="117" t="s">
        <v>1418</v>
      </c>
      <c r="G391" s="117" t="s">
        <v>114</v>
      </c>
      <c r="H391" s="117" t="s">
        <v>1419</v>
      </c>
      <c r="I391" s="117">
        <v>1.0</v>
      </c>
      <c r="J391" s="117">
        <v>1.0</v>
      </c>
      <c r="K391" s="117" t="str">
        <f t="shared" si="1"/>
        <v>No</v>
      </c>
      <c r="L391" s="118" t="s">
        <v>116</v>
      </c>
      <c r="M391" s="119">
        <v>1.0</v>
      </c>
      <c r="N391" s="120">
        <v>0.33</v>
      </c>
      <c r="O391" s="121">
        <v>91.32</v>
      </c>
      <c r="P391" s="117">
        <v>1.0</v>
      </c>
      <c r="Q391" s="117">
        <f t="shared" si="2"/>
        <v>7.59</v>
      </c>
      <c r="R391" s="122">
        <f>+(IF(((M391*24)-P391)&lt;0,0,((M391*24)-P391)*'Estimación de pérdidas'!$F$72))*N391</f>
        <v>437776.5886</v>
      </c>
      <c r="S391" s="123" t="s">
        <v>117</v>
      </c>
      <c r="T391" s="124" t="s">
        <v>118</v>
      </c>
      <c r="U391" s="124">
        <f t="shared" si="3"/>
        <v>3</v>
      </c>
      <c r="V391" s="124">
        <v>2.0</v>
      </c>
      <c r="W391" s="124"/>
      <c r="X391" s="125"/>
      <c r="Y391" s="126"/>
      <c r="Z391" s="125">
        <f t="shared" si="4"/>
        <v>3</v>
      </c>
      <c r="AA391" s="127" t="str">
        <f t="shared" si="5"/>
        <v>Moderado</v>
      </c>
      <c r="AB391" s="128">
        <f t="shared" si="6"/>
        <v>9</v>
      </c>
      <c r="AC391" s="129">
        <f t="shared" si="7"/>
        <v>0.128996124</v>
      </c>
      <c r="AD391" s="131"/>
    </row>
    <row r="392" ht="14.25" hidden="1" customHeight="1">
      <c r="A392" s="116" t="s">
        <v>1345</v>
      </c>
      <c r="B392" s="117" t="s">
        <v>1414</v>
      </c>
      <c r="C392" s="117" t="s">
        <v>1415</v>
      </c>
      <c r="D392" s="117" t="s">
        <v>1422</v>
      </c>
      <c r="E392" s="117" t="s">
        <v>1417</v>
      </c>
      <c r="F392" s="117" t="s">
        <v>1423</v>
      </c>
      <c r="G392" s="117" t="s">
        <v>114</v>
      </c>
      <c r="H392" s="117" t="s">
        <v>1419</v>
      </c>
      <c r="I392" s="117">
        <v>1.0</v>
      </c>
      <c r="J392" s="117">
        <v>1.0</v>
      </c>
      <c r="K392" s="117" t="str">
        <f t="shared" si="1"/>
        <v>No</v>
      </c>
      <c r="L392" s="118" t="s">
        <v>116</v>
      </c>
      <c r="M392" s="119">
        <v>0.5</v>
      </c>
      <c r="N392" s="120">
        <v>0.25</v>
      </c>
      <c r="O392" s="121">
        <v>91.32</v>
      </c>
      <c r="P392" s="117">
        <v>1.0</v>
      </c>
      <c r="Q392" s="117">
        <f t="shared" si="2"/>
        <v>2.75</v>
      </c>
      <c r="R392" s="122">
        <f>+(IF(((M392*24)-P392)&lt;0,0,((M392*24)-P392)*'Estimación de pérdidas'!$F$72))*N392</f>
        <v>158614.706</v>
      </c>
      <c r="S392" s="123" t="s">
        <v>117</v>
      </c>
      <c r="T392" s="124" t="s">
        <v>118</v>
      </c>
      <c r="U392" s="124">
        <f t="shared" si="3"/>
        <v>2</v>
      </c>
      <c r="V392" s="124">
        <v>1.0</v>
      </c>
      <c r="W392" s="124"/>
      <c r="X392" s="125"/>
      <c r="Y392" s="126"/>
      <c r="Z392" s="125">
        <f t="shared" si="4"/>
        <v>2</v>
      </c>
      <c r="AA392" s="127" t="str">
        <f t="shared" si="5"/>
        <v>Bajo</v>
      </c>
      <c r="AB392" s="128">
        <f t="shared" si="6"/>
        <v>5</v>
      </c>
      <c r="AC392" s="129">
        <f t="shared" si="7"/>
        <v>0.08</v>
      </c>
    </row>
    <row r="393" ht="14.25" hidden="1" customHeight="1">
      <c r="A393" s="116" t="s">
        <v>1345</v>
      </c>
      <c r="B393" s="117" t="s">
        <v>1414</v>
      </c>
      <c r="C393" s="117" t="s">
        <v>1424</v>
      </c>
      <c r="D393" s="117" t="s">
        <v>1425</v>
      </c>
      <c r="E393" s="117" t="s">
        <v>1424</v>
      </c>
      <c r="F393" s="117" t="s">
        <v>1426</v>
      </c>
      <c r="G393" s="117" t="s">
        <v>551</v>
      </c>
      <c r="H393" s="117" t="s">
        <v>552</v>
      </c>
      <c r="I393" s="117">
        <v>1.0</v>
      </c>
      <c r="J393" s="117">
        <v>1.0</v>
      </c>
      <c r="K393" s="117" t="str">
        <f t="shared" si="1"/>
        <v>No</v>
      </c>
      <c r="L393" s="118" t="s">
        <v>116</v>
      </c>
      <c r="M393" s="119">
        <v>0.3333333333333333</v>
      </c>
      <c r="N393" s="120">
        <v>1.0</v>
      </c>
      <c r="O393" s="121">
        <v>91.32</v>
      </c>
      <c r="P393" s="117">
        <v>1.0</v>
      </c>
      <c r="Q393" s="117">
        <f t="shared" si="2"/>
        <v>7</v>
      </c>
      <c r="R393" s="122">
        <f>+(IF(((M393*24)-P393)&lt;0,0,((M393*24)-P393)*'Estimación de pérdidas'!$F$72))*N393</f>
        <v>403746.5244</v>
      </c>
      <c r="S393" s="123" t="s">
        <v>117</v>
      </c>
      <c r="T393" s="124" t="s">
        <v>119</v>
      </c>
      <c r="U393" s="124">
        <f t="shared" si="3"/>
        <v>3</v>
      </c>
      <c r="V393" s="124">
        <v>1.0</v>
      </c>
      <c r="W393" s="124"/>
      <c r="X393" s="125"/>
      <c r="Y393" s="126"/>
      <c r="Z393" s="125">
        <f t="shared" si="4"/>
        <v>3</v>
      </c>
      <c r="AA393" s="127" t="str">
        <f t="shared" si="5"/>
        <v>Moderado</v>
      </c>
      <c r="AB393" s="128">
        <f t="shared" si="6"/>
        <v>13</v>
      </c>
      <c r="AC393" s="129">
        <f t="shared" si="7"/>
        <v>0.1697056275</v>
      </c>
      <c r="AD393" s="131"/>
    </row>
    <row r="394" ht="14.25" hidden="1" customHeight="1">
      <c r="A394" s="116" t="s">
        <v>1345</v>
      </c>
      <c r="B394" s="117" t="s">
        <v>1414</v>
      </c>
      <c r="C394" s="117" t="s">
        <v>1427</v>
      </c>
      <c r="D394" s="117" t="s">
        <v>1428</v>
      </c>
      <c r="E394" s="117" t="s">
        <v>1429</v>
      </c>
      <c r="F394" s="117" t="s">
        <v>1430</v>
      </c>
      <c r="G394" s="117" t="s">
        <v>313</v>
      </c>
      <c r="H394" s="117" t="s">
        <v>1431</v>
      </c>
      <c r="I394" s="117">
        <v>1.0</v>
      </c>
      <c r="J394" s="117">
        <v>1.0</v>
      </c>
      <c r="K394" s="117" t="str">
        <f t="shared" si="1"/>
        <v>No</v>
      </c>
      <c r="L394" s="118" t="s">
        <v>116</v>
      </c>
      <c r="M394" s="119">
        <v>0.3333333333333333</v>
      </c>
      <c r="N394" s="120">
        <v>1.0</v>
      </c>
      <c r="O394" s="121">
        <v>91.32</v>
      </c>
      <c r="P394" s="117">
        <v>1.0</v>
      </c>
      <c r="Q394" s="117">
        <f t="shared" si="2"/>
        <v>7</v>
      </c>
      <c r="R394" s="122">
        <f>+(IF(((M394*24)-P394)&lt;0,0,((M394*24)-P394)*'Estimación de pérdidas'!$F$72))*N394</f>
        <v>403746.5244</v>
      </c>
      <c r="S394" s="123" t="s">
        <v>117</v>
      </c>
      <c r="T394" s="124" t="s">
        <v>118</v>
      </c>
      <c r="U394" s="124">
        <f t="shared" si="3"/>
        <v>3</v>
      </c>
      <c r="V394" s="124">
        <v>1.0</v>
      </c>
      <c r="W394" s="124"/>
      <c r="X394" s="125"/>
      <c r="Y394" s="126"/>
      <c r="Z394" s="125">
        <f t="shared" si="4"/>
        <v>3</v>
      </c>
      <c r="AA394" s="127" t="str">
        <f t="shared" si="5"/>
        <v>Moderado</v>
      </c>
      <c r="AB394" s="128">
        <f t="shared" si="6"/>
        <v>9</v>
      </c>
      <c r="AC394" s="129">
        <f t="shared" si="7"/>
        <v>0.113137085</v>
      </c>
      <c r="AD394" s="131"/>
    </row>
    <row r="395" ht="14.25" hidden="1" customHeight="1">
      <c r="A395" s="116" t="s">
        <v>1345</v>
      </c>
      <c r="B395" s="117" t="s">
        <v>1414</v>
      </c>
      <c r="C395" s="117" t="s">
        <v>1432</v>
      </c>
      <c r="D395" s="117" t="s">
        <v>1433</v>
      </c>
      <c r="E395" s="117" t="s">
        <v>1432</v>
      </c>
      <c r="F395" s="117" t="s">
        <v>1434</v>
      </c>
      <c r="G395" s="117" t="s">
        <v>188</v>
      </c>
      <c r="H395" s="117" t="s">
        <v>606</v>
      </c>
      <c r="I395" s="117">
        <v>1.0</v>
      </c>
      <c r="J395" s="117">
        <v>1.0</v>
      </c>
      <c r="K395" s="117" t="str">
        <f t="shared" si="1"/>
        <v>No</v>
      </c>
      <c r="L395" s="118" t="s">
        <v>116</v>
      </c>
      <c r="M395" s="119">
        <v>0.5</v>
      </c>
      <c r="N395" s="120">
        <v>0.0</v>
      </c>
      <c r="O395" s="121"/>
      <c r="P395" s="117">
        <v>0.0</v>
      </c>
      <c r="Q395" s="117">
        <f t="shared" si="2"/>
        <v>0</v>
      </c>
      <c r="R395" s="122">
        <f>+(IF(((M395*24)-P395)&lt;0,0,((M395*24)-P395)*'Estimación de pérdidas'!$F$72))*N395</f>
        <v>0</v>
      </c>
      <c r="S395" s="123" t="s">
        <v>117</v>
      </c>
      <c r="T395" s="124" t="s">
        <v>118</v>
      </c>
      <c r="U395" s="124">
        <f t="shared" si="3"/>
        <v>1</v>
      </c>
      <c r="V395" s="124">
        <v>2.0</v>
      </c>
      <c r="W395" s="124">
        <v>4.0</v>
      </c>
      <c r="X395" s="125"/>
      <c r="Y395" s="126"/>
      <c r="Z395" s="125">
        <f t="shared" si="4"/>
        <v>4</v>
      </c>
      <c r="AA395" s="127" t="str">
        <f t="shared" si="5"/>
        <v>Moderado</v>
      </c>
      <c r="AB395" s="128">
        <f t="shared" si="6"/>
        <v>14</v>
      </c>
      <c r="AC395" s="129">
        <f t="shared" si="7"/>
        <v>0.1639512123</v>
      </c>
      <c r="AD395" s="130"/>
    </row>
    <row r="396" ht="14.25" hidden="1" customHeight="1">
      <c r="A396" s="116" t="s">
        <v>1345</v>
      </c>
      <c r="B396" s="117" t="s">
        <v>1414</v>
      </c>
      <c r="C396" s="117" t="s">
        <v>1435</v>
      </c>
      <c r="D396" s="117" t="s">
        <v>1436</v>
      </c>
      <c r="E396" s="117" t="s">
        <v>1435</v>
      </c>
      <c r="F396" s="117" t="s">
        <v>1437</v>
      </c>
      <c r="G396" s="117" t="s">
        <v>197</v>
      </c>
      <c r="H396" s="117" t="s">
        <v>1438</v>
      </c>
      <c r="I396" s="117">
        <v>3.0</v>
      </c>
      <c r="J396" s="117">
        <v>2.0</v>
      </c>
      <c r="K396" s="117" t="str">
        <f t="shared" si="1"/>
        <v>Si</v>
      </c>
      <c r="L396" s="118" t="s">
        <v>287</v>
      </c>
      <c r="M396" s="119">
        <v>1.0</v>
      </c>
      <c r="N396" s="120">
        <v>0.33</v>
      </c>
      <c r="O396" s="121">
        <v>91.32</v>
      </c>
      <c r="P396" s="117">
        <v>1.0</v>
      </c>
      <c r="Q396" s="117">
        <f t="shared" si="2"/>
        <v>7.59</v>
      </c>
      <c r="R396" s="122">
        <f>+(IF(((M396*24)-P396)&lt;0,0,((M396*24)-P396)*'Estimación de pérdidas'!$F$72))*N396</f>
        <v>437776.5886</v>
      </c>
      <c r="S396" s="123" t="s">
        <v>117</v>
      </c>
      <c r="T396" s="124" t="s">
        <v>118</v>
      </c>
      <c r="U396" s="124">
        <f t="shared" si="3"/>
        <v>3</v>
      </c>
      <c r="V396" s="124">
        <v>2.0</v>
      </c>
      <c r="W396" s="124"/>
      <c r="X396" s="125"/>
      <c r="Y396" s="126"/>
      <c r="Z396" s="125">
        <f t="shared" si="4"/>
        <v>3</v>
      </c>
      <c r="AA396" s="127" t="str">
        <f t="shared" si="5"/>
        <v>Moderado</v>
      </c>
      <c r="AB396" s="128">
        <f t="shared" si="6"/>
        <v>9</v>
      </c>
      <c r="AC396" s="129">
        <f t="shared" si="7"/>
        <v>0.128996124</v>
      </c>
      <c r="AD396" s="131"/>
    </row>
    <row r="397" ht="14.25" hidden="1" customHeight="1">
      <c r="A397" s="116" t="s">
        <v>1345</v>
      </c>
      <c r="B397" s="117" t="s">
        <v>1414</v>
      </c>
      <c r="C397" s="117" t="s">
        <v>1435</v>
      </c>
      <c r="D397" s="117" t="s">
        <v>1439</v>
      </c>
      <c r="E397" s="117" t="s">
        <v>1435</v>
      </c>
      <c r="F397" s="117" t="s">
        <v>1437</v>
      </c>
      <c r="G397" s="117" t="s">
        <v>197</v>
      </c>
      <c r="H397" s="117" t="s">
        <v>1438</v>
      </c>
      <c r="I397" s="117">
        <v>3.0</v>
      </c>
      <c r="J397" s="117">
        <v>2.0</v>
      </c>
      <c r="K397" s="117" t="str">
        <f t="shared" si="1"/>
        <v>Si</v>
      </c>
      <c r="L397" s="118" t="s">
        <v>287</v>
      </c>
      <c r="M397" s="119">
        <v>1.0</v>
      </c>
      <c r="N397" s="120">
        <v>0.33</v>
      </c>
      <c r="O397" s="121">
        <v>91.32</v>
      </c>
      <c r="P397" s="117">
        <v>1.0</v>
      </c>
      <c r="Q397" s="117">
        <f t="shared" si="2"/>
        <v>7.59</v>
      </c>
      <c r="R397" s="122">
        <f>+(IF(((M397*24)-P397)&lt;0,0,((M397*24)-P397)*'Estimación de pérdidas'!$F$72))*N397</f>
        <v>437776.5886</v>
      </c>
      <c r="S397" s="123" t="s">
        <v>117</v>
      </c>
      <c r="T397" s="124" t="s">
        <v>118</v>
      </c>
      <c r="U397" s="124">
        <f t="shared" si="3"/>
        <v>3</v>
      </c>
      <c r="V397" s="124">
        <v>2.0</v>
      </c>
      <c r="W397" s="124"/>
      <c r="X397" s="125"/>
      <c r="Y397" s="126"/>
      <c r="Z397" s="125">
        <f t="shared" si="4"/>
        <v>3</v>
      </c>
      <c r="AA397" s="127" t="str">
        <f t="shared" si="5"/>
        <v>Moderado</v>
      </c>
      <c r="AB397" s="128">
        <f t="shared" si="6"/>
        <v>9</v>
      </c>
      <c r="AC397" s="129">
        <f t="shared" si="7"/>
        <v>0.128996124</v>
      </c>
      <c r="AD397" s="131"/>
    </row>
    <row r="398" ht="14.25" hidden="1" customHeight="1">
      <c r="A398" s="116" t="s">
        <v>1345</v>
      </c>
      <c r="B398" s="117" t="s">
        <v>1414</v>
      </c>
      <c r="C398" s="117" t="s">
        <v>1435</v>
      </c>
      <c r="D398" s="117" t="s">
        <v>1440</v>
      </c>
      <c r="E398" s="117" t="s">
        <v>1435</v>
      </c>
      <c r="F398" s="117" t="s">
        <v>1437</v>
      </c>
      <c r="G398" s="117" t="s">
        <v>197</v>
      </c>
      <c r="H398" s="117" t="s">
        <v>1438</v>
      </c>
      <c r="I398" s="117">
        <v>3.0</v>
      </c>
      <c r="J398" s="117">
        <v>2.0</v>
      </c>
      <c r="K398" s="117" t="str">
        <f t="shared" si="1"/>
        <v>Si</v>
      </c>
      <c r="L398" s="118" t="s">
        <v>287</v>
      </c>
      <c r="M398" s="119">
        <v>1.0</v>
      </c>
      <c r="N398" s="120">
        <v>0.33</v>
      </c>
      <c r="O398" s="121">
        <v>91.32</v>
      </c>
      <c r="P398" s="117">
        <v>1.0</v>
      </c>
      <c r="Q398" s="117">
        <f t="shared" si="2"/>
        <v>7.59</v>
      </c>
      <c r="R398" s="122">
        <f>+(IF(((M398*24)-P398)&lt;0,0,((M398*24)-P398)*'Estimación de pérdidas'!$F$72))*N398</f>
        <v>437776.5886</v>
      </c>
      <c r="S398" s="123" t="s">
        <v>117</v>
      </c>
      <c r="T398" s="124" t="s">
        <v>118</v>
      </c>
      <c r="U398" s="124">
        <f t="shared" si="3"/>
        <v>3</v>
      </c>
      <c r="V398" s="124">
        <v>2.0</v>
      </c>
      <c r="W398" s="124"/>
      <c r="X398" s="125"/>
      <c r="Y398" s="126"/>
      <c r="Z398" s="125">
        <f t="shared" si="4"/>
        <v>3</v>
      </c>
      <c r="AA398" s="127" t="str">
        <f t="shared" si="5"/>
        <v>Moderado</v>
      </c>
      <c r="AB398" s="128">
        <f t="shared" si="6"/>
        <v>9</v>
      </c>
      <c r="AC398" s="129">
        <f t="shared" si="7"/>
        <v>0.128996124</v>
      </c>
      <c r="AD398" s="131"/>
    </row>
    <row r="399" ht="14.25" hidden="1" customHeight="1">
      <c r="A399" s="116" t="s">
        <v>1345</v>
      </c>
      <c r="B399" s="117" t="s">
        <v>1414</v>
      </c>
      <c r="C399" s="117" t="s">
        <v>1441</v>
      </c>
      <c r="D399" s="117" t="s">
        <v>1442</v>
      </c>
      <c r="E399" s="117" t="s">
        <v>1441</v>
      </c>
      <c r="F399" s="117" t="s">
        <v>1443</v>
      </c>
      <c r="G399" s="117" t="s">
        <v>197</v>
      </c>
      <c r="H399" s="117" t="s">
        <v>1438</v>
      </c>
      <c r="I399" s="117">
        <v>1.0</v>
      </c>
      <c r="J399" s="117">
        <v>1.0</v>
      </c>
      <c r="K399" s="117" t="str">
        <f t="shared" si="1"/>
        <v>No</v>
      </c>
      <c r="L399" s="118" t="s">
        <v>116</v>
      </c>
      <c r="M399" s="119">
        <v>1.0</v>
      </c>
      <c r="N399" s="120">
        <v>0.25</v>
      </c>
      <c r="O399" s="121">
        <v>91.32</v>
      </c>
      <c r="P399" s="117">
        <v>1.0</v>
      </c>
      <c r="Q399" s="117">
        <f t="shared" si="2"/>
        <v>5.75</v>
      </c>
      <c r="R399" s="122">
        <f>+(IF(((M399*24)-P399)&lt;0,0,((M399*24)-P399)*'Estimación de pérdidas'!$F$72))*N399</f>
        <v>331648.9308</v>
      </c>
      <c r="S399" s="123" t="s">
        <v>117</v>
      </c>
      <c r="T399" s="124" t="s">
        <v>118</v>
      </c>
      <c r="U399" s="124">
        <f t="shared" si="3"/>
        <v>3</v>
      </c>
      <c r="V399" s="124">
        <v>2.0</v>
      </c>
      <c r="W399" s="124"/>
      <c r="X399" s="125"/>
      <c r="Y399" s="126"/>
      <c r="Z399" s="125">
        <f t="shared" si="4"/>
        <v>3</v>
      </c>
      <c r="AA399" s="127" t="str">
        <f t="shared" si="5"/>
        <v>Moderado</v>
      </c>
      <c r="AB399" s="128">
        <f t="shared" si="6"/>
        <v>9</v>
      </c>
      <c r="AC399" s="129">
        <f t="shared" si="7"/>
        <v>0.128996124</v>
      </c>
      <c r="AD399" s="131"/>
    </row>
    <row r="400" ht="14.25" customHeight="1">
      <c r="A400" s="116" t="s">
        <v>1345</v>
      </c>
      <c r="B400" s="117" t="s">
        <v>1414</v>
      </c>
      <c r="C400" s="117" t="s">
        <v>1444</v>
      </c>
      <c r="D400" s="117" t="s">
        <v>1445</v>
      </c>
      <c r="E400" s="117" t="s">
        <v>1446</v>
      </c>
      <c r="F400" s="117" t="s">
        <v>1447</v>
      </c>
      <c r="G400" s="117" t="s">
        <v>666</v>
      </c>
      <c r="H400" s="117" t="s">
        <v>667</v>
      </c>
      <c r="I400" s="117">
        <v>3.0</v>
      </c>
      <c r="J400" s="117">
        <v>2.0</v>
      </c>
      <c r="K400" s="117" t="str">
        <f t="shared" si="1"/>
        <v>Si</v>
      </c>
      <c r="L400" s="118" t="s">
        <v>287</v>
      </c>
      <c r="M400" s="119">
        <v>0.75</v>
      </c>
      <c r="N400" s="120">
        <v>0.0</v>
      </c>
      <c r="O400" s="121">
        <v>91.32</v>
      </c>
      <c r="P400" s="117">
        <v>1.0</v>
      </c>
      <c r="Q400" s="117">
        <f t="shared" si="2"/>
        <v>0</v>
      </c>
      <c r="R400" s="122">
        <f>+(IF(((M400*24)-P400)&lt;0,0,((M400*24)-P400)*'Estimación de pérdidas'!$F$72))*N400</f>
        <v>0</v>
      </c>
      <c r="S400" s="123" t="s">
        <v>117</v>
      </c>
      <c r="T400" s="124" t="s">
        <v>119</v>
      </c>
      <c r="U400" s="124">
        <f t="shared" si="3"/>
        <v>1</v>
      </c>
      <c r="V400" s="124">
        <v>2.0</v>
      </c>
      <c r="W400" s="124"/>
      <c r="X400" s="125"/>
      <c r="Y400" s="126"/>
      <c r="Z400" s="125">
        <f t="shared" si="4"/>
        <v>2</v>
      </c>
      <c r="AA400" s="127" t="str">
        <f t="shared" si="5"/>
        <v>Moderado</v>
      </c>
      <c r="AB400" s="128">
        <f t="shared" si="6"/>
        <v>8</v>
      </c>
      <c r="AC400" s="129">
        <f t="shared" si="7"/>
        <v>0.12</v>
      </c>
      <c r="AD400" s="131"/>
    </row>
    <row r="401" ht="14.25" customHeight="1">
      <c r="A401" s="116" t="s">
        <v>1345</v>
      </c>
      <c r="B401" s="117" t="s">
        <v>1414</v>
      </c>
      <c r="C401" s="117" t="s">
        <v>1444</v>
      </c>
      <c r="D401" s="117" t="s">
        <v>1448</v>
      </c>
      <c r="E401" s="117" t="s">
        <v>1449</v>
      </c>
      <c r="F401" s="117" t="s">
        <v>1447</v>
      </c>
      <c r="G401" s="117" t="s">
        <v>666</v>
      </c>
      <c r="H401" s="117" t="s">
        <v>667</v>
      </c>
      <c r="I401" s="117">
        <v>3.0</v>
      </c>
      <c r="J401" s="117">
        <v>2.0</v>
      </c>
      <c r="K401" s="117" t="str">
        <f t="shared" si="1"/>
        <v>Si</v>
      </c>
      <c r="L401" s="118" t="s">
        <v>287</v>
      </c>
      <c r="M401" s="119">
        <v>0.4166666666666667</v>
      </c>
      <c r="N401" s="120">
        <v>0.0</v>
      </c>
      <c r="O401" s="121">
        <v>91.32</v>
      </c>
      <c r="P401" s="117">
        <v>1.0</v>
      </c>
      <c r="Q401" s="117">
        <f t="shared" si="2"/>
        <v>0</v>
      </c>
      <c r="R401" s="122">
        <f>+(IF(((M401*24)-P401)&lt;0,0,((M401*24)-P401)*'Estimación de pérdidas'!$F$72))*N401</f>
        <v>0</v>
      </c>
      <c r="S401" s="123" t="s">
        <v>117</v>
      </c>
      <c r="T401" s="124" t="s">
        <v>119</v>
      </c>
      <c r="U401" s="124">
        <f t="shared" si="3"/>
        <v>1</v>
      </c>
      <c r="V401" s="124">
        <v>2.0</v>
      </c>
      <c r="W401" s="124"/>
      <c r="X401" s="125"/>
      <c r="Y401" s="126"/>
      <c r="Z401" s="125">
        <f t="shared" si="4"/>
        <v>2</v>
      </c>
      <c r="AA401" s="127" t="str">
        <f t="shared" si="5"/>
        <v>Moderado</v>
      </c>
      <c r="AB401" s="128">
        <f t="shared" si="6"/>
        <v>8</v>
      </c>
      <c r="AC401" s="129">
        <f t="shared" si="7"/>
        <v>0.12</v>
      </c>
      <c r="AD401" s="131"/>
    </row>
    <row r="402" ht="14.25" customHeight="1">
      <c r="A402" s="116" t="s">
        <v>1345</v>
      </c>
      <c r="B402" s="117" t="s">
        <v>1414</v>
      </c>
      <c r="C402" s="117" t="s">
        <v>1444</v>
      </c>
      <c r="D402" s="117" t="s">
        <v>1450</v>
      </c>
      <c r="E402" s="117" t="s">
        <v>1451</v>
      </c>
      <c r="F402" s="117" t="s">
        <v>1447</v>
      </c>
      <c r="G402" s="117" t="s">
        <v>666</v>
      </c>
      <c r="H402" s="117" t="s">
        <v>667</v>
      </c>
      <c r="I402" s="117">
        <v>3.0</v>
      </c>
      <c r="J402" s="117">
        <v>2.0</v>
      </c>
      <c r="K402" s="117" t="str">
        <f t="shared" si="1"/>
        <v>Si</v>
      </c>
      <c r="L402" s="118" t="s">
        <v>287</v>
      </c>
      <c r="M402" s="119">
        <v>0.4166666666666667</v>
      </c>
      <c r="N402" s="120">
        <v>0.0</v>
      </c>
      <c r="O402" s="121">
        <v>91.32</v>
      </c>
      <c r="P402" s="117">
        <v>1.0</v>
      </c>
      <c r="Q402" s="117">
        <f t="shared" si="2"/>
        <v>0</v>
      </c>
      <c r="R402" s="122">
        <f>+(IF(((M402*24)-P402)&lt;0,0,((M402*24)-P402)*'Estimación de pérdidas'!$F$72))*N402</f>
        <v>0</v>
      </c>
      <c r="S402" s="123" t="s">
        <v>117</v>
      </c>
      <c r="T402" s="124" t="s">
        <v>119</v>
      </c>
      <c r="U402" s="124">
        <f t="shared" si="3"/>
        <v>1</v>
      </c>
      <c r="V402" s="124">
        <v>2.0</v>
      </c>
      <c r="W402" s="124"/>
      <c r="X402" s="125"/>
      <c r="Y402" s="126"/>
      <c r="Z402" s="125">
        <f t="shared" si="4"/>
        <v>2</v>
      </c>
      <c r="AA402" s="127" t="str">
        <f t="shared" si="5"/>
        <v>Moderado</v>
      </c>
      <c r="AB402" s="128">
        <f t="shared" si="6"/>
        <v>8</v>
      </c>
      <c r="AC402" s="129">
        <f t="shared" si="7"/>
        <v>0.12</v>
      </c>
      <c r="AD402" s="131"/>
    </row>
    <row r="403" ht="14.25" hidden="1" customHeight="1">
      <c r="A403" s="116" t="s">
        <v>1345</v>
      </c>
      <c r="B403" s="117" t="s">
        <v>1414</v>
      </c>
      <c r="C403" s="117" t="s">
        <v>1452</v>
      </c>
      <c r="D403" s="117" t="s">
        <v>1453</v>
      </c>
      <c r="E403" s="117" t="s">
        <v>1452</v>
      </c>
      <c r="F403" s="117" t="s">
        <v>1454</v>
      </c>
      <c r="G403" s="117" t="s">
        <v>205</v>
      </c>
      <c r="H403" s="117" t="s">
        <v>491</v>
      </c>
      <c r="I403" s="117">
        <v>3.0</v>
      </c>
      <c r="J403" s="117">
        <v>2.0</v>
      </c>
      <c r="K403" s="117" t="str">
        <f t="shared" si="1"/>
        <v>Si</v>
      </c>
      <c r="L403" s="118" t="s">
        <v>287</v>
      </c>
      <c r="M403" s="119">
        <v>0.4166666666666667</v>
      </c>
      <c r="N403" s="120">
        <v>0.0</v>
      </c>
      <c r="O403" s="121">
        <v>91.32</v>
      </c>
      <c r="P403" s="117">
        <v>1.0</v>
      </c>
      <c r="Q403" s="117">
        <f t="shared" si="2"/>
        <v>0</v>
      </c>
      <c r="R403" s="122">
        <f>+(IF(((M403*24)-P403)&lt;0,0,((M403*24)-P403)*'Estimación de pérdidas'!$F$72))*N403</f>
        <v>0</v>
      </c>
      <c r="S403" s="123" t="s">
        <v>117</v>
      </c>
      <c r="T403" s="124" t="s">
        <v>106</v>
      </c>
      <c r="U403" s="124">
        <f t="shared" si="3"/>
        <v>1</v>
      </c>
      <c r="V403" s="124">
        <v>2.0</v>
      </c>
      <c r="W403" s="124"/>
      <c r="X403" s="125"/>
      <c r="Y403" s="126"/>
      <c r="Z403" s="125">
        <f t="shared" si="4"/>
        <v>2</v>
      </c>
      <c r="AA403" s="127" t="str">
        <f t="shared" si="5"/>
        <v>Moderado</v>
      </c>
      <c r="AB403" s="128">
        <f t="shared" si="6"/>
        <v>12</v>
      </c>
      <c r="AC403" s="129">
        <f t="shared" si="7"/>
        <v>0.16</v>
      </c>
      <c r="AD403" s="131"/>
    </row>
    <row r="404" ht="14.25" hidden="1" customHeight="1">
      <c r="A404" s="116" t="s">
        <v>1345</v>
      </c>
      <c r="B404" s="117" t="s">
        <v>1414</v>
      </c>
      <c r="C404" s="117" t="s">
        <v>1452</v>
      </c>
      <c r="D404" s="117" t="s">
        <v>1455</v>
      </c>
      <c r="E404" s="117" t="s">
        <v>1452</v>
      </c>
      <c r="F404" s="117" t="s">
        <v>1454</v>
      </c>
      <c r="G404" s="117" t="s">
        <v>205</v>
      </c>
      <c r="H404" s="117" t="s">
        <v>491</v>
      </c>
      <c r="I404" s="117">
        <v>3.0</v>
      </c>
      <c r="J404" s="117">
        <v>2.0</v>
      </c>
      <c r="K404" s="117" t="str">
        <f t="shared" si="1"/>
        <v>Si</v>
      </c>
      <c r="L404" s="118" t="s">
        <v>287</v>
      </c>
      <c r="M404" s="119">
        <v>0.4166666666666667</v>
      </c>
      <c r="N404" s="120">
        <v>0.0</v>
      </c>
      <c r="O404" s="121">
        <v>91.32</v>
      </c>
      <c r="P404" s="117">
        <v>1.0</v>
      </c>
      <c r="Q404" s="117">
        <f t="shared" si="2"/>
        <v>0</v>
      </c>
      <c r="R404" s="122">
        <f>+(IF(((M404*24)-P404)&lt;0,0,((M404*24)-P404)*'Estimación de pérdidas'!$F$72))*N404</f>
        <v>0</v>
      </c>
      <c r="S404" s="123" t="s">
        <v>117</v>
      </c>
      <c r="T404" s="124" t="s">
        <v>106</v>
      </c>
      <c r="U404" s="124">
        <f t="shared" si="3"/>
        <v>1</v>
      </c>
      <c r="V404" s="124">
        <v>2.0</v>
      </c>
      <c r="W404" s="124"/>
      <c r="X404" s="125"/>
      <c r="Y404" s="126"/>
      <c r="Z404" s="125">
        <f t="shared" si="4"/>
        <v>2</v>
      </c>
      <c r="AA404" s="127" t="str">
        <f t="shared" si="5"/>
        <v>Moderado</v>
      </c>
      <c r="AB404" s="128">
        <f t="shared" si="6"/>
        <v>12</v>
      </c>
      <c r="AC404" s="129">
        <f t="shared" si="7"/>
        <v>0.16</v>
      </c>
      <c r="AD404" s="131"/>
    </row>
    <row r="405" ht="14.25" hidden="1" customHeight="1">
      <c r="A405" s="116" t="s">
        <v>1345</v>
      </c>
      <c r="B405" s="117" t="s">
        <v>1414</v>
      </c>
      <c r="C405" s="117" t="s">
        <v>1452</v>
      </c>
      <c r="D405" s="117" t="s">
        <v>1456</v>
      </c>
      <c r="E405" s="117" t="s">
        <v>1452</v>
      </c>
      <c r="F405" s="117" t="s">
        <v>1454</v>
      </c>
      <c r="G405" s="117" t="s">
        <v>205</v>
      </c>
      <c r="H405" s="117" t="s">
        <v>491</v>
      </c>
      <c r="I405" s="117">
        <v>3.0</v>
      </c>
      <c r="J405" s="117">
        <v>2.0</v>
      </c>
      <c r="K405" s="117" t="str">
        <f t="shared" si="1"/>
        <v>Si</v>
      </c>
      <c r="L405" s="118" t="s">
        <v>287</v>
      </c>
      <c r="M405" s="119">
        <v>0.4166666666666667</v>
      </c>
      <c r="N405" s="120">
        <v>0.0</v>
      </c>
      <c r="O405" s="121">
        <v>91.32</v>
      </c>
      <c r="P405" s="117">
        <v>1.0</v>
      </c>
      <c r="Q405" s="117">
        <f t="shared" si="2"/>
        <v>0</v>
      </c>
      <c r="R405" s="122">
        <f>+(IF(((M405*24)-P405)&lt;0,0,((M405*24)-P405)*'Estimación de pérdidas'!$F$72))*N405</f>
        <v>0</v>
      </c>
      <c r="S405" s="123" t="s">
        <v>117</v>
      </c>
      <c r="T405" s="124" t="s">
        <v>106</v>
      </c>
      <c r="U405" s="124">
        <f t="shared" si="3"/>
        <v>1</v>
      </c>
      <c r="V405" s="124">
        <v>2.0</v>
      </c>
      <c r="W405" s="124"/>
      <c r="X405" s="125"/>
      <c r="Y405" s="126"/>
      <c r="Z405" s="125">
        <f t="shared" si="4"/>
        <v>2</v>
      </c>
      <c r="AA405" s="127" t="str">
        <f t="shared" si="5"/>
        <v>Moderado</v>
      </c>
      <c r="AB405" s="128">
        <f t="shared" si="6"/>
        <v>12</v>
      </c>
      <c r="AC405" s="129">
        <f t="shared" si="7"/>
        <v>0.16</v>
      </c>
      <c r="AD405" s="131"/>
    </row>
    <row r="406" ht="14.25" hidden="1" customHeight="1">
      <c r="A406" s="116" t="s">
        <v>1345</v>
      </c>
      <c r="B406" s="117" t="s">
        <v>1414</v>
      </c>
      <c r="C406" s="117" t="s">
        <v>713</v>
      </c>
      <c r="D406" s="117" t="s">
        <v>1457</v>
      </c>
      <c r="E406" s="117" t="s">
        <v>713</v>
      </c>
      <c r="F406" s="117" t="s">
        <v>1458</v>
      </c>
      <c r="G406" s="117" t="s">
        <v>205</v>
      </c>
      <c r="H406" s="117" t="s">
        <v>491</v>
      </c>
      <c r="I406" s="117">
        <v>3.0</v>
      </c>
      <c r="J406" s="117">
        <v>2.0</v>
      </c>
      <c r="K406" s="117" t="str">
        <f t="shared" si="1"/>
        <v>Si</v>
      </c>
      <c r="L406" s="118" t="s">
        <v>287</v>
      </c>
      <c r="M406" s="119">
        <v>0.25</v>
      </c>
      <c r="N406" s="120">
        <v>0.0</v>
      </c>
      <c r="O406" s="121">
        <v>3.2</v>
      </c>
      <c r="P406" s="117">
        <v>21.132588699080156</v>
      </c>
      <c r="Q406" s="117">
        <f t="shared" si="2"/>
        <v>0</v>
      </c>
      <c r="R406" s="122">
        <f>+(IF(((M406*24)-P406)&lt;0,0,((M406*24)-P406)*'Estimación de pérdidas'!$F$72))*N406</f>
        <v>0</v>
      </c>
      <c r="S406" s="123" t="s">
        <v>117</v>
      </c>
      <c r="T406" s="124" t="s">
        <v>106</v>
      </c>
      <c r="U406" s="124">
        <f t="shared" si="3"/>
        <v>1</v>
      </c>
      <c r="V406" s="124">
        <v>2.0</v>
      </c>
      <c r="W406" s="124"/>
      <c r="X406" s="125"/>
      <c r="Y406" s="126"/>
      <c r="Z406" s="125">
        <f t="shared" si="4"/>
        <v>2</v>
      </c>
      <c r="AA406" s="127" t="str">
        <f t="shared" si="5"/>
        <v>Moderado</v>
      </c>
      <c r="AB406" s="128">
        <f t="shared" si="6"/>
        <v>12</v>
      </c>
      <c r="AC406" s="129">
        <f t="shared" si="7"/>
        <v>0.16</v>
      </c>
      <c r="AD406" s="131"/>
    </row>
    <row r="407" ht="14.25" hidden="1" customHeight="1">
      <c r="A407" s="116" t="s">
        <v>1345</v>
      </c>
      <c r="B407" s="117" t="s">
        <v>1414</v>
      </c>
      <c r="C407" s="117" t="s">
        <v>713</v>
      </c>
      <c r="D407" s="117" t="s">
        <v>1459</v>
      </c>
      <c r="E407" s="117" t="s">
        <v>713</v>
      </c>
      <c r="F407" s="117" t="s">
        <v>1458</v>
      </c>
      <c r="G407" s="117" t="s">
        <v>205</v>
      </c>
      <c r="H407" s="117" t="s">
        <v>491</v>
      </c>
      <c r="I407" s="117">
        <v>3.0</v>
      </c>
      <c r="J407" s="117">
        <v>2.0</v>
      </c>
      <c r="K407" s="117" t="str">
        <f t="shared" si="1"/>
        <v>Si</v>
      </c>
      <c r="L407" s="118" t="s">
        <v>287</v>
      </c>
      <c r="M407" s="119">
        <v>0.25</v>
      </c>
      <c r="N407" s="120">
        <v>0.0</v>
      </c>
      <c r="O407" s="121">
        <v>3.2</v>
      </c>
      <c r="P407" s="117">
        <v>21.132588699080156</v>
      </c>
      <c r="Q407" s="117">
        <f t="shared" si="2"/>
        <v>0</v>
      </c>
      <c r="R407" s="122">
        <f>+(IF(((M407*24)-P407)&lt;0,0,((M407*24)-P407)*'Estimación de pérdidas'!$F$72))*N407</f>
        <v>0</v>
      </c>
      <c r="S407" s="123" t="s">
        <v>117</v>
      </c>
      <c r="T407" s="124" t="s">
        <v>106</v>
      </c>
      <c r="U407" s="124">
        <f t="shared" si="3"/>
        <v>1</v>
      </c>
      <c r="V407" s="124">
        <v>2.0</v>
      </c>
      <c r="W407" s="124"/>
      <c r="X407" s="125"/>
      <c r="Y407" s="126"/>
      <c r="Z407" s="125">
        <f t="shared" si="4"/>
        <v>2</v>
      </c>
      <c r="AA407" s="127" t="str">
        <f t="shared" si="5"/>
        <v>Moderado</v>
      </c>
      <c r="AB407" s="128">
        <f t="shared" si="6"/>
        <v>12</v>
      </c>
      <c r="AC407" s="129">
        <f t="shared" si="7"/>
        <v>0.16</v>
      </c>
      <c r="AD407" s="131"/>
    </row>
    <row r="408" ht="14.25" hidden="1" customHeight="1">
      <c r="A408" s="116" t="s">
        <v>1345</v>
      </c>
      <c r="B408" s="117" t="s">
        <v>1414</v>
      </c>
      <c r="C408" s="117" t="s">
        <v>713</v>
      </c>
      <c r="D408" s="117" t="s">
        <v>1460</v>
      </c>
      <c r="E408" s="117" t="s">
        <v>713</v>
      </c>
      <c r="F408" s="117" t="s">
        <v>1458</v>
      </c>
      <c r="G408" s="117" t="s">
        <v>205</v>
      </c>
      <c r="H408" s="117" t="s">
        <v>491</v>
      </c>
      <c r="I408" s="117">
        <v>3.0</v>
      </c>
      <c r="J408" s="117">
        <v>2.0</v>
      </c>
      <c r="K408" s="117" t="str">
        <f t="shared" si="1"/>
        <v>Si</v>
      </c>
      <c r="L408" s="118" t="s">
        <v>287</v>
      </c>
      <c r="M408" s="119">
        <v>0.25</v>
      </c>
      <c r="N408" s="120">
        <v>0.0</v>
      </c>
      <c r="O408" s="121">
        <v>3.2</v>
      </c>
      <c r="P408" s="117">
        <v>21.132588699080156</v>
      </c>
      <c r="Q408" s="117">
        <f t="shared" si="2"/>
        <v>0</v>
      </c>
      <c r="R408" s="122">
        <f>+(IF(((M408*24)-P408)&lt;0,0,((M408*24)-P408)*'Estimación de pérdidas'!$F$72))*N408</f>
        <v>0</v>
      </c>
      <c r="S408" s="123" t="s">
        <v>117</v>
      </c>
      <c r="T408" s="124" t="s">
        <v>106</v>
      </c>
      <c r="U408" s="124">
        <f t="shared" si="3"/>
        <v>1</v>
      </c>
      <c r="V408" s="124">
        <v>2.0</v>
      </c>
      <c r="W408" s="124"/>
      <c r="X408" s="125"/>
      <c r="Y408" s="126"/>
      <c r="Z408" s="125">
        <f t="shared" si="4"/>
        <v>2</v>
      </c>
      <c r="AA408" s="127" t="str">
        <f t="shared" si="5"/>
        <v>Moderado</v>
      </c>
      <c r="AB408" s="128">
        <f t="shared" si="6"/>
        <v>12</v>
      </c>
      <c r="AC408" s="129">
        <f t="shared" si="7"/>
        <v>0.16</v>
      </c>
      <c r="AD408" s="131"/>
    </row>
    <row r="409" ht="14.25" hidden="1" customHeight="1">
      <c r="A409" s="116" t="s">
        <v>1345</v>
      </c>
      <c r="B409" s="117" t="s">
        <v>1414</v>
      </c>
      <c r="C409" s="117" t="s">
        <v>1093</v>
      </c>
      <c r="D409" s="117" t="s">
        <v>1461</v>
      </c>
      <c r="E409" s="117" t="s">
        <v>1462</v>
      </c>
      <c r="F409" s="117" t="s">
        <v>1463</v>
      </c>
      <c r="G409" s="117" t="s">
        <v>205</v>
      </c>
      <c r="H409" s="117" t="s">
        <v>491</v>
      </c>
      <c r="I409" s="117">
        <v>4.0</v>
      </c>
      <c r="J409" s="117">
        <v>3.0</v>
      </c>
      <c r="K409" s="117" t="str">
        <f t="shared" si="1"/>
        <v>Si</v>
      </c>
      <c r="L409" s="118" t="s">
        <v>116</v>
      </c>
      <c r="M409" s="119">
        <v>0.25</v>
      </c>
      <c r="N409" s="120">
        <v>0.0</v>
      </c>
      <c r="O409" s="121">
        <v>91.32</v>
      </c>
      <c r="P409" s="117">
        <v>1.0</v>
      </c>
      <c r="Q409" s="117">
        <f t="shared" si="2"/>
        <v>0</v>
      </c>
      <c r="R409" s="122">
        <f>+(IF(((M409*24)-P409)&lt;0,0,((M409*24)-P409)*'Estimación de pérdidas'!$F$72))*N409</f>
        <v>0</v>
      </c>
      <c r="S409" s="123" t="s">
        <v>117</v>
      </c>
      <c r="T409" s="124" t="s">
        <v>106</v>
      </c>
      <c r="U409" s="124">
        <f t="shared" si="3"/>
        <v>1</v>
      </c>
      <c r="V409" s="124">
        <v>2.0</v>
      </c>
      <c r="W409" s="124"/>
      <c r="X409" s="125"/>
      <c r="Y409" s="126"/>
      <c r="Z409" s="125">
        <f t="shared" si="4"/>
        <v>2</v>
      </c>
      <c r="AA409" s="127" t="str">
        <f t="shared" si="5"/>
        <v>Moderado</v>
      </c>
      <c r="AB409" s="128">
        <f t="shared" si="6"/>
        <v>12</v>
      </c>
      <c r="AC409" s="129">
        <f t="shared" si="7"/>
        <v>0.16</v>
      </c>
      <c r="AD409" s="131"/>
    </row>
    <row r="410" ht="14.25" hidden="1" customHeight="1">
      <c r="A410" s="116" t="s">
        <v>1345</v>
      </c>
      <c r="B410" s="117" t="s">
        <v>1414</v>
      </c>
      <c r="C410" s="117" t="s">
        <v>1464</v>
      </c>
      <c r="D410" s="117" t="s">
        <v>1465</v>
      </c>
      <c r="E410" s="117" t="s">
        <v>1462</v>
      </c>
      <c r="F410" s="117" t="s">
        <v>1463</v>
      </c>
      <c r="G410" s="117" t="s">
        <v>205</v>
      </c>
      <c r="H410" s="117" t="s">
        <v>491</v>
      </c>
      <c r="I410" s="117">
        <v>4.0</v>
      </c>
      <c r="J410" s="117">
        <v>3.0</v>
      </c>
      <c r="K410" s="117" t="str">
        <f t="shared" si="1"/>
        <v>Si</v>
      </c>
      <c r="L410" s="118" t="s">
        <v>116</v>
      </c>
      <c r="M410" s="119">
        <v>0.25</v>
      </c>
      <c r="N410" s="120">
        <v>0.0</v>
      </c>
      <c r="O410" s="121">
        <v>91.32</v>
      </c>
      <c r="P410" s="117">
        <v>1.0</v>
      </c>
      <c r="Q410" s="117">
        <f t="shared" si="2"/>
        <v>0</v>
      </c>
      <c r="R410" s="122">
        <f>+(IF(((M410*24)-P410)&lt;0,0,((M410*24)-P410)*'Estimación de pérdidas'!$F$72))*N410</f>
        <v>0</v>
      </c>
      <c r="S410" s="123" t="s">
        <v>117</v>
      </c>
      <c r="T410" s="124" t="s">
        <v>106</v>
      </c>
      <c r="U410" s="124">
        <f t="shared" si="3"/>
        <v>1</v>
      </c>
      <c r="V410" s="124">
        <v>2.0</v>
      </c>
      <c r="W410" s="124"/>
      <c r="X410" s="125"/>
      <c r="Y410" s="126"/>
      <c r="Z410" s="125">
        <f t="shared" si="4"/>
        <v>2</v>
      </c>
      <c r="AA410" s="127" t="str">
        <f t="shared" si="5"/>
        <v>Moderado</v>
      </c>
      <c r="AB410" s="128">
        <f t="shared" si="6"/>
        <v>12</v>
      </c>
      <c r="AC410" s="129">
        <f t="shared" si="7"/>
        <v>0.16</v>
      </c>
      <c r="AD410" s="131"/>
    </row>
    <row r="411" ht="14.25" hidden="1" customHeight="1">
      <c r="A411" s="116" t="s">
        <v>1345</v>
      </c>
      <c r="B411" s="117" t="s">
        <v>1414</v>
      </c>
      <c r="C411" s="117" t="s">
        <v>1466</v>
      </c>
      <c r="D411" s="117" t="s">
        <v>1467</v>
      </c>
      <c r="E411" s="117" t="s">
        <v>1468</v>
      </c>
      <c r="F411" s="117" t="s">
        <v>1469</v>
      </c>
      <c r="G411" s="117" t="s">
        <v>205</v>
      </c>
      <c r="H411" s="117" t="s">
        <v>491</v>
      </c>
      <c r="I411" s="117">
        <v>2.0</v>
      </c>
      <c r="J411" s="117">
        <v>1.0</v>
      </c>
      <c r="K411" s="117" t="str">
        <f t="shared" si="1"/>
        <v>Si</v>
      </c>
      <c r="L411" s="118" t="s">
        <v>287</v>
      </c>
      <c r="M411" s="119">
        <v>0.25</v>
      </c>
      <c r="N411" s="120">
        <v>0.0</v>
      </c>
      <c r="O411" s="121">
        <v>91.32</v>
      </c>
      <c r="P411" s="117">
        <v>1.0</v>
      </c>
      <c r="Q411" s="117">
        <f t="shared" si="2"/>
        <v>0</v>
      </c>
      <c r="R411" s="122">
        <f>+(IF(((M411*24)-P411)&lt;0,0,((M411*24)-P411)*'Estimación de pérdidas'!$F$72))*N411</f>
        <v>0</v>
      </c>
      <c r="S411" s="123" t="s">
        <v>117</v>
      </c>
      <c r="T411" s="124" t="s">
        <v>106</v>
      </c>
      <c r="U411" s="124">
        <f t="shared" si="3"/>
        <v>1</v>
      </c>
      <c r="V411" s="124">
        <v>1.0</v>
      </c>
      <c r="W411" s="124"/>
      <c r="X411" s="125"/>
      <c r="Y411" s="126"/>
      <c r="Z411" s="125">
        <f t="shared" si="4"/>
        <v>1</v>
      </c>
      <c r="AA411" s="127" t="str">
        <f t="shared" si="5"/>
        <v>Bajo</v>
      </c>
      <c r="AB411" s="128">
        <f t="shared" si="6"/>
        <v>7</v>
      </c>
      <c r="AC411" s="129">
        <f t="shared" si="7"/>
        <v>0.1011928851</v>
      </c>
    </row>
    <row r="412" ht="14.25" hidden="1" customHeight="1">
      <c r="A412" s="116" t="s">
        <v>1345</v>
      </c>
      <c r="B412" s="117" t="s">
        <v>1414</v>
      </c>
      <c r="C412" s="117" t="s">
        <v>1466</v>
      </c>
      <c r="D412" s="117" t="s">
        <v>1470</v>
      </c>
      <c r="E412" s="117" t="s">
        <v>1468</v>
      </c>
      <c r="F412" s="117" t="s">
        <v>1469</v>
      </c>
      <c r="G412" s="117" t="s">
        <v>205</v>
      </c>
      <c r="H412" s="117" t="s">
        <v>491</v>
      </c>
      <c r="I412" s="117">
        <v>2.0</v>
      </c>
      <c r="J412" s="117">
        <v>1.0</v>
      </c>
      <c r="K412" s="117" t="str">
        <f t="shared" si="1"/>
        <v>Si</v>
      </c>
      <c r="L412" s="118" t="s">
        <v>287</v>
      </c>
      <c r="M412" s="119">
        <v>0.25</v>
      </c>
      <c r="N412" s="120">
        <v>0.0</v>
      </c>
      <c r="O412" s="121">
        <v>91.32</v>
      </c>
      <c r="P412" s="117">
        <v>1.0</v>
      </c>
      <c r="Q412" s="117">
        <f t="shared" si="2"/>
        <v>0</v>
      </c>
      <c r="R412" s="122">
        <f>+(IF(((M412*24)-P412)&lt;0,0,((M412*24)-P412)*'Estimación de pérdidas'!$F$72))*N412</f>
        <v>0</v>
      </c>
      <c r="S412" s="123" t="s">
        <v>117</v>
      </c>
      <c r="T412" s="124" t="s">
        <v>106</v>
      </c>
      <c r="U412" s="124">
        <f t="shared" si="3"/>
        <v>1</v>
      </c>
      <c r="V412" s="124">
        <v>1.0</v>
      </c>
      <c r="W412" s="124"/>
      <c r="X412" s="125"/>
      <c r="Y412" s="126"/>
      <c r="Z412" s="125">
        <f t="shared" si="4"/>
        <v>1</v>
      </c>
      <c r="AA412" s="127" t="str">
        <f t="shared" si="5"/>
        <v>Bajo</v>
      </c>
      <c r="AB412" s="128">
        <f t="shared" si="6"/>
        <v>7</v>
      </c>
      <c r="AC412" s="129">
        <f t="shared" si="7"/>
        <v>0.1011928851</v>
      </c>
    </row>
    <row r="413" ht="14.25" hidden="1" customHeight="1">
      <c r="A413" s="116" t="s">
        <v>1345</v>
      </c>
      <c r="B413" s="117" t="s">
        <v>1414</v>
      </c>
      <c r="C413" s="117" t="s">
        <v>1471</v>
      </c>
      <c r="D413" s="117" t="s">
        <v>1472</v>
      </c>
      <c r="E413" s="117" t="s">
        <v>1473</v>
      </c>
      <c r="F413" s="117" t="s">
        <v>1474</v>
      </c>
      <c r="G413" s="117" t="s">
        <v>205</v>
      </c>
      <c r="H413" s="117" t="s">
        <v>491</v>
      </c>
      <c r="I413" s="117">
        <v>1.0</v>
      </c>
      <c r="J413" s="117">
        <v>1.0</v>
      </c>
      <c r="K413" s="117" t="str">
        <f t="shared" si="1"/>
        <v>No</v>
      </c>
      <c r="L413" s="118" t="s">
        <v>116</v>
      </c>
      <c r="M413" s="119">
        <v>0.25</v>
      </c>
      <c r="N413" s="120">
        <v>0.0</v>
      </c>
      <c r="O413" s="121"/>
      <c r="P413" s="117">
        <v>0.0</v>
      </c>
      <c r="Q413" s="117">
        <f t="shared" si="2"/>
        <v>0</v>
      </c>
      <c r="R413" s="122">
        <f>+(IF(((M413*24)-P413)&lt;0,0,((M413*24)-P413)*'Estimación de pérdidas'!$F$72))*N413</f>
        <v>0</v>
      </c>
      <c r="S413" s="123" t="s">
        <v>117</v>
      </c>
      <c r="T413" s="124" t="s">
        <v>106</v>
      </c>
      <c r="U413" s="124">
        <f t="shared" si="3"/>
        <v>1</v>
      </c>
      <c r="V413" s="124">
        <v>1.0</v>
      </c>
      <c r="W413" s="124"/>
      <c r="X413" s="125"/>
      <c r="Y413" s="126"/>
      <c r="Z413" s="125">
        <f t="shared" si="4"/>
        <v>1</v>
      </c>
      <c r="AA413" s="127" t="str">
        <f t="shared" si="5"/>
        <v>Bajo</v>
      </c>
      <c r="AB413" s="128">
        <f t="shared" si="6"/>
        <v>7</v>
      </c>
      <c r="AC413" s="129">
        <f t="shared" si="7"/>
        <v>0.1011928851</v>
      </c>
    </row>
    <row r="414" ht="14.25" hidden="1" customHeight="1">
      <c r="A414" s="116" t="s">
        <v>1345</v>
      </c>
      <c r="B414" s="117" t="s">
        <v>1414</v>
      </c>
      <c r="C414" s="117" t="s">
        <v>1475</v>
      </c>
      <c r="D414" s="117" t="s">
        <v>1476</v>
      </c>
      <c r="E414" s="117" t="s">
        <v>1477</v>
      </c>
      <c r="F414" s="117" t="s">
        <v>1478</v>
      </c>
      <c r="G414" s="117" t="s">
        <v>205</v>
      </c>
      <c r="H414" s="117" t="s">
        <v>491</v>
      </c>
      <c r="I414" s="117">
        <v>1.0</v>
      </c>
      <c r="J414" s="117">
        <v>1.0</v>
      </c>
      <c r="K414" s="117" t="str">
        <f t="shared" si="1"/>
        <v>No</v>
      </c>
      <c r="L414" s="118" t="s">
        <v>116</v>
      </c>
      <c r="M414" s="119">
        <v>0.33</v>
      </c>
      <c r="N414" s="120">
        <v>0.0</v>
      </c>
      <c r="O414" s="121"/>
      <c r="P414" s="117">
        <v>0.0</v>
      </c>
      <c r="Q414" s="117">
        <f t="shared" si="2"/>
        <v>0</v>
      </c>
      <c r="R414" s="122">
        <f>+(IF(((M414*24)-P414)&lt;0,0,((M414*24)-P414)*'Estimación de pérdidas'!$F$72))*N414</f>
        <v>0</v>
      </c>
      <c r="S414" s="123" t="s">
        <v>117</v>
      </c>
      <c r="T414" s="124" t="s">
        <v>119</v>
      </c>
      <c r="U414" s="124">
        <f t="shared" si="3"/>
        <v>1</v>
      </c>
      <c r="V414" s="124">
        <v>1.0</v>
      </c>
      <c r="W414" s="124"/>
      <c r="X414" s="125"/>
      <c r="Y414" s="126"/>
      <c r="Z414" s="125">
        <f t="shared" si="4"/>
        <v>1</v>
      </c>
      <c r="AA414" s="127" t="str">
        <f t="shared" si="5"/>
        <v>Bajo</v>
      </c>
      <c r="AB414" s="128">
        <f t="shared" si="6"/>
        <v>4</v>
      </c>
      <c r="AC414" s="129">
        <f t="shared" si="7"/>
        <v>0.07589466384</v>
      </c>
    </row>
    <row r="415" ht="14.25" hidden="1" customHeight="1">
      <c r="A415" s="116" t="s">
        <v>1345</v>
      </c>
      <c r="B415" s="117" t="s">
        <v>1414</v>
      </c>
      <c r="C415" s="117" t="s">
        <v>1475</v>
      </c>
      <c r="D415" s="117" t="s">
        <v>1479</v>
      </c>
      <c r="E415" s="117" t="s">
        <v>1477</v>
      </c>
      <c r="F415" s="117" t="s">
        <v>1480</v>
      </c>
      <c r="G415" s="117" t="s">
        <v>205</v>
      </c>
      <c r="H415" s="117" t="s">
        <v>491</v>
      </c>
      <c r="I415" s="117">
        <v>1.0</v>
      </c>
      <c r="J415" s="117">
        <v>1.0</v>
      </c>
      <c r="K415" s="117" t="str">
        <f t="shared" si="1"/>
        <v>No</v>
      </c>
      <c r="L415" s="118" t="s">
        <v>116</v>
      </c>
      <c r="M415" s="119">
        <v>0.33</v>
      </c>
      <c r="N415" s="120">
        <v>0.0</v>
      </c>
      <c r="O415" s="121"/>
      <c r="P415" s="117">
        <v>0.0</v>
      </c>
      <c r="Q415" s="117">
        <f t="shared" si="2"/>
        <v>0</v>
      </c>
      <c r="R415" s="122">
        <f>+(IF(((M415*24)-P415)&lt;0,0,((M415*24)-P415)*'Estimación de pérdidas'!$F$72))*N415</f>
        <v>0</v>
      </c>
      <c r="S415" s="123" t="s">
        <v>117</v>
      </c>
      <c r="T415" s="124" t="s">
        <v>119</v>
      </c>
      <c r="U415" s="124">
        <f t="shared" si="3"/>
        <v>1</v>
      </c>
      <c r="V415" s="124">
        <v>1.0</v>
      </c>
      <c r="W415" s="124"/>
      <c r="X415" s="125"/>
      <c r="Y415" s="126"/>
      <c r="Z415" s="125">
        <f t="shared" si="4"/>
        <v>1</v>
      </c>
      <c r="AA415" s="127" t="str">
        <f t="shared" si="5"/>
        <v>Bajo</v>
      </c>
      <c r="AB415" s="128">
        <f t="shared" si="6"/>
        <v>4</v>
      </c>
      <c r="AC415" s="129">
        <f t="shared" si="7"/>
        <v>0.07589466384</v>
      </c>
    </row>
    <row r="416" ht="14.25" hidden="1" customHeight="1">
      <c r="A416" s="116" t="s">
        <v>1345</v>
      </c>
      <c r="B416" s="117" t="s">
        <v>1414</v>
      </c>
      <c r="C416" s="117" t="s">
        <v>1400</v>
      </c>
      <c r="D416" s="117" t="s">
        <v>1481</v>
      </c>
      <c r="E416" s="117" t="s">
        <v>1482</v>
      </c>
      <c r="F416" s="117" t="s">
        <v>1483</v>
      </c>
      <c r="G416" s="117" t="s">
        <v>205</v>
      </c>
      <c r="H416" s="117" t="s">
        <v>491</v>
      </c>
      <c r="I416" s="117">
        <v>1.0</v>
      </c>
      <c r="J416" s="117">
        <v>1.0</v>
      </c>
      <c r="K416" s="117" t="str">
        <f t="shared" si="1"/>
        <v>No</v>
      </c>
      <c r="L416" s="118" t="s">
        <v>116</v>
      </c>
      <c r="M416" s="119">
        <v>0.33</v>
      </c>
      <c r="N416" s="120">
        <v>0.0</v>
      </c>
      <c r="O416" s="121"/>
      <c r="P416" s="117">
        <v>0.0</v>
      </c>
      <c r="Q416" s="117">
        <f t="shared" si="2"/>
        <v>0</v>
      </c>
      <c r="R416" s="122">
        <f>+(IF(((M416*24)-P416)&lt;0,0,((M416*24)-P416)*'Estimación de pérdidas'!$F$72))*N416</f>
        <v>0</v>
      </c>
      <c r="S416" s="123" t="s">
        <v>117</v>
      </c>
      <c r="T416" s="124" t="s">
        <v>119</v>
      </c>
      <c r="U416" s="124">
        <f t="shared" si="3"/>
        <v>1</v>
      </c>
      <c r="V416" s="124">
        <v>1.0</v>
      </c>
      <c r="W416" s="124"/>
      <c r="X416" s="125"/>
      <c r="Y416" s="126"/>
      <c r="Z416" s="125">
        <f t="shared" si="4"/>
        <v>1</v>
      </c>
      <c r="AA416" s="127" t="str">
        <f t="shared" si="5"/>
        <v>Bajo</v>
      </c>
      <c r="AB416" s="128">
        <f t="shared" si="6"/>
        <v>4</v>
      </c>
      <c r="AC416" s="129">
        <f t="shared" si="7"/>
        <v>0.07589466384</v>
      </c>
    </row>
    <row r="417" ht="14.25" hidden="1" customHeight="1">
      <c r="A417" s="116" t="s">
        <v>1345</v>
      </c>
      <c r="B417" s="117" t="s">
        <v>1414</v>
      </c>
      <c r="C417" s="117" t="s">
        <v>1484</v>
      </c>
      <c r="D417" s="117" t="s">
        <v>1485</v>
      </c>
      <c r="E417" s="117" t="s">
        <v>1484</v>
      </c>
      <c r="F417" s="117" t="s">
        <v>1486</v>
      </c>
      <c r="G417" s="117" t="s">
        <v>205</v>
      </c>
      <c r="H417" s="117" t="s">
        <v>491</v>
      </c>
      <c r="I417" s="117">
        <v>4.0</v>
      </c>
      <c r="J417" s="117">
        <v>3.0</v>
      </c>
      <c r="K417" s="117" t="str">
        <f t="shared" si="1"/>
        <v>Si</v>
      </c>
      <c r="L417" s="118" t="s">
        <v>116</v>
      </c>
      <c r="M417" s="119">
        <v>0.25</v>
      </c>
      <c r="N417" s="120">
        <v>0.0</v>
      </c>
      <c r="O417" s="121">
        <v>91.32</v>
      </c>
      <c r="P417" s="117">
        <v>1.0</v>
      </c>
      <c r="Q417" s="117">
        <f t="shared" si="2"/>
        <v>0</v>
      </c>
      <c r="R417" s="122">
        <f>+(IF(((M417*24)-P417)&lt;0,0,((M417*24)-P417)*'Estimación de pérdidas'!$F$72))*N417</f>
        <v>0</v>
      </c>
      <c r="S417" s="123" t="s">
        <v>117</v>
      </c>
      <c r="T417" s="124" t="s">
        <v>106</v>
      </c>
      <c r="U417" s="124">
        <f t="shared" si="3"/>
        <v>1</v>
      </c>
      <c r="V417" s="124">
        <v>2.0</v>
      </c>
      <c r="W417" s="124"/>
      <c r="X417" s="125"/>
      <c r="Y417" s="126"/>
      <c r="Z417" s="125">
        <f t="shared" si="4"/>
        <v>2</v>
      </c>
      <c r="AA417" s="127" t="str">
        <f t="shared" si="5"/>
        <v>Moderado</v>
      </c>
      <c r="AB417" s="128">
        <f t="shared" si="6"/>
        <v>12</v>
      </c>
      <c r="AC417" s="129">
        <f t="shared" si="7"/>
        <v>0.16</v>
      </c>
      <c r="AD417" s="131"/>
    </row>
    <row r="418" ht="14.25" hidden="1" customHeight="1">
      <c r="A418" s="116" t="s">
        <v>1345</v>
      </c>
      <c r="B418" s="117" t="s">
        <v>1414</v>
      </c>
      <c r="C418" s="117" t="s">
        <v>1484</v>
      </c>
      <c r="D418" s="117" t="s">
        <v>1487</v>
      </c>
      <c r="E418" s="117" t="s">
        <v>1484</v>
      </c>
      <c r="F418" s="117" t="s">
        <v>1486</v>
      </c>
      <c r="G418" s="117" t="s">
        <v>205</v>
      </c>
      <c r="H418" s="117" t="s">
        <v>491</v>
      </c>
      <c r="I418" s="117">
        <v>4.0</v>
      </c>
      <c r="J418" s="117">
        <v>3.0</v>
      </c>
      <c r="K418" s="117" t="str">
        <f t="shared" si="1"/>
        <v>Si</v>
      </c>
      <c r="L418" s="118" t="s">
        <v>116</v>
      </c>
      <c r="M418" s="119">
        <v>0.25</v>
      </c>
      <c r="N418" s="120">
        <v>0.0</v>
      </c>
      <c r="O418" s="121">
        <v>91.32</v>
      </c>
      <c r="P418" s="117">
        <v>1.0</v>
      </c>
      <c r="Q418" s="117">
        <f t="shared" si="2"/>
        <v>0</v>
      </c>
      <c r="R418" s="122">
        <f>+(IF(((M418*24)-P418)&lt;0,0,((M418*24)-P418)*'Estimación de pérdidas'!$F$72))*N418</f>
        <v>0</v>
      </c>
      <c r="S418" s="123" t="s">
        <v>117</v>
      </c>
      <c r="T418" s="124" t="s">
        <v>106</v>
      </c>
      <c r="U418" s="124">
        <f t="shared" si="3"/>
        <v>1</v>
      </c>
      <c r="V418" s="124">
        <v>2.0</v>
      </c>
      <c r="W418" s="124"/>
      <c r="X418" s="125"/>
      <c r="Y418" s="126"/>
      <c r="Z418" s="125">
        <f t="shared" si="4"/>
        <v>2</v>
      </c>
      <c r="AA418" s="127" t="str">
        <f t="shared" si="5"/>
        <v>Moderado</v>
      </c>
      <c r="AB418" s="128">
        <f t="shared" si="6"/>
        <v>12</v>
      </c>
      <c r="AC418" s="129">
        <f t="shared" si="7"/>
        <v>0.16</v>
      </c>
      <c r="AD418" s="131"/>
    </row>
    <row r="419" ht="14.25" hidden="1" customHeight="1">
      <c r="A419" s="116" t="s">
        <v>1345</v>
      </c>
      <c r="B419" s="117" t="s">
        <v>1414</v>
      </c>
      <c r="C419" s="117" t="s">
        <v>1484</v>
      </c>
      <c r="D419" s="117" t="s">
        <v>1488</v>
      </c>
      <c r="E419" s="117" t="s">
        <v>1484</v>
      </c>
      <c r="F419" s="117" t="s">
        <v>1486</v>
      </c>
      <c r="G419" s="117" t="s">
        <v>205</v>
      </c>
      <c r="H419" s="117" t="s">
        <v>491</v>
      </c>
      <c r="I419" s="117">
        <v>4.0</v>
      </c>
      <c r="J419" s="117">
        <v>3.0</v>
      </c>
      <c r="K419" s="117" t="str">
        <f t="shared" si="1"/>
        <v>Si</v>
      </c>
      <c r="L419" s="118" t="s">
        <v>116</v>
      </c>
      <c r="M419" s="119">
        <v>0.25</v>
      </c>
      <c r="N419" s="120">
        <v>0.0</v>
      </c>
      <c r="O419" s="121">
        <v>91.32</v>
      </c>
      <c r="P419" s="117">
        <v>1.0</v>
      </c>
      <c r="Q419" s="117">
        <f t="shared" si="2"/>
        <v>0</v>
      </c>
      <c r="R419" s="122">
        <f>+(IF(((M419*24)-P419)&lt;0,0,((M419*24)-P419)*'Estimación de pérdidas'!$F$72))*N419</f>
        <v>0</v>
      </c>
      <c r="S419" s="123" t="s">
        <v>117</v>
      </c>
      <c r="T419" s="124" t="s">
        <v>106</v>
      </c>
      <c r="U419" s="124">
        <f t="shared" si="3"/>
        <v>1</v>
      </c>
      <c r="V419" s="124">
        <v>2.0</v>
      </c>
      <c r="W419" s="124"/>
      <c r="X419" s="125"/>
      <c r="Y419" s="126"/>
      <c r="Z419" s="125">
        <f t="shared" si="4"/>
        <v>2</v>
      </c>
      <c r="AA419" s="127" t="str">
        <f t="shared" si="5"/>
        <v>Moderado</v>
      </c>
      <c r="AB419" s="128">
        <f t="shared" si="6"/>
        <v>12</v>
      </c>
      <c r="AC419" s="129">
        <f t="shared" si="7"/>
        <v>0.16</v>
      </c>
      <c r="AD419" s="131"/>
    </row>
    <row r="420" ht="14.25" hidden="1" customHeight="1">
      <c r="A420" s="116" t="s">
        <v>1345</v>
      </c>
      <c r="B420" s="117" t="s">
        <v>1414</v>
      </c>
      <c r="C420" s="117" t="s">
        <v>1464</v>
      </c>
      <c r="D420" s="117" t="s">
        <v>1489</v>
      </c>
      <c r="E420" s="117" t="s">
        <v>1490</v>
      </c>
      <c r="F420" s="117" t="s">
        <v>1463</v>
      </c>
      <c r="G420" s="117" t="s">
        <v>205</v>
      </c>
      <c r="H420" s="117" t="s">
        <v>491</v>
      </c>
      <c r="I420" s="117">
        <v>4.0</v>
      </c>
      <c r="J420" s="117">
        <v>3.0</v>
      </c>
      <c r="K420" s="117" t="str">
        <f t="shared" si="1"/>
        <v>Si</v>
      </c>
      <c r="L420" s="118" t="s">
        <v>116</v>
      </c>
      <c r="M420" s="119">
        <v>0.25</v>
      </c>
      <c r="N420" s="120">
        <v>0.0</v>
      </c>
      <c r="O420" s="121">
        <v>91.32</v>
      </c>
      <c r="P420" s="117">
        <v>1.0</v>
      </c>
      <c r="Q420" s="117">
        <f t="shared" si="2"/>
        <v>0</v>
      </c>
      <c r="R420" s="122">
        <f>+(IF(((M420*24)-P420)&lt;0,0,((M420*24)-P420)*'Estimación de pérdidas'!$F$72))*N420</f>
        <v>0</v>
      </c>
      <c r="S420" s="123" t="s">
        <v>117</v>
      </c>
      <c r="T420" s="124" t="s">
        <v>106</v>
      </c>
      <c r="U420" s="124">
        <f t="shared" si="3"/>
        <v>1</v>
      </c>
      <c r="V420" s="124">
        <v>2.0</v>
      </c>
      <c r="W420" s="124"/>
      <c r="X420" s="125"/>
      <c r="Y420" s="126"/>
      <c r="Z420" s="125">
        <f t="shared" si="4"/>
        <v>2</v>
      </c>
      <c r="AA420" s="127" t="str">
        <f t="shared" si="5"/>
        <v>Moderado</v>
      </c>
      <c r="AB420" s="128">
        <f t="shared" si="6"/>
        <v>12</v>
      </c>
      <c r="AC420" s="129">
        <f t="shared" si="7"/>
        <v>0.16</v>
      </c>
      <c r="AD420" s="131"/>
    </row>
    <row r="421" ht="14.25" hidden="1" customHeight="1">
      <c r="A421" s="116" t="s">
        <v>1345</v>
      </c>
      <c r="B421" s="117" t="s">
        <v>1414</v>
      </c>
      <c r="C421" s="117" t="s">
        <v>1464</v>
      </c>
      <c r="D421" s="117" t="s">
        <v>1491</v>
      </c>
      <c r="E421" s="117" t="s">
        <v>1490</v>
      </c>
      <c r="F421" s="117" t="s">
        <v>1463</v>
      </c>
      <c r="G421" s="117" t="s">
        <v>205</v>
      </c>
      <c r="H421" s="117" t="s">
        <v>491</v>
      </c>
      <c r="I421" s="117">
        <v>4.0</v>
      </c>
      <c r="J421" s="117">
        <v>3.0</v>
      </c>
      <c r="K421" s="117" t="str">
        <f t="shared" si="1"/>
        <v>Si</v>
      </c>
      <c r="L421" s="118" t="s">
        <v>116</v>
      </c>
      <c r="M421" s="119">
        <v>0.25</v>
      </c>
      <c r="N421" s="120">
        <v>0.0</v>
      </c>
      <c r="O421" s="121">
        <v>91.32</v>
      </c>
      <c r="P421" s="117">
        <v>1.0</v>
      </c>
      <c r="Q421" s="117">
        <f t="shared" si="2"/>
        <v>0</v>
      </c>
      <c r="R421" s="122">
        <f>+(IF(((M421*24)-P421)&lt;0,0,((M421*24)-P421)*'Estimación de pérdidas'!$F$72))*N421</f>
        <v>0</v>
      </c>
      <c r="S421" s="123" t="s">
        <v>117</v>
      </c>
      <c r="T421" s="124" t="s">
        <v>106</v>
      </c>
      <c r="U421" s="124">
        <f t="shared" si="3"/>
        <v>1</v>
      </c>
      <c r="V421" s="124">
        <v>2.0</v>
      </c>
      <c r="W421" s="124"/>
      <c r="X421" s="125"/>
      <c r="Y421" s="126"/>
      <c r="Z421" s="125">
        <f t="shared" si="4"/>
        <v>2</v>
      </c>
      <c r="AA421" s="127" t="str">
        <f t="shared" si="5"/>
        <v>Moderado</v>
      </c>
      <c r="AB421" s="128">
        <f t="shared" si="6"/>
        <v>12</v>
      </c>
      <c r="AC421" s="129">
        <f t="shared" si="7"/>
        <v>0.16</v>
      </c>
      <c r="AD421" s="131"/>
    </row>
    <row r="422" ht="14.25" hidden="1" customHeight="1">
      <c r="A422" s="116" t="s">
        <v>1345</v>
      </c>
      <c r="B422" s="117" t="s">
        <v>1414</v>
      </c>
      <c r="C422" s="117" t="s">
        <v>1484</v>
      </c>
      <c r="D422" s="117" t="s">
        <v>1492</v>
      </c>
      <c r="E422" s="117" t="s">
        <v>1484</v>
      </c>
      <c r="F422" s="117" t="s">
        <v>1486</v>
      </c>
      <c r="G422" s="117" t="s">
        <v>205</v>
      </c>
      <c r="H422" s="117" t="s">
        <v>491</v>
      </c>
      <c r="I422" s="117">
        <v>4.0</v>
      </c>
      <c r="J422" s="117">
        <v>3.0</v>
      </c>
      <c r="K422" s="117" t="str">
        <f t="shared" si="1"/>
        <v>Si</v>
      </c>
      <c r="L422" s="118" t="s">
        <v>116</v>
      </c>
      <c r="M422" s="119">
        <v>0.25</v>
      </c>
      <c r="N422" s="120">
        <v>0.0</v>
      </c>
      <c r="O422" s="121">
        <v>91.32</v>
      </c>
      <c r="P422" s="117">
        <v>1.0</v>
      </c>
      <c r="Q422" s="117">
        <f t="shared" si="2"/>
        <v>0</v>
      </c>
      <c r="R422" s="122">
        <f>+(IF(((M422*24)-P422)&lt;0,0,((M422*24)-P422)*'Estimación de pérdidas'!$F$72))*N422</f>
        <v>0</v>
      </c>
      <c r="S422" s="123" t="s">
        <v>117</v>
      </c>
      <c r="T422" s="124" t="s">
        <v>106</v>
      </c>
      <c r="U422" s="124">
        <f t="shared" si="3"/>
        <v>1</v>
      </c>
      <c r="V422" s="124">
        <v>2.0</v>
      </c>
      <c r="W422" s="124"/>
      <c r="X422" s="125"/>
      <c r="Y422" s="126"/>
      <c r="Z422" s="125">
        <f t="shared" si="4"/>
        <v>2</v>
      </c>
      <c r="AA422" s="127" t="str">
        <f t="shared" si="5"/>
        <v>Moderado</v>
      </c>
      <c r="AB422" s="128">
        <f t="shared" si="6"/>
        <v>12</v>
      </c>
      <c r="AC422" s="129">
        <f t="shared" si="7"/>
        <v>0.16</v>
      </c>
      <c r="AD422" s="131"/>
    </row>
    <row r="423" ht="14.25" hidden="1" customHeight="1">
      <c r="A423" s="116" t="s">
        <v>1345</v>
      </c>
      <c r="B423" s="117" t="s">
        <v>1414</v>
      </c>
      <c r="C423" s="117" t="s">
        <v>1493</v>
      </c>
      <c r="D423" s="117" t="s">
        <v>1494</v>
      </c>
      <c r="E423" s="117" t="s">
        <v>1493</v>
      </c>
      <c r="F423" s="117" t="s">
        <v>1495</v>
      </c>
      <c r="G423" s="117" t="s">
        <v>472</v>
      </c>
      <c r="H423" s="117" t="s">
        <v>496</v>
      </c>
      <c r="I423" s="117">
        <v>1.0</v>
      </c>
      <c r="J423" s="117">
        <v>1.0</v>
      </c>
      <c r="K423" s="117" t="str">
        <f t="shared" si="1"/>
        <v>No</v>
      </c>
      <c r="L423" s="118" t="s">
        <v>116</v>
      </c>
      <c r="M423" s="119">
        <v>0.25</v>
      </c>
      <c r="N423" s="120">
        <v>0.0</v>
      </c>
      <c r="O423" s="121"/>
      <c r="P423" s="117">
        <v>0.0</v>
      </c>
      <c r="Q423" s="117">
        <f t="shared" si="2"/>
        <v>0</v>
      </c>
      <c r="R423" s="122">
        <f>+(IF(((M423*24)-P423)&lt;0,0,((M423*24)-P423)*'Estimación de pérdidas'!$F$72))*N423</f>
        <v>0</v>
      </c>
      <c r="S423" s="123" t="s">
        <v>117</v>
      </c>
      <c r="T423" s="124" t="s">
        <v>119</v>
      </c>
      <c r="U423" s="124">
        <f t="shared" si="3"/>
        <v>1</v>
      </c>
      <c r="V423" s="124">
        <v>1.0</v>
      </c>
      <c r="W423" s="124"/>
      <c r="X423" s="125"/>
      <c r="Y423" s="126"/>
      <c r="Z423" s="125">
        <f t="shared" si="4"/>
        <v>1</v>
      </c>
      <c r="AA423" s="127" t="str">
        <f t="shared" si="5"/>
        <v>Bajo</v>
      </c>
      <c r="AB423" s="128">
        <f t="shared" si="6"/>
        <v>4</v>
      </c>
      <c r="AC423" s="129">
        <f t="shared" si="7"/>
        <v>0.07589466384</v>
      </c>
    </row>
    <row r="424" ht="14.25" hidden="1" customHeight="1">
      <c r="A424" s="116" t="s">
        <v>1345</v>
      </c>
      <c r="B424" s="117" t="s">
        <v>1414</v>
      </c>
      <c r="C424" s="117" t="s">
        <v>1496</v>
      </c>
      <c r="D424" s="117" t="s">
        <v>1497</v>
      </c>
      <c r="E424" s="117" t="s">
        <v>1496</v>
      </c>
      <c r="F424" s="117" t="s">
        <v>1498</v>
      </c>
      <c r="G424" s="117" t="s">
        <v>472</v>
      </c>
      <c r="H424" s="117" t="s">
        <v>496</v>
      </c>
      <c r="I424" s="117">
        <v>1.0</v>
      </c>
      <c r="J424" s="117">
        <v>1.0</v>
      </c>
      <c r="K424" s="117" t="str">
        <f t="shared" si="1"/>
        <v>No</v>
      </c>
      <c r="L424" s="118" t="s">
        <v>116</v>
      </c>
      <c r="M424" s="119">
        <v>0.3333333333333333</v>
      </c>
      <c r="N424" s="120">
        <v>0.0</v>
      </c>
      <c r="O424" s="121"/>
      <c r="P424" s="117">
        <v>0.0</v>
      </c>
      <c r="Q424" s="117">
        <f t="shared" si="2"/>
        <v>0</v>
      </c>
      <c r="R424" s="122">
        <f>+(IF(((M424*24)-P424)&lt;0,0,((M424*24)-P424)*'Estimación de pérdidas'!$F$72))*N424</f>
        <v>0</v>
      </c>
      <c r="S424" s="123" t="s">
        <v>117</v>
      </c>
      <c r="T424" s="124" t="s">
        <v>119</v>
      </c>
      <c r="U424" s="124">
        <f t="shared" si="3"/>
        <v>1</v>
      </c>
      <c r="V424" s="124">
        <v>1.0</v>
      </c>
      <c r="W424" s="124"/>
      <c r="X424" s="125"/>
      <c r="Y424" s="126"/>
      <c r="Z424" s="125">
        <f t="shared" si="4"/>
        <v>1</v>
      </c>
      <c r="AA424" s="127" t="str">
        <f t="shared" si="5"/>
        <v>Bajo</v>
      </c>
      <c r="AB424" s="128">
        <f t="shared" si="6"/>
        <v>4</v>
      </c>
      <c r="AC424" s="129">
        <f t="shared" si="7"/>
        <v>0.07589466384</v>
      </c>
    </row>
    <row r="425" ht="14.25" hidden="1" customHeight="1">
      <c r="A425" s="116" t="s">
        <v>1345</v>
      </c>
      <c r="B425" s="117" t="s">
        <v>1414</v>
      </c>
      <c r="C425" s="117" t="s">
        <v>1499</v>
      </c>
      <c r="D425" s="117" t="s">
        <v>1500</v>
      </c>
      <c r="E425" s="117" t="s">
        <v>1499</v>
      </c>
      <c r="F425" s="117" t="s">
        <v>1501</v>
      </c>
      <c r="G425" s="117" t="s">
        <v>472</v>
      </c>
      <c r="H425" s="117" t="s">
        <v>496</v>
      </c>
      <c r="I425" s="117">
        <v>1.0</v>
      </c>
      <c r="J425" s="117">
        <v>1.0</v>
      </c>
      <c r="K425" s="117" t="str">
        <f t="shared" si="1"/>
        <v>No</v>
      </c>
      <c r="L425" s="118" t="s">
        <v>116</v>
      </c>
      <c r="M425" s="119">
        <v>0.3333333333333333</v>
      </c>
      <c r="N425" s="120">
        <v>0.0</v>
      </c>
      <c r="O425" s="121"/>
      <c r="P425" s="117">
        <v>0.0</v>
      </c>
      <c r="Q425" s="117">
        <f t="shared" si="2"/>
        <v>0</v>
      </c>
      <c r="R425" s="122">
        <f>+(IF(((M425*24)-P425)&lt;0,0,((M425*24)-P425)*'Estimación de pérdidas'!$F$72))*N425</f>
        <v>0</v>
      </c>
      <c r="S425" s="123" t="s">
        <v>117</v>
      </c>
      <c r="T425" s="124" t="s">
        <v>119</v>
      </c>
      <c r="U425" s="124">
        <f t="shared" si="3"/>
        <v>1</v>
      </c>
      <c r="V425" s="124">
        <v>1.0</v>
      </c>
      <c r="W425" s="124"/>
      <c r="X425" s="125"/>
      <c r="Y425" s="126"/>
      <c r="Z425" s="125">
        <f t="shared" si="4"/>
        <v>1</v>
      </c>
      <c r="AA425" s="127" t="str">
        <f t="shared" si="5"/>
        <v>Bajo</v>
      </c>
      <c r="AB425" s="128">
        <f t="shared" si="6"/>
        <v>4</v>
      </c>
      <c r="AC425" s="129">
        <f t="shared" si="7"/>
        <v>0.07589466384</v>
      </c>
    </row>
    <row r="426" ht="14.25" hidden="1" customHeight="1">
      <c r="A426" s="116" t="s">
        <v>403</v>
      </c>
      <c r="B426" s="117" t="s">
        <v>1414</v>
      </c>
      <c r="C426" s="117" t="s">
        <v>1502</v>
      </c>
      <c r="D426" s="117" t="s">
        <v>1503</v>
      </c>
      <c r="E426" s="117" t="s">
        <v>526</v>
      </c>
      <c r="F426" s="117" t="s">
        <v>907</v>
      </c>
      <c r="G426" s="117" t="s">
        <v>408</v>
      </c>
      <c r="H426" s="117" t="s">
        <v>908</v>
      </c>
      <c r="I426" s="117">
        <v>1.0</v>
      </c>
      <c r="J426" s="117">
        <v>1.0</v>
      </c>
      <c r="K426" s="117" t="str">
        <f t="shared" si="1"/>
        <v>No</v>
      </c>
      <c r="L426" s="118" t="s">
        <v>116</v>
      </c>
      <c r="M426" s="119">
        <v>0.3333333333333333</v>
      </c>
      <c r="N426" s="120">
        <v>0.0</v>
      </c>
      <c r="O426" s="121"/>
      <c r="P426" s="117">
        <v>0.0</v>
      </c>
      <c r="Q426" s="117">
        <f t="shared" si="2"/>
        <v>0</v>
      </c>
      <c r="R426" s="122">
        <f>+(IF(((M426*24)-P426)&lt;0,0,((M426*24)-P426)*'Estimación de pérdidas'!$F$72))*N426</f>
        <v>0</v>
      </c>
      <c r="S426" s="123" t="s">
        <v>272</v>
      </c>
      <c r="T426" s="124" t="s">
        <v>106</v>
      </c>
      <c r="U426" s="124">
        <f t="shared" si="3"/>
        <v>1</v>
      </c>
      <c r="V426" s="124">
        <v>1.0</v>
      </c>
      <c r="W426" s="124">
        <v>4.0</v>
      </c>
      <c r="X426" s="125"/>
      <c r="Y426" s="126"/>
      <c r="Z426" s="125">
        <f t="shared" si="4"/>
        <v>4</v>
      </c>
      <c r="AA426" s="127" t="str">
        <f t="shared" si="5"/>
        <v>Alto</v>
      </c>
      <c r="AB426" s="128">
        <f t="shared" si="6"/>
        <v>22</v>
      </c>
      <c r="AC426" s="129">
        <f t="shared" si="7"/>
        <v>0.3035786554</v>
      </c>
      <c r="AD426" s="130"/>
    </row>
    <row r="427" ht="14.25" hidden="1" customHeight="1">
      <c r="A427" s="116" t="s">
        <v>1345</v>
      </c>
      <c r="B427" s="117" t="s">
        <v>1414</v>
      </c>
      <c r="C427" s="117" t="s">
        <v>1504</v>
      </c>
      <c r="D427" s="117" t="s">
        <v>1505</v>
      </c>
      <c r="E427" s="117" t="s">
        <v>1504</v>
      </c>
      <c r="F427" s="117" t="s">
        <v>1506</v>
      </c>
      <c r="G427" s="117" t="s">
        <v>531</v>
      </c>
      <c r="H427" s="117" t="s">
        <v>623</v>
      </c>
      <c r="I427" s="117">
        <v>1.0</v>
      </c>
      <c r="J427" s="117">
        <v>1.0</v>
      </c>
      <c r="K427" s="117" t="str">
        <f t="shared" si="1"/>
        <v>No</v>
      </c>
      <c r="L427" s="118" t="s">
        <v>116</v>
      </c>
      <c r="M427" s="119">
        <v>0.3333333333333333</v>
      </c>
      <c r="N427" s="120">
        <v>0.0</v>
      </c>
      <c r="O427" s="121">
        <v>91.32</v>
      </c>
      <c r="P427" s="117">
        <v>1.0</v>
      </c>
      <c r="Q427" s="117">
        <f t="shared" si="2"/>
        <v>0</v>
      </c>
      <c r="R427" s="122">
        <f>+(IF(((M427*24)-P427)&lt;0,0,((M427*24)-P427)*'Estimación de pérdidas'!$F$72))*N427</f>
        <v>0</v>
      </c>
      <c r="S427" s="123" t="s">
        <v>117</v>
      </c>
      <c r="T427" s="124" t="s">
        <v>118</v>
      </c>
      <c r="U427" s="124">
        <f t="shared" si="3"/>
        <v>1</v>
      </c>
      <c r="V427" s="124">
        <v>2.0</v>
      </c>
      <c r="W427" s="124"/>
      <c r="X427" s="125"/>
      <c r="Y427" s="126"/>
      <c r="Z427" s="125">
        <f t="shared" si="4"/>
        <v>2</v>
      </c>
      <c r="AA427" s="127" t="str">
        <f t="shared" si="5"/>
        <v>Bajo</v>
      </c>
      <c r="AB427" s="128">
        <f t="shared" si="6"/>
        <v>5</v>
      </c>
      <c r="AC427" s="129">
        <f t="shared" si="7"/>
        <v>0.08</v>
      </c>
    </row>
    <row r="428" ht="14.25" hidden="1" customHeight="1">
      <c r="A428" s="116" t="s">
        <v>1345</v>
      </c>
      <c r="B428" s="117" t="s">
        <v>1414</v>
      </c>
      <c r="C428" s="117" t="s">
        <v>1504</v>
      </c>
      <c r="D428" s="117" t="s">
        <v>1507</v>
      </c>
      <c r="E428" s="117" t="s">
        <v>1504</v>
      </c>
      <c r="F428" s="117" t="s">
        <v>1506</v>
      </c>
      <c r="G428" s="117" t="s">
        <v>531</v>
      </c>
      <c r="H428" s="117" t="s">
        <v>623</v>
      </c>
      <c r="I428" s="117">
        <v>1.0</v>
      </c>
      <c r="J428" s="117">
        <v>1.0</v>
      </c>
      <c r="K428" s="117" t="str">
        <f t="shared" si="1"/>
        <v>No</v>
      </c>
      <c r="L428" s="118" t="s">
        <v>116</v>
      </c>
      <c r="M428" s="119">
        <v>0.3333333333333333</v>
      </c>
      <c r="N428" s="120">
        <v>0.0</v>
      </c>
      <c r="O428" s="121">
        <v>91.32</v>
      </c>
      <c r="P428" s="117">
        <v>1.0</v>
      </c>
      <c r="Q428" s="117">
        <f t="shared" si="2"/>
        <v>0</v>
      </c>
      <c r="R428" s="122">
        <f>+(IF(((M428*24)-P428)&lt;0,0,((M428*24)-P428)*'Estimación de pérdidas'!$F$72))*N428</f>
        <v>0</v>
      </c>
      <c r="S428" s="123" t="s">
        <v>117</v>
      </c>
      <c r="T428" s="124" t="s">
        <v>118</v>
      </c>
      <c r="U428" s="124">
        <f t="shared" si="3"/>
        <v>1</v>
      </c>
      <c r="V428" s="124">
        <v>2.0</v>
      </c>
      <c r="W428" s="124"/>
      <c r="X428" s="125"/>
      <c r="Y428" s="126"/>
      <c r="Z428" s="125">
        <f t="shared" si="4"/>
        <v>2</v>
      </c>
      <c r="AA428" s="127" t="str">
        <f t="shared" si="5"/>
        <v>Bajo</v>
      </c>
      <c r="AB428" s="128">
        <f t="shared" si="6"/>
        <v>5</v>
      </c>
      <c r="AC428" s="129">
        <f t="shared" si="7"/>
        <v>0.08</v>
      </c>
    </row>
    <row r="429" ht="14.25" hidden="1" customHeight="1">
      <c r="A429" s="116" t="s">
        <v>1345</v>
      </c>
      <c r="B429" s="117" t="s">
        <v>1414</v>
      </c>
      <c r="C429" s="117" t="s">
        <v>1508</v>
      </c>
      <c r="D429" s="117" t="s">
        <v>1509</v>
      </c>
      <c r="E429" s="117" t="s">
        <v>1508</v>
      </c>
      <c r="F429" s="117" t="s">
        <v>1510</v>
      </c>
      <c r="G429" s="117" t="s">
        <v>531</v>
      </c>
      <c r="H429" s="117" t="s">
        <v>631</v>
      </c>
      <c r="I429" s="117">
        <v>1.0</v>
      </c>
      <c r="J429" s="117">
        <v>1.0</v>
      </c>
      <c r="K429" s="117" t="str">
        <f t="shared" si="1"/>
        <v>No</v>
      </c>
      <c r="L429" s="118" t="s">
        <v>116</v>
      </c>
      <c r="M429" s="119">
        <v>0.3333333333333333</v>
      </c>
      <c r="N429" s="120">
        <v>0.5</v>
      </c>
      <c r="O429" s="121">
        <v>91.32</v>
      </c>
      <c r="P429" s="117">
        <v>1.0</v>
      </c>
      <c r="Q429" s="117">
        <f t="shared" si="2"/>
        <v>3.5</v>
      </c>
      <c r="R429" s="122">
        <f>+(IF(((M429*24)-P429)&lt;0,0,((M429*24)-P429)*'Estimación de pérdidas'!$F$72))*N429</f>
        <v>201873.2622</v>
      </c>
      <c r="S429" s="123" t="s">
        <v>117</v>
      </c>
      <c r="T429" s="124" t="s">
        <v>118</v>
      </c>
      <c r="U429" s="124">
        <f t="shared" si="3"/>
        <v>3</v>
      </c>
      <c r="V429" s="124">
        <v>2.0</v>
      </c>
      <c r="W429" s="124"/>
      <c r="X429" s="125"/>
      <c r="Y429" s="126"/>
      <c r="Z429" s="125">
        <f t="shared" si="4"/>
        <v>3</v>
      </c>
      <c r="AA429" s="127" t="str">
        <f t="shared" si="5"/>
        <v>Moderado</v>
      </c>
      <c r="AB429" s="128">
        <f t="shared" si="6"/>
        <v>9</v>
      </c>
      <c r="AC429" s="129">
        <f t="shared" si="7"/>
        <v>0.128996124</v>
      </c>
      <c r="AD429" s="131"/>
    </row>
    <row r="430" ht="14.25" hidden="1" customHeight="1">
      <c r="A430" s="116" t="s">
        <v>1345</v>
      </c>
      <c r="B430" s="117" t="s">
        <v>1414</v>
      </c>
      <c r="C430" s="117" t="s">
        <v>1511</v>
      </c>
      <c r="D430" s="117" t="s">
        <v>1512</v>
      </c>
      <c r="E430" s="117" t="s">
        <v>1511</v>
      </c>
      <c r="F430" s="117" t="s">
        <v>1513</v>
      </c>
      <c r="G430" s="117" t="s">
        <v>211</v>
      </c>
      <c r="H430" s="117" t="s">
        <v>831</v>
      </c>
      <c r="I430" s="117">
        <v>1.0</v>
      </c>
      <c r="J430" s="117">
        <v>1.0</v>
      </c>
      <c r="K430" s="117" t="str">
        <f t="shared" si="1"/>
        <v>No</v>
      </c>
      <c r="L430" s="118" t="s">
        <v>116</v>
      </c>
      <c r="M430" s="119">
        <v>0.3333333333333333</v>
      </c>
      <c r="N430" s="120">
        <v>1.0</v>
      </c>
      <c r="O430" s="121">
        <v>91.32</v>
      </c>
      <c r="P430" s="117">
        <v>1.0</v>
      </c>
      <c r="Q430" s="117">
        <f t="shared" si="2"/>
        <v>7</v>
      </c>
      <c r="R430" s="122">
        <f>+(IF(((M430*24)-P430)&lt;0,0,((M430*24)-P430)*'Estimación de pérdidas'!$F$72))*N430</f>
        <v>403746.5244</v>
      </c>
      <c r="S430" s="123" t="s">
        <v>117</v>
      </c>
      <c r="T430" s="124" t="s">
        <v>132</v>
      </c>
      <c r="U430" s="124">
        <f t="shared" si="3"/>
        <v>3</v>
      </c>
      <c r="V430" s="124">
        <v>1.0</v>
      </c>
      <c r="W430" s="124"/>
      <c r="X430" s="125"/>
      <c r="Y430" s="126"/>
      <c r="Z430" s="125">
        <f t="shared" si="4"/>
        <v>3</v>
      </c>
      <c r="AA430" s="127" t="str">
        <f t="shared" si="5"/>
        <v>Bajo</v>
      </c>
      <c r="AB430" s="128">
        <f t="shared" si="6"/>
        <v>6</v>
      </c>
      <c r="AC430" s="129">
        <f t="shared" si="7"/>
        <v>0.05656854249</v>
      </c>
    </row>
    <row r="431" ht="14.25" hidden="1" customHeight="1">
      <c r="A431" s="116" t="s">
        <v>1514</v>
      </c>
      <c r="B431" s="117" t="s">
        <v>1514</v>
      </c>
      <c r="C431" s="117" t="s">
        <v>1515</v>
      </c>
      <c r="D431" s="117" t="s">
        <v>1516</v>
      </c>
      <c r="E431" s="117" t="s">
        <v>1515</v>
      </c>
      <c r="F431" s="117" t="s">
        <v>1517</v>
      </c>
      <c r="G431" s="117" t="s">
        <v>205</v>
      </c>
      <c r="H431" s="117" t="s">
        <v>491</v>
      </c>
      <c r="I431" s="117">
        <v>2.0</v>
      </c>
      <c r="J431" s="117">
        <v>1.0</v>
      </c>
      <c r="K431" s="117" t="str">
        <f t="shared" si="1"/>
        <v>Si</v>
      </c>
      <c r="L431" s="118" t="s">
        <v>287</v>
      </c>
      <c r="M431" s="119">
        <v>0.25</v>
      </c>
      <c r="N431" s="120">
        <v>0.0</v>
      </c>
      <c r="O431" s="121">
        <v>91.32</v>
      </c>
      <c r="P431" s="117">
        <v>1.0</v>
      </c>
      <c r="Q431" s="117">
        <f t="shared" si="2"/>
        <v>0</v>
      </c>
      <c r="R431" s="122">
        <f>+(IF(((M431*24)-P431)&lt;0,0,((M431*24)-P431)*'Estimación de pérdidas'!$F$72))*N431</f>
        <v>0</v>
      </c>
      <c r="S431" s="123" t="s">
        <v>117</v>
      </c>
      <c r="T431" s="124" t="s">
        <v>106</v>
      </c>
      <c r="U431" s="124">
        <f t="shared" si="3"/>
        <v>1</v>
      </c>
      <c r="V431" s="124">
        <v>2.0</v>
      </c>
      <c r="W431" s="124"/>
      <c r="X431" s="125"/>
      <c r="Y431" s="126"/>
      <c r="Z431" s="125">
        <f t="shared" si="4"/>
        <v>2</v>
      </c>
      <c r="AA431" s="127" t="str">
        <f t="shared" si="5"/>
        <v>Moderado</v>
      </c>
      <c r="AB431" s="128">
        <f t="shared" si="6"/>
        <v>12</v>
      </c>
      <c r="AC431" s="129">
        <f t="shared" si="7"/>
        <v>0.16</v>
      </c>
      <c r="AD431" s="131"/>
    </row>
    <row r="432" ht="14.25" hidden="1" customHeight="1">
      <c r="A432" s="116" t="s">
        <v>1514</v>
      </c>
      <c r="B432" s="117" t="s">
        <v>1514</v>
      </c>
      <c r="C432" s="117" t="s">
        <v>1515</v>
      </c>
      <c r="D432" s="117" t="s">
        <v>1518</v>
      </c>
      <c r="E432" s="117" t="s">
        <v>1515</v>
      </c>
      <c r="F432" s="117" t="s">
        <v>1517</v>
      </c>
      <c r="G432" s="117" t="s">
        <v>205</v>
      </c>
      <c r="H432" s="117" t="s">
        <v>491</v>
      </c>
      <c r="I432" s="117">
        <v>2.0</v>
      </c>
      <c r="J432" s="117">
        <v>1.0</v>
      </c>
      <c r="K432" s="117" t="str">
        <f t="shared" si="1"/>
        <v>Si</v>
      </c>
      <c r="L432" s="118" t="s">
        <v>287</v>
      </c>
      <c r="M432" s="119">
        <v>0.25</v>
      </c>
      <c r="N432" s="120">
        <v>0.0</v>
      </c>
      <c r="O432" s="121">
        <v>91.32</v>
      </c>
      <c r="P432" s="117">
        <v>1.0</v>
      </c>
      <c r="Q432" s="117">
        <f t="shared" si="2"/>
        <v>0</v>
      </c>
      <c r="R432" s="122">
        <f>+(IF(((M432*24)-P432)&lt;0,0,((M432*24)-P432)*'Estimación de pérdidas'!$F$72))*N432</f>
        <v>0</v>
      </c>
      <c r="S432" s="123" t="s">
        <v>117</v>
      </c>
      <c r="T432" s="124" t="s">
        <v>106</v>
      </c>
      <c r="U432" s="124">
        <f t="shared" si="3"/>
        <v>1</v>
      </c>
      <c r="V432" s="124">
        <v>2.0</v>
      </c>
      <c r="W432" s="124"/>
      <c r="X432" s="125"/>
      <c r="Y432" s="126"/>
      <c r="Z432" s="125">
        <f t="shared" si="4"/>
        <v>2</v>
      </c>
      <c r="AA432" s="127" t="str">
        <f t="shared" si="5"/>
        <v>Moderado</v>
      </c>
      <c r="AB432" s="128">
        <f t="shared" si="6"/>
        <v>12</v>
      </c>
      <c r="AC432" s="129">
        <f t="shared" si="7"/>
        <v>0.16</v>
      </c>
      <c r="AD432" s="131"/>
    </row>
    <row r="433" ht="14.25" hidden="1" customHeight="1">
      <c r="A433" s="116" t="s">
        <v>1514</v>
      </c>
      <c r="B433" s="117" t="s">
        <v>1514</v>
      </c>
      <c r="C433" s="117" t="s">
        <v>1389</v>
      </c>
      <c r="D433" s="117" t="s">
        <v>1519</v>
      </c>
      <c r="E433" s="117" t="s">
        <v>1389</v>
      </c>
      <c r="F433" s="117" t="s">
        <v>1520</v>
      </c>
      <c r="G433" s="117" t="s">
        <v>205</v>
      </c>
      <c r="H433" s="117" t="s">
        <v>491</v>
      </c>
      <c r="I433" s="117">
        <v>2.0</v>
      </c>
      <c r="J433" s="117">
        <v>1.0</v>
      </c>
      <c r="K433" s="117" t="str">
        <f t="shared" si="1"/>
        <v>Si</v>
      </c>
      <c r="L433" s="118" t="s">
        <v>287</v>
      </c>
      <c r="M433" s="119">
        <v>0.25</v>
      </c>
      <c r="N433" s="120">
        <v>0.0</v>
      </c>
      <c r="O433" s="121">
        <v>91.32</v>
      </c>
      <c r="P433" s="117">
        <v>1.0</v>
      </c>
      <c r="Q433" s="117">
        <f t="shared" si="2"/>
        <v>0</v>
      </c>
      <c r="R433" s="122">
        <f>+(IF(((M433*24)-P433)&lt;0,0,((M433*24)-P433)*'Estimación de pérdidas'!$F$72))*N433</f>
        <v>0</v>
      </c>
      <c r="S433" s="123" t="s">
        <v>117</v>
      </c>
      <c r="T433" s="124" t="s">
        <v>106</v>
      </c>
      <c r="U433" s="124">
        <f t="shared" si="3"/>
        <v>1</v>
      </c>
      <c r="V433" s="124">
        <v>2.0</v>
      </c>
      <c r="W433" s="124"/>
      <c r="X433" s="125"/>
      <c r="Y433" s="126"/>
      <c r="Z433" s="125">
        <f t="shared" si="4"/>
        <v>2</v>
      </c>
      <c r="AA433" s="127" t="str">
        <f t="shared" si="5"/>
        <v>Moderado</v>
      </c>
      <c r="AB433" s="128">
        <f t="shared" si="6"/>
        <v>12</v>
      </c>
      <c r="AC433" s="129">
        <f t="shared" si="7"/>
        <v>0.16</v>
      </c>
      <c r="AD433" s="131"/>
    </row>
    <row r="434" ht="14.25" hidden="1" customHeight="1">
      <c r="A434" s="116" t="s">
        <v>1514</v>
      </c>
      <c r="B434" s="117" t="s">
        <v>1514</v>
      </c>
      <c r="C434" s="117" t="s">
        <v>1389</v>
      </c>
      <c r="D434" s="117" t="s">
        <v>1521</v>
      </c>
      <c r="E434" s="117" t="s">
        <v>1389</v>
      </c>
      <c r="F434" s="117" t="s">
        <v>1522</v>
      </c>
      <c r="G434" s="117" t="s">
        <v>205</v>
      </c>
      <c r="H434" s="117" t="s">
        <v>491</v>
      </c>
      <c r="I434" s="117">
        <v>2.0</v>
      </c>
      <c r="J434" s="117">
        <v>1.0</v>
      </c>
      <c r="K434" s="117" t="str">
        <f t="shared" si="1"/>
        <v>Si</v>
      </c>
      <c r="L434" s="118" t="s">
        <v>287</v>
      </c>
      <c r="M434" s="119">
        <v>0.25</v>
      </c>
      <c r="N434" s="120">
        <v>0.0</v>
      </c>
      <c r="O434" s="121">
        <v>91.32</v>
      </c>
      <c r="P434" s="117">
        <v>1.0</v>
      </c>
      <c r="Q434" s="117">
        <f t="shared" si="2"/>
        <v>0</v>
      </c>
      <c r="R434" s="122">
        <f>+(IF(((M434*24)-P434)&lt;0,0,((M434*24)-P434)*'Estimación de pérdidas'!$F$72))*N434</f>
        <v>0</v>
      </c>
      <c r="S434" s="123" t="s">
        <v>117</v>
      </c>
      <c r="T434" s="124" t="s">
        <v>106</v>
      </c>
      <c r="U434" s="124">
        <f t="shared" si="3"/>
        <v>1</v>
      </c>
      <c r="V434" s="124">
        <v>2.0</v>
      </c>
      <c r="W434" s="124"/>
      <c r="X434" s="125"/>
      <c r="Y434" s="126"/>
      <c r="Z434" s="125">
        <f t="shared" si="4"/>
        <v>2</v>
      </c>
      <c r="AA434" s="127" t="str">
        <f t="shared" si="5"/>
        <v>Moderado</v>
      </c>
      <c r="AB434" s="128">
        <f t="shared" si="6"/>
        <v>12</v>
      </c>
      <c r="AC434" s="129">
        <f t="shared" si="7"/>
        <v>0.16</v>
      </c>
      <c r="AD434" s="131"/>
    </row>
    <row r="435" ht="14.25" hidden="1" customHeight="1">
      <c r="A435" s="116" t="s">
        <v>1514</v>
      </c>
      <c r="B435" s="117" t="s">
        <v>1514</v>
      </c>
      <c r="C435" s="117" t="s">
        <v>1523</v>
      </c>
      <c r="D435" s="117" t="s">
        <v>1524</v>
      </c>
      <c r="E435" s="117" t="s">
        <v>1525</v>
      </c>
      <c r="F435" s="117" t="s">
        <v>1526</v>
      </c>
      <c r="G435" s="117" t="s">
        <v>205</v>
      </c>
      <c r="H435" s="117" t="s">
        <v>491</v>
      </c>
      <c r="I435" s="117">
        <v>2.0</v>
      </c>
      <c r="J435" s="117">
        <v>1.0</v>
      </c>
      <c r="K435" s="117" t="str">
        <f t="shared" si="1"/>
        <v>Si</v>
      </c>
      <c r="L435" s="118" t="s">
        <v>287</v>
      </c>
      <c r="M435" s="119">
        <v>0.25</v>
      </c>
      <c r="N435" s="120">
        <v>0.0</v>
      </c>
      <c r="O435" s="121">
        <v>91.32</v>
      </c>
      <c r="P435" s="117">
        <v>1.0</v>
      </c>
      <c r="Q435" s="117">
        <f t="shared" si="2"/>
        <v>0</v>
      </c>
      <c r="R435" s="122">
        <f>+(IF(((M435*24)-P435)&lt;0,0,((M435*24)-P435)*'Estimación de pérdidas'!$F$72))*N435</f>
        <v>0</v>
      </c>
      <c r="S435" s="123" t="s">
        <v>117</v>
      </c>
      <c r="T435" s="124" t="s">
        <v>106</v>
      </c>
      <c r="U435" s="124">
        <f t="shared" si="3"/>
        <v>1</v>
      </c>
      <c r="V435" s="124">
        <v>2.0</v>
      </c>
      <c r="W435" s="124"/>
      <c r="X435" s="125"/>
      <c r="Y435" s="126"/>
      <c r="Z435" s="125">
        <f t="shared" si="4"/>
        <v>2</v>
      </c>
      <c r="AA435" s="127" t="str">
        <f t="shared" si="5"/>
        <v>Moderado</v>
      </c>
      <c r="AB435" s="128">
        <f t="shared" si="6"/>
        <v>12</v>
      </c>
      <c r="AC435" s="129">
        <f t="shared" si="7"/>
        <v>0.16</v>
      </c>
      <c r="AD435" s="131"/>
    </row>
    <row r="436" ht="14.25" hidden="1" customHeight="1">
      <c r="A436" s="116" t="s">
        <v>1514</v>
      </c>
      <c r="B436" s="117" t="s">
        <v>1514</v>
      </c>
      <c r="C436" s="117" t="s">
        <v>1523</v>
      </c>
      <c r="D436" s="117" t="s">
        <v>1527</v>
      </c>
      <c r="E436" s="117" t="s">
        <v>1525</v>
      </c>
      <c r="F436" s="117" t="s">
        <v>1526</v>
      </c>
      <c r="G436" s="117" t="s">
        <v>205</v>
      </c>
      <c r="H436" s="117" t="s">
        <v>491</v>
      </c>
      <c r="I436" s="117">
        <v>2.0</v>
      </c>
      <c r="J436" s="117">
        <v>1.0</v>
      </c>
      <c r="K436" s="117" t="str">
        <f t="shared" si="1"/>
        <v>Si</v>
      </c>
      <c r="L436" s="118" t="s">
        <v>287</v>
      </c>
      <c r="M436" s="119">
        <v>0.25</v>
      </c>
      <c r="N436" s="120">
        <v>0.0</v>
      </c>
      <c r="O436" s="121">
        <v>91.32</v>
      </c>
      <c r="P436" s="117">
        <v>1.0</v>
      </c>
      <c r="Q436" s="117">
        <f t="shared" si="2"/>
        <v>0</v>
      </c>
      <c r="R436" s="122">
        <f>+(IF(((M436*24)-P436)&lt;0,0,((M436*24)-P436)*'Estimación de pérdidas'!$F$72))*N436</f>
        <v>0</v>
      </c>
      <c r="S436" s="123" t="s">
        <v>117</v>
      </c>
      <c r="T436" s="124" t="s">
        <v>106</v>
      </c>
      <c r="U436" s="124">
        <f t="shared" si="3"/>
        <v>1</v>
      </c>
      <c r="V436" s="124">
        <v>2.0</v>
      </c>
      <c r="W436" s="124"/>
      <c r="X436" s="125"/>
      <c r="Y436" s="126"/>
      <c r="Z436" s="125">
        <f t="shared" si="4"/>
        <v>2</v>
      </c>
      <c r="AA436" s="127" t="str">
        <f t="shared" si="5"/>
        <v>Moderado</v>
      </c>
      <c r="AB436" s="128">
        <f t="shared" si="6"/>
        <v>12</v>
      </c>
      <c r="AC436" s="129">
        <f t="shared" si="7"/>
        <v>0.16</v>
      </c>
      <c r="AD436" s="131"/>
    </row>
    <row r="437" ht="14.25" hidden="1" customHeight="1">
      <c r="A437" s="116" t="s">
        <v>1514</v>
      </c>
      <c r="B437" s="117" t="s">
        <v>1514</v>
      </c>
      <c r="C437" s="117" t="s">
        <v>1468</v>
      </c>
      <c r="D437" s="117" t="s">
        <v>1528</v>
      </c>
      <c r="E437" s="117" t="s">
        <v>1468</v>
      </c>
      <c r="F437" s="117" t="s">
        <v>1529</v>
      </c>
      <c r="G437" s="117" t="s">
        <v>205</v>
      </c>
      <c r="H437" s="117" t="s">
        <v>491</v>
      </c>
      <c r="I437" s="117">
        <v>2.0</v>
      </c>
      <c r="J437" s="117">
        <v>1.0</v>
      </c>
      <c r="K437" s="117" t="str">
        <f t="shared" si="1"/>
        <v>Si</v>
      </c>
      <c r="L437" s="118" t="s">
        <v>287</v>
      </c>
      <c r="M437" s="119">
        <v>0.25</v>
      </c>
      <c r="N437" s="120">
        <v>0.0</v>
      </c>
      <c r="O437" s="121">
        <v>91.32</v>
      </c>
      <c r="P437" s="117">
        <v>1.0</v>
      </c>
      <c r="Q437" s="117">
        <f t="shared" si="2"/>
        <v>0</v>
      </c>
      <c r="R437" s="122">
        <f>+(IF(((M437*24)-P437)&lt;0,0,((M437*24)-P437)*'Estimación de pérdidas'!$F$72))*N437</f>
        <v>0</v>
      </c>
      <c r="S437" s="123" t="s">
        <v>117</v>
      </c>
      <c r="T437" s="124" t="s">
        <v>106</v>
      </c>
      <c r="U437" s="124">
        <f t="shared" si="3"/>
        <v>1</v>
      </c>
      <c r="V437" s="124">
        <v>2.0</v>
      </c>
      <c r="W437" s="124"/>
      <c r="X437" s="125"/>
      <c r="Y437" s="126"/>
      <c r="Z437" s="125">
        <f t="shared" si="4"/>
        <v>2</v>
      </c>
      <c r="AA437" s="127" t="str">
        <f t="shared" si="5"/>
        <v>Moderado</v>
      </c>
      <c r="AB437" s="128">
        <f t="shared" si="6"/>
        <v>12</v>
      </c>
      <c r="AC437" s="129">
        <f t="shared" si="7"/>
        <v>0.16</v>
      </c>
      <c r="AD437" s="131"/>
    </row>
    <row r="438" ht="14.25" hidden="1" customHeight="1">
      <c r="A438" s="116" t="s">
        <v>1514</v>
      </c>
      <c r="B438" s="117" t="s">
        <v>1514</v>
      </c>
      <c r="C438" s="117" t="s">
        <v>1468</v>
      </c>
      <c r="D438" s="117" t="s">
        <v>1530</v>
      </c>
      <c r="E438" s="117" t="s">
        <v>1468</v>
      </c>
      <c r="F438" s="117" t="s">
        <v>1529</v>
      </c>
      <c r="G438" s="117" t="s">
        <v>205</v>
      </c>
      <c r="H438" s="117" t="s">
        <v>491</v>
      </c>
      <c r="I438" s="117">
        <v>2.0</v>
      </c>
      <c r="J438" s="117">
        <v>1.0</v>
      </c>
      <c r="K438" s="117" t="str">
        <f t="shared" si="1"/>
        <v>Si</v>
      </c>
      <c r="L438" s="118" t="s">
        <v>287</v>
      </c>
      <c r="M438" s="119">
        <v>0.25</v>
      </c>
      <c r="N438" s="120">
        <v>0.0</v>
      </c>
      <c r="O438" s="121">
        <v>91.32</v>
      </c>
      <c r="P438" s="117">
        <v>1.0</v>
      </c>
      <c r="Q438" s="117">
        <f t="shared" si="2"/>
        <v>0</v>
      </c>
      <c r="R438" s="122">
        <f>+(IF(((M438*24)-P438)&lt;0,0,((M438*24)-P438)*'Estimación de pérdidas'!$F$72))*N438</f>
        <v>0</v>
      </c>
      <c r="S438" s="123" t="s">
        <v>117</v>
      </c>
      <c r="T438" s="124" t="s">
        <v>106</v>
      </c>
      <c r="U438" s="124">
        <f t="shared" si="3"/>
        <v>1</v>
      </c>
      <c r="V438" s="124">
        <v>2.0</v>
      </c>
      <c r="W438" s="124"/>
      <c r="X438" s="125"/>
      <c r="Y438" s="126"/>
      <c r="Z438" s="125">
        <f t="shared" si="4"/>
        <v>2</v>
      </c>
      <c r="AA438" s="127" t="str">
        <f t="shared" si="5"/>
        <v>Moderado</v>
      </c>
      <c r="AB438" s="128">
        <f t="shared" si="6"/>
        <v>12</v>
      </c>
      <c r="AC438" s="129">
        <f t="shared" si="7"/>
        <v>0.16</v>
      </c>
      <c r="AD438" s="131"/>
    </row>
    <row r="439" ht="14.25" hidden="1" customHeight="1">
      <c r="A439" s="116" t="s">
        <v>1514</v>
      </c>
      <c r="B439" s="117" t="s">
        <v>1514</v>
      </c>
      <c r="C439" s="117" t="s">
        <v>1411</v>
      </c>
      <c r="D439" s="117" t="s">
        <v>1531</v>
      </c>
      <c r="E439" s="117" t="s">
        <v>1411</v>
      </c>
      <c r="F439" s="117" t="s">
        <v>1532</v>
      </c>
      <c r="G439" s="117" t="s">
        <v>211</v>
      </c>
      <c r="H439" s="117" t="s">
        <v>831</v>
      </c>
      <c r="I439" s="117">
        <v>1.0</v>
      </c>
      <c r="J439" s="117">
        <v>1.0</v>
      </c>
      <c r="K439" s="117" t="str">
        <f t="shared" si="1"/>
        <v>No</v>
      </c>
      <c r="L439" s="118" t="s">
        <v>116</v>
      </c>
      <c r="M439" s="119">
        <v>1.0</v>
      </c>
      <c r="N439" s="120">
        <v>1.0</v>
      </c>
      <c r="O439" s="121">
        <v>91.32</v>
      </c>
      <c r="P439" s="117">
        <v>1.0</v>
      </c>
      <c r="Q439" s="117">
        <f t="shared" si="2"/>
        <v>23</v>
      </c>
      <c r="R439" s="122">
        <f>+(IF(((M439*24)-P439)&lt;0,0,((M439*24)-P439)*'Estimación de pérdidas'!$F$72))*N439</f>
        <v>1326595.723</v>
      </c>
      <c r="S439" s="123" t="s">
        <v>117</v>
      </c>
      <c r="T439" s="124" t="s">
        <v>132</v>
      </c>
      <c r="U439" s="124">
        <f t="shared" si="3"/>
        <v>5</v>
      </c>
      <c r="V439" s="124">
        <v>1.0</v>
      </c>
      <c r="W439" s="124"/>
      <c r="X439" s="125"/>
      <c r="Y439" s="126"/>
      <c r="Z439" s="125">
        <f t="shared" si="4"/>
        <v>5</v>
      </c>
      <c r="AA439" s="127" t="str">
        <f t="shared" si="5"/>
        <v>Moderado</v>
      </c>
      <c r="AB439" s="128">
        <f t="shared" si="6"/>
        <v>15</v>
      </c>
      <c r="AC439" s="129">
        <f t="shared" si="7"/>
        <v>0.09121403401</v>
      </c>
      <c r="AD439" s="131"/>
    </row>
    <row r="440" ht="14.25" hidden="1" customHeight="1">
      <c r="A440" s="116" t="s">
        <v>1514</v>
      </c>
      <c r="B440" s="117" t="s">
        <v>1514</v>
      </c>
      <c r="C440" s="117" t="s">
        <v>1533</v>
      </c>
      <c r="D440" s="117" t="s">
        <v>1534</v>
      </c>
      <c r="E440" s="117" t="s">
        <v>1533</v>
      </c>
      <c r="F440" s="117" t="s">
        <v>1535</v>
      </c>
      <c r="G440" s="117" t="s">
        <v>211</v>
      </c>
      <c r="H440" s="117" t="s">
        <v>831</v>
      </c>
      <c r="I440" s="117">
        <v>1.0</v>
      </c>
      <c r="J440" s="117">
        <v>1.0</v>
      </c>
      <c r="K440" s="117" t="str">
        <f t="shared" si="1"/>
        <v>No</v>
      </c>
      <c r="L440" s="118" t="s">
        <v>116</v>
      </c>
      <c r="M440" s="119">
        <v>1.0</v>
      </c>
      <c r="N440" s="120">
        <v>1.0</v>
      </c>
      <c r="O440" s="121">
        <v>91.32</v>
      </c>
      <c r="P440" s="117">
        <v>1.0</v>
      </c>
      <c r="Q440" s="117">
        <f t="shared" si="2"/>
        <v>23</v>
      </c>
      <c r="R440" s="122">
        <f>+(IF(((M440*24)-P440)&lt;0,0,((M440*24)-P440)*'Estimación de pérdidas'!$F$72))*N440</f>
        <v>1326595.723</v>
      </c>
      <c r="S440" s="123" t="s">
        <v>117</v>
      </c>
      <c r="T440" s="124" t="s">
        <v>132</v>
      </c>
      <c r="U440" s="124">
        <f t="shared" si="3"/>
        <v>5</v>
      </c>
      <c r="V440" s="124">
        <v>1.0</v>
      </c>
      <c r="W440" s="124"/>
      <c r="X440" s="125"/>
      <c r="Y440" s="126"/>
      <c r="Z440" s="125">
        <f t="shared" si="4"/>
        <v>5</v>
      </c>
      <c r="AA440" s="127" t="str">
        <f t="shared" si="5"/>
        <v>Moderado</v>
      </c>
      <c r="AB440" s="128">
        <f t="shared" si="6"/>
        <v>15</v>
      </c>
      <c r="AC440" s="129">
        <f t="shared" si="7"/>
        <v>0.09121403401</v>
      </c>
      <c r="AD440" s="131"/>
    </row>
    <row r="441" ht="14.25" hidden="1" customHeight="1">
      <c r="A441" s="116" t="s">
        <v>1514</v>
      </c>
      <c r="B441" s="117" t="s">
        <v>1514</v>
      </c>
      <c r="C441" s="117" t="s">
        <v>1536</v>
      </c>
      <c r="D441" s="117" t="s">
        <v>1537</v>
      </c>
      <c r="E441" s="117" t="s">
        <v>1536</v>
      </c>
      <c r="F441" s="117" t="s">
        <v>1538</v>
      </c>
      <c r="G441" s="117" t="s">
        <v>211</v>
      </c>
      <c r="H441" s="117" t="s">
        <v>831</v>
      </c>
      <c r="I441" s="117">
        <v>1.0</v>
      </c>
      <c r="J441" s="117">
        <v>1.0</v>
      </c>
      <c r="K441" s="117" t="str">
        <f t="shared" si="1"/>
        <v>No</v>
      </c>
      <c r="L441" s="118" t="s">
        <v>116</v>
      </c>
      <c r="M441" s="119">
        <v>0.5</v>
      </c>
      <c r="N441" s="120">
        <v>1.0</v>
      </c>
      <c r="O441" s="121">
        <v>91.32</v>
      </c>
      <c r="P441" s="117">
        <v>1.0</v>
      </c>
      <c r="Q441" s="117">
        <f t="shared" si="2"/>
        <v>11</v>
      </c>
      <c r="R441" s="122">
        <f>+(IF(((M441*24)-P441)&lt;0,0,((M441*24)-P441)*'Estimación de pérdidas'!$F$72))*N441</f>
        <v>634458.8241</v>
      </c>
      <c r="S441" s="123" t="s">
        <v>117</v>
      </c>
      <c r="T441" s="124" t="s">
        <v>132</v>
      </c>
      <c r="U441" s="124">
        <f t="shared" si="3"/>
        <v>4</v>
      </c>
      <c r="V441" s="124">
        <v>1.0</v>
      </c>
      <c r="W441" s="124"/>
      <c r="X441" s="125"/>
      <c r="Y441" s="126"/>
      <c r="Z441" s="125">
        <f t="shared" si="4"/>
        <v>4</v>
      </c>
      <c r="AA441" s="127" t="str">
        <f t="shared" si="5"/>
        <v>Moderado</v>
      </c>
      <c r="AB441" s="128">
        <f t="shared" si="6"/>
        <v>10</v>
      </c>
      <c r="AC441" s="129">
        <f t="shared" si="7"/>
        <v>0.07375635566</v>
      </c>
      <c r="AD441" s="130"/>
    </row>
    <row r="442" ht="14.25" hidden="1" customHeight="1">
      <c r="A442" s="116" t="s">
        <v>847</v>
      </c>
      <c r="B442" s="117" t="s">
        <v>1539</v>
      </c>
      <c r="C442" s="117" t="s">
        <v>1540</v>
      </c>
      <c r="D442" s="117" t="s">
        <v>1541</v>
      </c>
      <c r="E442" s="117" t="s">
        <v>1540</v>
      </c>
      <c r="F442" s="117" t="s">
        <v>1542</v>
      </c>
      <c r="G442" s="117" t="s">
        <v>188</v>
      </c>
      <c r="H442" s="117" t="s">
        <v>1543</v>
      </c>
      <c r="I442" s="117">
        <v>1.0</v>
      </c>
      <c r="J442" s="117">
        <v>1.0</v>
      </c>
      <c r="K442" s="117" t="str">
        <f t="shared" si="1"/>
        <v>No</v>
      </c>
      <c r="L442" s="118" t="s">
        <v>116</v>
      </c>
      <c r="M442" s="119">
        <v>0.5</v>
      </c>
      <c r="N442" s="120">
        <v>0.0</v>
      </c>
      <c r="O442" s="121"/>
      <c r="P442" s="117">
        <v>0.0</v>
      </c>
      <c r="Q442" s="117">
        <f t="shared" si="2"/>
        <v>0</v>
      </c>
      <c r="R442" s="122">
        <f>+(IF(((M442*24)-P442)&lt;0,0,((M442*24)-P442)*'Estimación de pérdidas'!$F$72))*N442</f>
        <v>0</v>
      </c>
      <c r="S442" s="123" t="s">
        <v>117</v>
      </c>
      <c r="T442" s="124" t="s">
        <v>119</v>
      </c>
      <c r="U442" s="124">
        <f t="shared" si="3"/>
        <v>1</v>
      </c>
      <c r="V442" s="124">
        <v>1.0</v>
      </c>
      <c r="W442" s="124"/>
      <c r="X442" s="125"/>
      <c r="Y442" s="126"/>
      <c r="Z442" s="125">
        <f t="shared" si="4"/>
        <v>1</v>
      </c>
      <c r="AA442" s="127" t="str">
        <f t="shared" si="5"/>
        <v>Bajo</v>
      </c>
      <c r="AB442" s="128">
        <f t="shared" si="6"/>
        <v>4</v>
      </c>
      <c r="AC442" s="129">
        <f t="shared" si="7"/>
        <v>0.07589466384</v>
      </c>
    </row>
    <row r="443" ht="14.25" hidden="1" customHeight="1">
      <c r="A443" s="116" t="s">
        <v>847</v>
      </c>
      <c r="B443" s="117" t="s">
        <v>1539</v>
      </c>
      <c r="C443" s="117" t="s">
        <v>1544</v>
      </c>
      <c r="D443" s="117" t="s">
        <v>1545</v>
      </c>
      <c r="E443" s="117" t="s">
        <v>1546</v>
      </c>
      <c r="F443" s="117" t="s">
        <v>1547</v>
      </c>
      <c r="G443" s="117" t="s">
        <v>197</v>
      </c>
      <c r="H443" s="117" t="s">
        <v>1548</v>
      </c>
      <c r="I443" s="117">
        <v>1.0</v>
      </c>
      <c r="J443" s="117">
        <v>1.0</v>
      </c>
      <c r="K443" s="117" t="str">
        <f t="shared" si="1"/>
        <v>No</v>
      </c>
      <c r="L443" s="118" t="s">
        <v>116</v>
      </c>
      <c r="M443" s="119">
        <v>0.25</v>
      </c>
      <c r="N443" s="120">
        <v>1.0</v>
      </c>
      <c r="O443" s="121">
        <v>91.32</v>
      </c>
      <c r="P443" s="117">
        <v>12.0</v>
      </c>
      <c r="Q443" s="117">
        <f t="shared" si="2"/>
        <v>0</v>
      </c>
      <c r="R443" s="122">
        <f>+(IF(((M443*24)-P443)&lt;0,0,((M443*24)-P443)*'Estimación de pérdidas'!$F$72))*N443</f>
        <v>0</v>
      </c>
      <c r="S443" s="123" t="s">
        <v>117</v>
      </c>
      <c r="T443" s="124" t="s">
        <v>118</v>
      </c>
      <c r="U443" s="124">
        <f t="shared" si="3"/>
        <v>1</v>
      </c>
      <c r="V443" s="124">
        <v>2.0</v>
      </c>
      <c r="W443" s="124"/>
      <c r="X443" s="125"/>
      <c r="Y443" s="126"/>
      <c r="Z443" s="125">
        <f t="shared" si="4"/>
        <v>2</v>
      </c>
      <c r="AA443" s="127" t="str">
        <f t="shared" si="5"/>
        <v>Bajo</v>
      </c>
      <c r="AB443" s="128">
        <f t="shared" si="6"/>
        <v>5</v>
      </c>
      <c r="AC443" s="129">
        <f t="shared" si="7"/>
        <v>0.08</v>
      </c>
    </row>
    <row r="444" ht="14.25" hidden="1" customHeight="1">
      <c r="A444" s="116" t="s">
        <v>847</v>
      </c>
      <c r="B444" s="117" t="s">
        <v>1539</v>
      </c>
      <c r="C444" s="117" t="s">
        <v>1549</v>
      </c>
      <c r="D444" s="117" t="s">
        <v>1550</v>
      </c>
      <c r="E444" s="117" t="s">
        <v>1551</v>
      </c>
      <c r="F444" s="117" t="s">
        <v>1552</v>
      </c>
      <c r="G444" s="117" t="s">
        <v>270</v>
      </c>
      <c r="H444" s="117" t="s">
        <v>1186</v>
      </c>
      <c r="I444" s="117">
        <v>1.0</v>
      </c>
      <c r="J444" s="117">
        <v>1.0</v>
      </c>
      <c r="K444" s="117" t="str">
        <f t="shared" si="1"/>
        <v>No</v>
      </c>
      <c r="L444" s="118" t="s">
        <v>116</v>
      </c>
      <c r="M444" s="119">
        <v>0.3333333333333333</v>
      </c>
      <c r="N444" s="120">
        <v>1.0</v>
      </c>
      <c r="O444" s="121">
        <v>91.32</v>
      </c>
      <c r="P444" s="117">
        <v>12.0</v>
      </c>
      <c r="Q444" s="117">
        <f t="shared" si="2"/>
        <v>0</v>
      </c>
      <c r="R444" s="122">
        <f>+(IF(((M444*24)-P444)&lt;0,0,((M444*24)-P444)*'Estimación de pérdidas'!$F$72))*N444</f>
        <v>0</v>
      </c>
      <c r="S444" s="123" t="s">
        <v>272</v>
      </c>
      <c r="T444" s="124" t="s">
        <v>119</v>
      </c>
      <c r="U444" s="124">
        <f t="shared" si="3"/>
        <v>1</v>
      </c>
      <c r="V444" s="124">
        <v>1.0</v>
      </c>
      <c r="W444" s="124"/>
      <c r="X444" s="125">
        <v>1.0</v>
      </c>
      <c r="Y444" s="126"/>
      <c r="Z444" s="125">
        <f t="shared" si="4"/>
        <v>1</v>
      </c>
      <c r="AA444" s="127" t="str">
        <f t="shared" si="5"/>
        <v>Bajo</v>
      </c>
      <c r="AB444" s="128">
        <f t="shared" si="6"/>
        <v>4</v>
      </c>
      <c r="AC444" s="129">
        <f t="shared" si="7"/>
        <v>0.09295160031</v>
      </c>
    </row>
    <row r="445" ht="14.25" hidden="1" customHeight="1">
      <c r="A445" s="116" t="s">
        <v>847</v>
      </c>
      <c r="B445" s="117" t="s">
        <v>1539</v>
      </c>
      <c r="C445" s="117" t="s">
        <v>1553</v>
      </c>
      <c r="D445" s="117" t="s">
        <v>1554</v>
      </c>
      <c r="E445" s="117" t="s">
        <v>1555</v>
      </c>
      <c r="F445" s="117" t="s">
        <v>1556</v>
      </c>
      <c r="G445" s="117" t="s">
        <v>270</v>
      </c>
      <c r="H445" s="117" t="s">
        <v>1186</v>
      </c>
      <c r="I445" s="117">
        <v>1.0</v>
      </c>
      <c r="J445" s="117">
        <v>1.0</v>
      </c>
      <c r="K445" s="117" t="str">
        <f t="shared" si="1"/>
        <v>No</v>
      </c>
      <c r="L445" s="118" t="s">
        <v>116</v>
      </c>
      <c r="M445" s="119">
        <v>0.3333333333333333</v>
      </c>
      <c r="N445" s="120">
        <v>1.0</v>
      </c>
      <c r="O445" s="121">
        <v>91.32</v>
      </c>
      <c r="P445" s="117">
        <v>12.0</v>
      </c>
      <c r="Q445" s="117">
        <f t="shared" si="2"/>
        <v>0</v>
      </c>
      <c r="R445" s="122">
        <f>+(IF(((M445*24)-P445)&lt;0,0,((M445*24)-P445)*'Estimación de pérdidas'!$F$72))*N445</f>
        <v>0</v>
      </c>
      <c r="S445" s="123" t="s">
        <v>272</v>
      </c>
      <c r="T445" s="124" t="s">
        <v>119</v>
      </c>
      <c r="U445" s="124">
        <f t="shared" si="3"/>
        <v>1</v>
      </c>
      <c r="V445" s="124">
        <v>1.0</v>
      </c>
      <c r="W445" s="124"/>
      <c r="X445" s="125">
        <v>1.0</v>
      </c>
      <c r="Y445" s="126"/>
      <c r="Z445" s="125">
        <f t="shared" si="4"/>
        <v>1</v>
      </c>
      <c r="AA445" s="127" t="str">
        <f t="shared" si="5"/>
        <v>Bajo</v>
      </c>
      <c r="AB445" s="128">
        <f t="shared" si="6"/>
        <v>4</v>
      </c>
      <c r="AC445" s="129">
        <f t="shared" si="7"/>
        <v>0.09295160031</v>
      </c>
    </row>
    <row r="446" ht="14.25" hidden="1" customHeight="1">
      <c r="A446" s="116" t="s">
        <v>847</v>
      </c>
      <c r="B446" s="117" t="s">
        <v>1539</v>
      </c>
      <c r="C446" s="117" t="s">
        <v>1557</v>
      </c>
      <c r="D446" s="117" t="s">
        <v>1558</v>
      </c>
      <c r="E446" s="117" t="s">
        <v>1557</v>
      </c>
      <c r="F446" s="117" t="s">
        <v>1559</v>
      </c>
      <c r="G446" s="117" t="s">
        <v>622</v>
      </c>
      <c r="H446" s="117" t="s">
        <v>623</v>
      </c>
      <c r="I446" s="117">
        <v>1.0</v>
      </c>
      <c r="J446" s="117">
        <v>1.0</v>
      </c>
      <c r="K446" s="117" t="str">
        <f t="shared" si="1"/>
        <v>No</v>
      </c>
      <c r="L446" s="118" t="s">
        <v>116</v>
      </c>
      <c r="M446" s="119">
        <v>0.25</v>
      </c>
      <c r="N446" s="120">
        <v>1.0</v>
      </c>
      <c r="O446" s="121">
        <v>91.32</v>
      </c>
      <c r="P446" s="117">
        <v>12.0</v>
      </c>
      <c r="Q446" s="117">
        <f t="shared" si="2"/>
        <v>0</v>
      </c>
      <c r="R446" s="122">
        <f>+(IF(((M446*24)-P446)&lt;0,0,((M446*24)-P446)*'Estimación de pérdidas'!$F$72))*N446</f>
        <v>0</v>
      </c>
      <c r="S446" s="123" t="s">
        <v>117</v>
      </c>
      <c r="T446" s="124" t="s">
        <v>119</v>
      </c>
      <c r="U446" s="124">
        <f t="shared" si="3"/>
        <v>1</v>
      </c>
      <c r="V446" s="124">
        <v>1.0</v>
      </c>
      <c r="W446" s="124"/>
      <c r="X446" s="125"/>
      <c r="Y446" s="126"/>
      <c r="Z446" s="125">
        <f t="shared" si="4"/>
        <v>1</v>
      </c>
      <c r="AA446" s="127" t="str">
        <f t="shared" si="5"/>
        <v>Bajo</v>
      </c>
      <c r="AB446" s="128">
        <f t="shared" si="6"/>
        <v>4</v>
      </c>
      <c r="AC446" s="129">
        <f t="shared" si="7"/>
        <v>0.07589466384</v>
      </c>
    </row>
    <row r="447" ht="14.25" hidden="1" customHeight="1">
      <c r="A447" s="116" t="s">
        <v>847</v>
      </c>
      <c r="B447" s="117" t="s">
        <v>1539</v>
      </c>
      <c r="C447" s="117" t="s">
        <v>1560</v>
      </c>
      <c r="D447" s="117" t="s">
        <v>1561</v>
      </c>
      <c r="E447" s="117" t="s">
        <v>1560</v>
      </c>
      <c r="F447" s="117" t="s">
        <v>1562</v>
      </c>
      <c r="G447" s="117" t="s">
        <v>205</v>
      </c>
      <c r="H447" s="117" t="s">
        <v>1563</v>
      </c>
      <c r="I447" s="117">
        <v>2.0</v>
      </c>
      <c r="J447" s="117">
        <v>1.0</v>
      </c>
      <c r="K447" s="117" t="str">
        <f t="shared" si="1"/>
        <v>Si</v>
      </c>
      <c r="L447" s="118" t="s">
        <v>287</v>
      </c>
      <c r="M447" s="119">
        <v>0.25</v>
      </c>
      <c r="N447" s="120">
        <v>0.0</v>
      </c>
      <c r="O447" s="121">
        <v>91.32</v>
      </c>
      <c r="P447" s="117">
        <v>1.0</v>
      </c>
      <c r="Q447" s="117">
        <f t="shared" si="2"/>
        <v>0</v>
      </c>
      <c r="R447" s="122">
        <f>+(IF(((M447*24)-P447)&lt;0,0,((M447*24)-P447)*'Estimación de pérdidas'!$F$72))*N447</f>
        <v>0</v>
      </c>
      <c r="S447" s="123" t="s">
        <v>117</v>
      </c>
      <c r="T447" s="124" t="s">
        <v>106</v>
      </c>
      <c r="U447" s="124">
        <f t="shared" si="3"/>
        <v>1</v>
      </c>
      <c r="V447" s="124">
        <v>1.0</v>
      </c>
      <c r="W447" s="124">
        <v>4.0</v>
      </c>
      <c r="X447" s="125"/>
      <c r="Y447" s="126"/>
      <c r="Z447" s="125">
        <f t="shared" si="4"/>
        <v>4</v>
      </c>
      <c r="AA447" s="127" t="str">
        <f t="shared" si="5"/>
        <v>Alto</v>
      </c>
      <c r="AB447" s="128">
        <f t="shared" si="6"/>
        <v>22</v>
      </c>
      <c r="AC447" s="129">
        <f t="shared" si="7"/>
        <v>0.3035786554</v>
      </c>
      <c r="AD447" s="130"/>
    </row>
    <row r="448" ht="14.25" hidden="1" customHeight="1">
      <c r="A448" s="116" t="s">
        <v>847</v>
      </c>
      <c r="B448" s="117" t="s">
        <v>1539</v>
      </c>
      <c r="C448" s="117" t="s">
        <v>1560</v>
      </c>
      <c r="D448" s="117" t="s">
        <v>1564</v>
      </c>
      <c r="E448" s="117" t="s">
        <v>1560</v>
      </c>
      <c r="F448" s="117" t="s">
        <v>1562</v>
      </c>
      <c r="G448" s="117" t="s">
        <v>205</v>
      </c>
      <c r="H448" s="117" t="s">
        <v>1563</v>
      </c>
      <c r="I448" s="117">
        <v>2.0</v>
      </c>
      <c r="J448" s="117">
        <v>1.0</v>
      </c>
      <c r="K448" s="117" t="str">
        <f t="shared" si="1"/>
        <v>Si</v>
      </c>
      <c r="L448" s="118" t="s">
        <v>287</v>
      </c>
      <c r="M448" s="119">
        <v>0.25</v>
      </c>
      <c r="N448" s="120">
        <v>0.0</v>
      </c>
      <c r="O448" s="121">
        <v>91.32</v>
      </c>
      <c r="P448" s="117">
        <v>1.0</v>
      </c>
      <c r="Q448" s="117">
        <f t="shared" si="2"/>
        <v>0</v>
      </c>
      <c r="R448" s="122">
        <f>+(IF(((M448*24)-P448)&lt;0,0,((M448*24)-P448)*'Estimación de pérdidas'!$F$72))*N448</f>
        <v>0</v>
      </c>
      <c r="S448" s="123" t="s">
        <v>117</v>
      </c>
      <c r="T448" s="124" t="s">
        <v>106</v>
      </c>
      <c r="U448" s="124">
        <f t="shared" si="3"/>
        <v>1</v>
      </c>
      <c r="V448" s="124">
        <v>1.0</v>
      </c>
      <c r="W448" s="124">
        <v>4.0</v>
      </c>
      <c r="X448" s="125"/>
      <c r="Y448" s="126"/>
      <c r="Z448" s="125">
        <f t="shared" si="4"/>
        <v>4</v>
      </c>
      <c r="AA448" s="127" t="str">
        <f t="shared" si="5"/>
        <v>Alto</v>
      </c>
      <c r="AB448" s="128">
        <f t="shared" si="6"/>
        <v>22</v>
      </c>
      <c r="AC448" s="129">
        <f t="shared" si="7"/>
        <v>0.3035786554</v>
      </c>
      <c r="AD448" s="130"/>
    </row>
    <row r="449" ht="14.25" hidden="1" customHeight="1">
      <c r="A449" s="116" t="s">
        <v>847</v>
      </c>
      <c r="B449" s="117" t="s">
        <v>1539</v>
      </c>
      <c r="C449" s="117" t="s">
        <v>1565</v>
      </c>
      <c r="D449" s="117" t="s">
        <v>1566</v>
      </c>
      <c r="E449" s="117" t="s">
        <v>1567</v>
      </c>
      <c r="F449" s="117" t="s">
        <v>1568</v>
      </c>
      <c r="G449" s="117" t="s">
        <v>205</v>
      </c>
      <c r="H449" s="117" t="s">
        <v>491</v>
      </c>
      <c r="I449" s="117">
        <v>1.0</v>
      </c>
      <c r="J449" s="117">
        <v>1.0</v>
      </c>
      <c r="K449" s="117" t="str">
        <f t="shared" si="1"/>
        <v>No</v>
      </c>
      <c r="L449" s="118" t="s">
        <v>116</v>
      </c>
      <c r="M449" s="119">
        <v>0.33</v>
      </c>
      <c r="N449" s="120">
        <v>0.0</v>
      </c>
      <c r="O449" s="121"/>
      <c r="P449" s="117">
        <v>0.0</v>
      </c>
      <c r="Q449" s="117">
        <f t="shared" si="2"/>
        <v>0</v>
      </c>
      <c r="R449" s="122">
        <f>+(IF(((M449*24)-P449)&lt;0,0,((M449*24)-P449)*'Estimación de pérdidas'!$F$72))*N449</f>
        <v>0</v>
      </c>
      <c r="S449" s="123" t="s">
        <v>117</v>
      </c>
      <c r="T449" s="124" t="s">
        <v>119</v>
      </c>
      <c r="U449" s="124">
        <f t="shared" si="3"/>
        <v>1</v>
      </c>
      <c r="V449" s="124">
        <v>1.0</v>
      </c>
      <c r="W449" s="124"/>
      <c r="X449" s="125"/>
      <c r="Y449" s="126"/>
      <c r="Z449" s="125">
        <f t="shared" si="4"/>
        <v>1</v>
      </c>
      <c r="AA449" s="127" t="str">
        <f t="shared" si="5"/>
        <v>Bajo</v>
      </c>
      <c r="AB449" s="128">
        <f t="shared" si="6"/>
        <v>4</v>
      </c>
      <c r="AC449" s="129">
        <f t="shared" si="7"/>
        <v>0.07589466384</v>
      </c>
    </row>
    <row r="450" ht="14.25" hidden="1" customHeight="1">
      <c r="A450" s="116" t="s">
        <v>847</v>
      </c>
      <c r="B450" s="117" t="s">
        <v>1539</v>
      </c>
      <c r="C450" s="117" t="s">
        <v>1569</v>
      </c>
      <c r="D450" s="117" t="s">
        <v>1570</v>
      </c>
      <c r="E450" s="117" t="s">
        <v>1571</v>
      </c>
      <c r="F450" s="117" t="s">
        <v>1572</v>
      </c>
      <c r="G450" s="117" t="s">
        <v>205</v>
      </c>
      <c r="H450" s="117" t="s">
        <v>491</v>
      </c>
      <c r="I450" s="117">
        <v>2.0</v>
      </c>
      <c r="J450" s="117">
        <v>1.0</v>
      </c>
      <c r="K450" s="117" t="str">
        <f t="shared" si="1"/>
        <v>Si</v>
      </c>
      <c r="L450" s="118" t="s">
        <v>287</v>
      </c>
      <c r="M450" s="119">
        <v>0.25</v>
      </c>
      <c r="N450" s="120">
        <v>0.0</v>
      </c>
      <c r="O450" s="121">
        <v>91.32</v>
      </c>
      <c r="P450" s="117">
        <v>1.0</v>
      </c>
      <c r="Q450" s="117">
        <f t="shared" si="2"/>
        <v>0</v>
      </c>
      <c r="R450" s="122">
        <f>+(IF(((M450*24)-P450)&lt;0,0,((M450*24)-P450)*'Estimación de pérdidas'!$F$72))*N450</f>
        <v>0</v>
      </c>
      <c r="S450" s="123" t="s">
        <v>117</v>
      </c>
      <c r="T450" s="124" t="s">
        <v>106</v>
      </c>
      <c r="U450" s="124">
        <f t="shared" si="3"/>
        <v>1</v>
      </c>
      <c r="V450" s="124">
        <v>1.0</v>
      </c>
      <c r="W450" s="124"/>
      <c r="X450" s="125"/>
      <c r="Y450" s="126"/>
      <c r="Z450" s="125">
        <f t="shared" si="4"/>
        <v>1</v>
      </c>
      <c r="AA450" s="127" t="str">
        <f t="shared" si="5"/>
        <v>Bajo</v>
      </c>
      <c r="AB450" s="128">
        <f t="shared" si="6"/>
        <v>7</v>
      </c>
      <c r="AC450" s="129">
        <f t="shared" si="7"/>
        <v>0.1011928851</v>
      </c>
    </row>
    <row r="451" ht="14.25" hidden="1" customHeight="1">
      <c r="A451" s="116" t="s">
        <v>847</v>
      </c>
      <c r="B451" s="117" t="s">
        <v>1539</v>
      </c>
      <c r="C451" s="117" t="s">
        <v>1569</v>
      </c>
      <c r="D451" s="117" t="s">
        <v>1573</v>
      </c>
      <c r="E451" s="117" t="s">
        <v>1571</v>
      </c>
      <c r="F451" s="117" t="s">
        <v>1572</v>
      </c>
      <c r="G451" s="117" t="s">
        <v>205</v>
      </c>
      <c r="H451" s="117" t="s">
        <v>491</v>
      </c>
      <c r="I451" s="117">
        <v>2.0</v>
      </c>
      <c r="J451" s="117">
        <v>1.0</v>
      </c>
      <c r="K451" s="117" t="str">
        <f t="shared" si="1"/>
        <v>Si</v>
      </c>
      <c r="L451" s="118" t="s">
        <v>287</v>
      </c>
      <c r="M451" s="119">
        <v>0.25</v>
      </c>
      <c r="N451" s="120">
        <v>0.0</v>
      </c>
      <c r="O451" s="121">
        <v>91.32</v>
      </c>
      <c r="P451" s="117">
        <v>1.0</v>
      </c>
      <c r="Q451" s="117">
        <f t="shared" si="2"/>
        <v>0</v>
      </c>
      <c r="R451" s="122">
        <f>+(IF(((M451*24)-P451)&lt;0,0,((M451*24)-P451)*'Estimación de pérdidas'!$F$72))*N451</f>
        <v>0</v>
      </c>
      <c r="S451" s="123" t="s">
        <v>117</v>
      </c>
      <c r="T451" s="124" t="s">
        <v>106</v>
      </c>
      <c r="U451" s="124">
        <f t="shared" si="3"/>
        <v>1</v>
      </c>
      <c r="V451" s="124">
        <v>1.0</v>
      </c>
      <c r="W451" s="124"/>
      <c r="X451" s="125"/>
      <c r="Y451" s="126"/>
      <c r="Z451" s="125">
        <f t="shared" si="4"/>
        <v>1</v>
      </c>
      <c r="AA451" s="127" t="str">
        <f t="shared" si="5"/>
        <v>Bajo</v>
      </c>
      <c r="AB451" s="128">
        <f t="shared" si="6"/>
        <v>7</v>
      </c>
      <c r="AC451" s="129">
        <f t="shared" si="7"/>
        <v>0.1011928851</v>
      </c>
    </row>
    <row r="452" ht="14.25" hidden="1" customHeight="1">
      <c r="A452" s="116" t="s">
        <v>847</v>
      </c>
      <c r="B452" s="117" t="s">
        <v>1539</v>
      </c>
      <c r="C452" s="117" t="s">
        <v>1574</v>
      </c>
      <c r="D452" s="117" t="s">
        <v>1575</v>
      </c>
      <c r="E452" s="117" t="s">
        <v>1576</v>
      </c>
      <c r="F452" s="117" t="s">
        <v>1577</v>
      </c>
      <c r="G452" s="117" t="s">
        <v>1578</v>
      </c>
      <c r="H452" s="117" t="s">
        <v>1118</v>
      </c>
      <c r="I452" s="117">
        <v>1.0</v>
      </c>
      <c r="J452" s="117">
        <v>1.0</v>
      </c>
      <c r="K452" s="117" t="str">
        <f t="shared" si="1"/>
        <v>No</v>
      </c>
      <c r="L452" s="118" t="s">
        <v>116</v>
      </c>
      <c r="M452" s="119">
        <v>0.25</v>
      </c>
      <c r="N452" s="120">
        <v>1.0</v>
      </c>
      <c r="O452" s="121">
        <v>47.64521739130434</v>
      </c>
      <c r="P452" s="117">
        <v>12.0</v>
      </c>
      <c r="Q452" s="117">
        <f t="shared" si="2"/>
        <v>0</v>
      </c>
      <c r="R452" s="122">
        <f>+(IF(((M452*24)-P452)&lt;0,0,((M452*24)-P452)*'Estimación de pérdidas'!$F$72))*N452</f>
        <v>0</v>
      </c>
      <c r="S452" s="123" t="s">
        <v>117</v>
      </c>
      <c r="T452" s="124" t="s">
        <v>106</v>
      </c>
      <c r="U452" s="124">
        <f t="shared" si="3"/>
        <v>1</v>
      </c>
      <c r="V452" s="124">
        <v>1.0</v>
      </c>
      <c r="W452" s="124"/>
      <c r="X452" s="125"/>
      <c r="Y452" s="126"/>
      <c r="Z452" s="125">
        <f t="shared" si="4"/>
        <v>1</v>
      </c>
      <c r="AA452" s="127" t="str">
        <f t="shared" si="5"/>
        <v>Bajo</v>
      </c>
      <c r="AB452" s="128">
        <f t="shared" si="6"/>
        <v>7</v>
      </c>
      <c r="AC452" s="129">
        <f t="shared" si="7"/>
        <v>0.1011928851</v>
      </c>
    </row>
    <row r="453" ht="14.25" hidden="1" customHeight="1">
      <c r="A453" s="116" t="s">
        <v>847</v>
      </c>
      <c r="B453" s="117" t="s">
        <v>1539</v>
      </c>
      <c r="C453" s="117" t="s">
        <v>1579</v>
      </c>
      <c r="D453" s="117" t="s">
        <v>1580</v>
      </c>
      <c r="E453" s="117" t="s">
        <v>1581</v>
      </c>
      <c r="F453" s="117" t="s">
        <v>1582</v>
      </c>
      <c r="G453" s="117" t="s">
        <v>1583</v>
      </c>
      <c r="H453" s="117" t="s">
        <v>1584</v>
      </c>
      <c r="I453" s="117">
        <v>1.0</v>
      </c>
      <c r="J453" s="117">
        <v>1.0</v>
      </c>
      <c r="K453" s="117" t="str">
        <f t="shared" si="1"/>
        <v>No</v>
      </c>
      <c r="L453" s="118" t="s">
        <v>116</v>
      </c>
      <c r="M453" s="119">
        <v>0.25</v>
      </c>
      <c r="N453" s="120">
        <v>1.0</v>
      </c>
      <c r="O453" s="121">
        <v>45.50041666666667</v>
      </c>
      <c r="P453" s="117">
        <v>12.0</v>
      </c>
      <c r="Q453" s="117">
        <f t="shared" si="2"/>
        <v>0</v>
      </c>
      <c r="R453" s="122">
        <f>+(IF(((M453*24)-P453)&lt;0,0,((M453*24)-P453)*'Estimación de pérdidas'!$F$72))*N453</f>
        <v>0</v>
      </c>
      <c r="S453" s="123" t="s">
        <v>117</v>
      </c>
      <c r="T453" s="124" t="s">
        <v>132</v>
      </c>
      <c r="U453" s="124">
        <f t="shared" si="3"/>
        <v>1</v>
      </c>
      <c r="V453" s="124">
        <v>1.0</v>
      </c>
      <c r="W453" s="124"/>
      <c r="X453" s="125"/>
      <c r="Y453" s="126"/>
      <c r="Z453" s="125">
        <f t="shared" si="4"/>
        <v>1</v>
      </c>
      <c r="AA453" s="127" t="str">
        <f t="shared" si="5"/>
        <v>Bajo</v>
      </c>
      <c r="AB453" s="128">
        <f t="shared" si="6"/>
        <v>1</v>
      </c>
      <c r="AC453" s="129">
        <f t="shared" si="7"/>
        <v>0.02529822128</v>
      </c>
    </row>
    <row r="454" ht="14.25" hidden="1" customHeight="1">
      <c r="A454" s="116" t="s">
        <v>403</v>
      </c>
      <c r="B454" s="117" t="s">
        <v>1539</v>
      </c>
      <c r="C454" s="117" t="s">
        <v>1585</v>
      </c>
      <c r="D454" s="117" t="s">
        <v>1586</v>
      </c>
      <c r="E454" s="117" t="s">
        <v>526</v>
      </c>
      <c r="F454" s="117" t="s">
        <v>907</v>
      </c>
      <c r="G454" s="117" t="s">
        <v>408</v>
      </c>
      <c r="H454" s="117" t="s">
        <v>908</v>
      </c>
      <c r="I454" s="117">
        <v>1.0</v>
      </c>
      <c r="J454" s="117">
        <v>1.0</v>
      </c>
      <c r="K454" s="117" t="str">
        <f t="shared" si="1"/>
        <v>No</v>
      </c>
      <c r="L454" s="118" t="s">
        <v>116</v>
      </c>
      <c r="M454" s="119">
        <v>0.3333333333333333</v>
      </c>
      <c r="N454" s="120">
        <v>0.0</v>
      </c>
      <c r="O454" s="121"/>
      <c r="P454" s="117">
        <v>0.0</v>
      </c>
      <c r="Q454" s="117">
        <f t="shared" si="2"/>
        <v>0</v>
      </c>
      <c r="R454" s="122">
        <f>+(IF(((M454*24)-P454)&lt;0,0,((M454*24)-P454)*'Estimación de pérdidas'!$F$72))*N454</f>
        <v>0</v>
      </c>
      <c r="S454" s="123" t="s">
        <v>272</v>
      </c>
      <c r="T454" s="124" t="s">
        <v>106</v>
      </c>
      <c r="U454" s="124">
        <f t="shared" si="3"/>
        <v>1</v>
      </c>
      <c r="V454" s="124">
        <v>1.0</v>
      </c>
      <c r="W454" s="124">
        <v>4.0</v>
      </c>
      <c r="X454" s="125"/>
      <c r="Y454" s="126"/>
      <c r="Z454" s="125">
        <f t="shared" si="4"/>
        <v>4</v>
      </c>
      <c r="AA454" s="127" t="str">
        <f t="shared" si="5"/>
        <v>Alto</v>
      </c>
      <c r="AB454" s="128">
        <f t="shared" si="6"/>
        <v>22</v>
      </c>
      <c r="AC454" s="129">
        <f t="shared" si="7"/>
        <v>0.3035786554</v>
      </c>
      <c r="AD454" s="130"/>
    </row>
    <row r="455" ht="14.25" hidden="1" customHeight="1">
      <c r="A455" s="116" t="s">
        <v>403</v>
      </c>
      <c r="B455" s="117" t="s">
        <v>1539</v>
      </c>
      <c r="C455" s="117" t="s">
        <v>1585</v>
      </c>
      <c r="D455" s="117" t="s">
        <v>1587</v>
      </c>
      <c r="E455" s="117" t="s">
        <v>526</v>
      </c>
      <c r="F455" s="117" t="s">
        <v>907</v>
      </c>
      <c r="G455" s="117" t="s">
        <v>408</v>
      </c>
      <c r="H455" s="117" t="s">
        <v>908</v>
      </c>
      <c r="I455" s="117">
        <v>1.0</v>
      </c>
      <c r="J455" s="117">
        <v>1.0</v>
      </c>
      <c r="K455" s="117" t="str">
        <f t="shared" si="1"/>
        <v>No</v>
      </c>
      <c r="L455" s="118" t="s">
        <v>116</v>
      </c>
      <c r="M455" s="119">
        <v>0.3333333333333333</v>
      </c>
      <c r="N455" s="120">
        <v>0.0</v>
      </c>
      <c r="O455" s="121"/>
      <c r="P455" s="117">
        <v>0.0</v>
      </c>
      <c r="Q455" s="117">
        <f t="shared" si="2"/>
        <v>0</v>
      </c>
      <c r="R455" s="122">
        <f>+(IF(((M455*24)-P455)&lt;0,0,((M455*24)-P455)*'Estimación de pérdidas'!$F$72))*N455</f>
        <v>0</v>
      </c>
      <c r="S455" s="123" t="s">
        <v>272</v>
      </c>
      <c r="T455" s="124" t="s">
        <v>106</v>
      </c>
      <c r="U455" s="124">
        <f t="shared" si="3"/>
        <v>1</v>
      </c>
      <c r="V455" s="124">
        <v>1.0</v>
      </c>
      <c r="W455" s="124">
        <v>4.0</v>
      </c>
      <c r="X455" s="125"/>
      <c r="Y455" s="126"/>
      <c r="Z455" s="125">
        <f t="shared" si="4"/>
        <v>4</v>
      </c>
      <c r="AA455" s="127" t="str">
        <f t="shared" si="5"/>
        <v>Alto</v>
      </c>
      <c r="AB455" s="128">
        <f t="shared" si="6"/>
        <v>22</v>
      </c>
      <c r="AC455" s="129">
        <f t="shared" si="7"/>
        <v>0.3035786554</v>
      </c>
      <c r="AD455" s="130"/>
    </row>
    <row r="456" ht="14.25" hidden="1" customHeight="1">
      <c r="A456" s="116" t="s">
        <v>847</v>
      </c>
      <c r="B456" s="117" t="s">
        <v>1539</v>
      </c>
      <c r="C456" s="117" t="s">
        <v>1588</v>
      </c>
      <c r="D456" s="117" t="s">
        <v>1589</v>
      </c>
      <c r="E456" s="117" t="s">
        <v>1590</v>
      </c>
      <c r="F456" s="117" t="s">
        <v>1591</v>
      </c>
      <c r="G456" s="117" t="s">
        <v>531</v>
      </c>
      <c r="H456" s="117" t="s">
        <v>532</v>
      </c>
      <c r="I456" s="117">
        <v>1.0</v>
      </c>
      <c r="J456" s="117">
        <v>1.0</v>
      </c>
      <c r="K456" s="117" t="str">
        <f t="shared" si="1"/>
        <v>No</v>
      </c>
      <c r="L456" s="118" t="s">
        <v>116</v>
      </c>
      <c r="M456" s="119">
        <v>0.75</v>
      </c>
      <c r="N456" s="120">
        <v>0.5</v>
      </c>
      <c r="O456" s="121">
        <v>91.32</v>
      </c>
      <c r="P456" s="117">
        <v>1.0</v>
      </c>
      <c r="Q456" s="117">
        <f t="shared" si="2"/>
        <v>8.5</v>
      </c>
      <c r="R456" s="122">
        <f>+(IF(((M456*24)-P456)&lt;0,0,((M456*24)-P456)*'Estimación de pérdidas'!$F$72))*N456</f>
        <v>490263.6368</v>
      </c>
      <c r="S456" s="123" t="s">
        <v>272</v>
      </c>
      <c r="T456" s="124" t="s">
        <v>118</v>
      </c>
      <c r="U456" s="124">
        <f t="shared" si="3"/>
        <v>3</v>
      </c>
      <c r="V456" s="124">
        <v>1.0</v>
      </c>
      <c r="W456" s="124"/>
      <c r="X456" s="125">
        <v>2.0</v>
      </c>
      <c r="Y456" s="126"/>
      <c r="Z456" s="125">
        <f t="shared" si="4"/>
        <v>3</v>
      </c>
      <c r="AA456" s="127" t="str">
        <f t="shared" si="5"/>
        <v>Moderado</v>
      </c>
      <c r="AB456" s="128">
        <f t="shared" si="6"/>
        <v>9</v>
      </c>
      <c r="AC456" s="129">
        <f t="shared" si="7"/>
        <v>0.1338656042</v>
      </c>
      <c r="AD456" s="131"/>
    </row>
    <row r="457" ht="14.25" hidden="1" customHeight="1">
      <c r="A457" s="116" t="s">
        <v>847</v>
      </c>
      <c r="B457" s="117" t="s">
        <v>1539</v>
      </c>
      <c r="C457" s="117" t="s">
        <v>1588</v>
      </c>
      <c r="D457" s="117" t="s">
        <v>1592</v>
      </c>
      <c r="E457" s="117" t="s">
        <v>1590</v>
      </c>
      <c r="F457" s="117" t="s">
        <v>1591</v>
      </c>
      <c r="G457" s="117" t="s">
        <v>531</v>
      </c>
      <c r="H457" s="117" t="s">
        <v>532</v>
      </c>
      <c r="I457" s="117">
        <v>1.0</v>
      </c>
      <c r="J457" s="117">
        <v>1.0</v>
      </c>
      <c r="K457" s="117" t="str">
        <f t="shared" si="1"/>
        <v>No</v>
      </c>
      <c r="L457" s="118" t="s">
        <v>116</v>
      </c>
      <c r="M457" s="119">
        <v>0.75</v>
      </c>
      <c r="N457" s="120">
        <v>0.5</v>
      </c>
      <c r="O457" s="121">
        <v>91.32</v>
      </c>
      <c r="P457" s="117">
        <v>1.0</v>
      </c>
      <c r="Q457" s="117">
        <f t="shared" si="2"/>
        <v>8.5</v>
      </c>
      <c r="R457" s="122">
        <f>+(IF(((M457*24)-P457)&lt;0,0,((M457*24)-P457)*'Estimación de pérdidas'!$F$72))*N457</f>
        <v>490263.6368</v>
      </c>
      <c r="S457" s="123" t="s">
        <v>272</v>
      </c>
      <c r="T457" s="124" t="s">
        <v>118</v>
      </c>
      <c r="U457" s="124">
        <f t="shared" si="3"/>
        <v>3</v>
      </c>
      <c r="V457" s="124">
        <v>1.0</v>
      </c>
      <c r="W457" s="124"/>
      <c r="X457" s="125">
        <v>2.0</v>
      </c>
      <c r="Y457" s="126"/>
      <c r="Z457" s="125">
        <f t="shared" si="4"/>
        <v>3</v>
      </c>
      <c r="AA457" s="127" t="str">
        <f t="shared" si="5"/>
        <v>Moderado</v>
      </c>
      <c r="AB457" s="128">
        <f t="shared" si="6"/>
        <v>9</v>
      </c>
      <c r="AC457" s="129">
        <f t="shared" si="7"/>
        <v>0.1338656042</v>
      </c>
      <c r="AD457" s="131"/>
    </row>
    <row r="458" ht="14.25" hidden="1" customHeight="1">
      <c r="A458" s="116" t="s">
        <v>847</v>
      </c>
      <c r="B458" s="117" t="s">
        <v>1539</v>
      </c>
      <c r="C458" s="117" t="s">
        <v>1593</v>
      </c>
      <c r="D458" s="117" t="s">
        <v>1594</v>
      </c>
      <c r="E458" s="117" t="s">
        <v>1595</v>
      </c>
      <c r="F458" s="117" t="s">
        <v>1596</v>
      </c>
      <c r="G458" s="117" t="s">
        <v>531</v>
      </c>
      <c r="H458" s="117" t="s">
        <v>773</v>
      </c>
      <c r="I458" s="117">
        <v>1.0</v>
      </c>
      <c r="J458" s="117">
        <v>1.0</v>
      </c>
      <c r="K458" s="117" t="str">
        <f t="shared" si="1"/>
        <v>No</v>
      </c>
      <c r="L458" s="118" t="s">
        <v>116</v>
      </c>
      <c r="M458" s="119">
        <v>0.3333333333333333</v>
      </c>
      <c r="N458" s="120">
        <v>1.0</v>
      </c>
      <c r="O458" s="121">
        <v>91.32</v>
      </c>
      <c r="P458" s="117">
        <v>12.0</v>
      </c>
      <c r="Q458" s="117">
        <f t="shared" si="2"/>
        <v>0</v>
      </c>
      <c r="R458" s="122">
        <f>+(IF(((M458*24)-P458)&lt;0,0,((M458*24)-P458)*'Estimación de pérdidas'!$F$72))*N458</f>
        <v>0</v>
      </c>
      <c r="S458" s="123" t="s">
        <v>272</v>
      </c>
      <c r="T458" s="124" t="s">
        <v>132</v>
      </c>
      <c r="U458" s="124">
        <f t="shared" si="3"/>
        <v>1</v>
      </c>
      <c r="V458" s="124">
        <v>1.0</v>
      </c>
      <c r="W458" s="124"/>
      <c r="X458" s="125">
        <v>2.0</v>
      </c>
      <c r="Y458" s="126"/>
      <c r="Z458" s="125">
        <f t="shared" si="4"/>
        <v>2</v>
      </c>
      <c r="AA458" s="127" t="str">
        <f t="shared" si="5"/>
        <v>Bajo</v>
      </c>
      <c r="AB458" s="128">
        <f t="shared" si="6"/>
        <v>3</v>
      </c>
      <c r="AC458" s="129">
        <f t="shared" si="7"/>
        <v>0.0438178046</v>
      </c>
    </row>
    <row r="459" ht="14.25" hidden="1" customHeight="1">
      <c r="A459" s="116" t="s">
        <v>847</v>
      </c>
      <c r="B459" s="117" t="s">
        <v>1539</v>
      </c>
      <c r="C459" s="117" t="s">
        <v>1597</v>
      </c>
      <c r="D459" s="117" t="s">
        <v>1598</v>
      </c>
      <c r="E459" s="117" t="s">
        <v>1597</v>
      </c>
      <c r="F459" s="117" t="s">
        <v>1599</v>
      </c>
      <c r="G459" s="117" t="s">
        <v>1600</v>
      </c>
      <c r="H459" s="117" t="s">
        <v>1601</v>
      </c>
      <c r="I459" s="117">
        <v>1.0</v>
      </c>
      <c r="J459" s="117">
        <v>1.0</v>
      </c>
      <c r="K459" s="117" t="str">
        <f t="shared" si="1"/>
        <v>No</v>
      </c>
      <c r="L459" s="118" t="s">
        <v>116</v>
      </c>
      <c r="M459" s="119">
        <v>0.5</v>
      </c>
      <c r="N459" s="120">
        <v>1.0</v>
      </c>
      <c r="O459" s="121">
        <v>91.32</v>
      </c>
      <c r="P459" s="117">
        <v>12.0</v>
      </c>
      <c r="Q459" s="117">
        <f t="shared" si="2"/>
        <v>0</v>
      </c>
      <c r="R459" s="122">
        <f>+(IF(((M459*24)-P459)&lt;0,0,((M459*24)-P459)*'Estimación de pérdidas'!$F$72))*N459</f>
        <v>0</v>
      </c>
      <c r="S459" s="123" t="s">
        <v>272</v>
      </c>
      <c r="T459" s="124" t="s">
        <v>119</v>
      </c>
      <c r="U459" s="124">
        <f t="shared" si="3"/>
        <v>1</v>
      </c>
      <c r="V459" s="124">
        <v>1.0</v>
      </c>
      <c r="W459" s="124"/>
      <c r="X459" s="125">
        <v>2.0</v>
      </c>
      <c r="Y459" s="126"/>
      <c r="Z459" s="125">
        <f t="shared" si="4"/>
        <v>2</v>
      </c>
      <c r="AA459" s="127" t="str">
        <f t="shared" si="5"/>
        <v>Moderado</v>
      </c>
      <c r="AB459" s="128">
        <f t="shared" si="6"/>
        <v>8</v>
      </c>
      <c r="AC459" s="129">
        <f t="shared" si="7"/>
        <v>0.1314534138</v>
      </c>
      <c r="AD459" s="131"/>
    </row>
    <row r="460" ht="14.25" hidden="1" customHeight="1">
      <c r="A460" s="116" t="s">
        <v>847</v>
      </c>
      <c r="B460" s="117" t="s">
        <v>1602</v>
      </c>
      <c r="C460" s="117" t="s">
        <v>1603</v>
      </c>
      <c r="D460" s="117" t="s">
        <v>1604</v>
      </c>
      <c r="E460" s="117" t="s">
        <v>1605</v>
      </c>
      <c r="F460" s="117" t="s">
        <v>1606</v>
      </c>
      <c r="G460" s="117" t="s">
        <v>188</v>
      </c>
      <c r="H460" s="117" t="s">
        <v>1607</v>
      </c>
      <c r="I460" s="117">
        <v>1.0</v>
      </c>
      <c r="J460" s="117">
        <v>1.0</v>
      </c>
      <c r="K460" s="117" t="str">
        <f t="shared" si="1"/>
        <v>No</v>
      </c>
      <c r="L460" s="118" t="s">
        <v>116</v>
      </c>
      <c r="M460" s="119">
        <v>0.5</v>
      </c>
      <c r="N460" s="120">
        <v>1.0</v>
      </c>
      <c r="O460" s="121">
        <v>25.0</v>
      </c>
      <c r="P460" s="117">
        <v>18.0</v>
      </c>
      <c r="Q460" s="117">
        <f t="shared" si="2"/>
        <v>0</v>
      </c>
      <c r="R460" s="122">
        <f>+(IF(((M460*24)-P460)&lt;0,0,((M460*24)-P460)*'Estimación de pérdidas'!$F$72))*N460</f>
        <v>0</v>
      </c>
      <c r="S460" s="123" t="s">
        <v>117</v>
      </c>
      <c r="T460" s="124" t="s">
        <v>118</v>
      </c>
      <c r="U460" s="124">
        <f t="shared" si="3"/>
        <v>1</v>
      </c>
      <c r="V460" s="124">
        <v>2.0</v>
      </c>
      <c r="W460" s="124">
        <v>4.0</v>
      </c>
      <c r="X460" s="125"/>
      <c r="Y460" s="126"/>
      <c r="Z460" s="125">
        <f t="shared" si="4"/>
        <v>4</v>
      </c>
      <c r="AA460" s="127" t="str">
        <f t="shared" si="5"/>
        <v>Moderado</v>
      </c>
      <c r="AB460" s="128">
        <f t="shared" si="6"/>
        <v>14</v>
      </c>
      <c r="AC460" s="129">
        <f t="shared" si="7"/>
        <v>0.1639512123</v>
      </c>
      <c r="AD460" s="130"/>
    </row>
    <row r="461" ht="14.25" hidden="1" customHeight="1">
      <c r="A461" s="116" t="s">
        <v>847</v>
      </c>
      <c r="B461" s="117" t="s">
        <v>1602</v>
      </c>
      <c r="C461" s="117" t="s">
        <v>1608</v>
      </c>
      <c r="D461" s="117" t="s">
        <v>1609</v>
      </c>
      <c r="E461" s="117" t="s">
        <v>1608</v>
      </c>
      <c r="F461" s="117" t="s">
        <v>1610</v>
      </c>
      <c r="G461" s="117" t="s">
        <v>270</v>
      </c>
      <c r="H461" s="117" t="s">
        <v>1186</v>
      </c>
      <c r="I461" s="117">
        <v>1.0</v>
      </c>
      <c r="J461" s="117">
        <v>1.0</v>
      </c>
      <c r="K461" s="117" t="str">
        <f t="shared" si="1"/>
        <v>No</v>
      </c>
      <c r="L461" s="118" t="s">
        <v>116</v>
      </c>
      <c r="M461" s="119">
        <v>0.3333333333333333</v>
      </c>
      <c r="N461" s="120">
        <v>1.0</v>
      </c>
      <c r="O461" s="121">
        <v>12.0</v>
      </c>
      <c r="P461" s="117">
        <v>8.0</v>
      </c>
      <c r="Q461" s="117">
        <f t="shared" si="2"/>
        <v>0</v>
      </c>
      <c r="R461" s="122">
        <f>+(IF(((M461*24)-P461)&lt;0,0,((M461*24)-P461)*'Estimación de pérdidas'!$F$72))*N461</f>
        <v>0</v>
      </c>
      <c r="S461" s="123" t="s">
        <v>272</v>
      </c>
      <c r="T461" s="124" t="s">
        <v>119</v>
      </c>
      <c r="U461" s="124">
        <f t="shared" si="3"/>
        <v>1</v>
      </c>
      <c r="V461" s="124">
        <v>1.0</v>
      </c>
      <c r="W461" s="124"/>
      <c r="X461" s="125">
        <v>1.0</v>
      </c>
      <c r="Y461" s="126"/>
      <c r="Z461" s="125">
        <f t="shared" si="4"/>
        <v>1</v>
      </c>
      <c r="AA461" s="127" t="str">
        <f t="shared" si="5"/>
        <v>Bajo</v>
      </c>
      <c r="AB461" s="128">
        <f t="shared" si="6"/>
        <v>4</v>
      </c>
      <c r="AC461" s="129">
        <f t="shared" si="7"/>
        <v>0.09295160031</v>
      </c>
    </row>
    <row r="462" ht="14.25" hidden="1" customHeight="1">
      <c r="A462" s="116" t="s">
        <v>847</v>
      </c>
      <c r="B462" s="117" t="s">
        <v>1602</v>
      </c>
      <c r="C462" s="117" t="s">
        <v>1611</v>
      </c>
      <c r="D462" s="117" t="s">
        <v>1612</v>
      </c>
      <c r="E462" s="117" t="s">
        <v>1611</v>
      </c>
      <c r="F462" s="117" t="s">
        <v>1613</v>
      </c>
      <c r="G462" s="117" t="s">
        <v>165</v>
      </c>
      <c r="H462" s="117" t="s">
        <v>353</v>
      </c>
      <c r="I462" s="117">
        <v>1.0</v>
      </c>
      <c r="J462" s="117">
        <v>1.0</v>
      </c>
      <c r="K462" s="117" t="str">
        <f t="shared" si="1"/>
        <v>No</v>
      </c>
      <c r="L462" s="118" t="s">
        <v>116</v>
      </c>
      <c r="M462" s="119">
        <v>0.3333333333333333</v>
      </c>
      <c r="N462" s="120">
        <v>1.0</v>
      </c>
      <c r="O462" s="121">
        <v>12.0</v>
      </c>
      <c r="P462" s="117">
        <v>8.0</v>
      </c>
      <c r="Q462" s="117">
        <f t="shared" si="2"/>
        <v>0</v>
      </c>
      <c r="R462" s="122">
        <f>+(IF(((M462*24)-P462)&lt;0,0,((M462*24)-P462)*'Estimación de pérdidas'!$F$72))*N462</f>
        <v>0</v>
      </c>
      <c r="S462" s="123" t="s">
        <v>117</v>
      </c>
      <c r="T462" s="124" t="s">
        <v>118</v>
      </c>
      <c r="U462" s="124">
        <f t="shared" si="3"/>
        <v>1</v>
      </c>
      <c r="V462" s="124">
        <v>1.0</v>
      </c>
      <c r="W462" s="124"/>
      <c r="X462" s="125"/>
      <c r="Y462" s="126"/>
      <c r="Z462" s="125">
        <f t="shared" si="4"/>
        <v>1</v>
      </c>
      <c r="AA462" s="127" t="str">
        <f t="shared" si="5"/>
        <v>Bajo</v>
      </c>
      <c r="AB462" s="128">
        <f t="shared" si="6"/>
        <v>2</v>
      </c>
      <c r="AC462" s="129">
        <f t="shared" si="7"/>
        <v>0.05059644256</v>
      </c>
    </row>
    <row r="463" ht="14.25" hidden="1" customHeight="1">
      <c r="A463" s="116" t="s">
        <v>847</v>
      </c>
      <c r="B463" s="117" t="s">
        <v>1602</v>
      </c>
      <c r="C463" s="117" t="s">
        <v>936</v>
      </c>
      <c r="D463" s="117" t="s">
        <v>1614</v>
      </c>
      <c r="E463" s="117" t="s">
        <v>936</v>
      </c>
      <c r="F463" s="117" t="s">
        <v>1615</v>
      </c>
      <c r="G463" s="117" t="s">
        <v>205</v>
      </c>
      <c r="H463" s="117" t="s">
        <v>491</v>
      </c>
      <c r="I463" s="117">
        <v>1.0</v>
      </c>
      <c r="J463" s="117">
        <v>1.0</v>
      </c>
      <c r="K463" s="117" t="str">
        <f t="shared" si="1"/>
        <v>No</v>
      </c>
      <c r="L463" s="118" t="s">
        <v>116</v>
      </c>
      <c r="M463" s="119">
        <v>0.25</v>
      </c>
      <c r="N463" s="120">
        <v>1.0</v>
      </c>
      <c r="O463" s="121">
        <v>62.16708333333334</v>
      </c>
      <c r="P463" s="117">
        <v>8.0</v>
      </c>
      <c r="Q463" s="117">
        <f t="shared" si="2"/>
        <v>0</v>
      </c>
      <c r="R463" s="122">
        <f>+(IF(((M463*24)-P463)&lt;0,0,((M463*24)-P463)*'Estimación de pérdidas'!$F$72))*N463</f>
        <v>0</v>
      </c>
      <c r="S463" s="123" t="s">
        <v>117</v>
      </c>
      <c r="T463" s="124" t="s">
        <v>106</v>
      </c>
      <c r="U463" s="124">
        <f t="shared" si="3"/>
        <v>1</v>
      </c>
      <c r="V463" s="124">
        <v>1.0</v>
      </c>
      <c r="W463" s="124"/>
      <c r="X463" s="125"/>
      <c r="Y463" s="126"/>
      <c r="Z463" s="125">
        <f t="shared" si="4"/>
        <v>1</v>
      </c>
      <c r="AA463" s="127" t="str">
        <f t="shared" si="5"/>
        <v>Bajo</v>
      </c>
      <c r="AB463" s="128">
        <f t="shared" si="6"/>
        <v>7</v>
      </c>
      <c r="AC463" s="129">
        <f t="shared" si="7"/>
        <v>0.1011928851</v>
      </c>
    </row>
    <row r="464" ht="14.25" hidden="1" customHeight="1">
      <c r="A464" s="116" t="s">
        <v>847</v>
      </c>
      <c r="B464" s="117" t="s">
        <v>1602</v>
      </c>
      <c r="C464" s="117" t="s">
        <v>1616</v>
      </c>
      <c r="D464" s="117" t="s">
        <v>1617</v>
      </c>
      <c r="E464" s="117" t="s">
        <v>1616</v>
      </c>
      <c r="F464" s="117" t="s">
        <v>1618</v>
      </c>
      <c r="G464" s="117" t="s">
        <v>205</v>
      </c>
      <c r="H464" s="117" t="s">
        <v>491</v>
      </c>
      <c r="I464" s="117">
        <v>1.0</v>
      </c>
      <c r="J464" s="117">
        <v>1.0</v>
      </c>
      <c r="K464" s="117" t="str">
        <f t="shared" si="1"/>
        <v>No</v>
      </c>
      <c r="L464" s="118" t="s">
        <v>116</v>
      </c>
      <c r="M464" s="119">
        <v>0.25</v>
      </c>
      <c r="N464" s="120">
        <v>0.0</v>
      </c>
      <c r="O464" s="121">
        <v>62.16708333333334</v>
      </c>
      <c r="P464" s="117">
        <v>8.0</v>
      </c>
      <c r="Q464" s="117">
        <f t="shared" si="2"/>
        <v>0</v>
      </c>
      <c r="R464" s="122">
        <f>+(IF(((M464*24)-P464)&lt;0,0,((M464*24)-P464)*'Estimación de pérdidas'!$F$72))*N464</f>
        <v>0</v>
      </c>
      <c r="S464" s="123" t="s">
        <v>117</v>
      </c>
      <c r="T464" s="124" t="s">
        <v>106</v>
      </c>
      <c r="U464" s="124">
        <f t="shared" si="3"/>
        <v>1</v>
      </c>
      <c r="V464" s="124">
        <v>1.0</v>
      </c>
      <c r="W464" s="124"/>
      <c r="X464" s="125"/>
      <c r="Y464" s="126"/>
      <c r="Z464" s="125">
        <f t="shared" si="4"/>
        <v>1</v>
      </c>
      <c r="AA464" s="127" t="str">
        <f t="shared" si="5"/>
        <v>Bajo</v>
      </c>
      <c r="AB464" s="128">
        <f t="shared" si="6"/>
        <v>7</v>
      </c>
      <c r="AC464" s="129">
        <f t="shared" si="7"/>
        <v>0.1011928851</v>
      </c>
    </row>
    <row r="465" ht="14.25" hidden="1" customHeight="1">
      <c r="A465" s="116" t="s">
        <v>847</v>
      </c>
      <c r="B465" s="117" t="s">
        <v>1602</v>
      </c>
      <c r="C465" s="117" t="s">
        <v>1619</v>
      </c>
      <c r="D465" s="117" t="s">
        <v>1620</v>
      </c>
      <c r="E465" s="117" t="s">
        <v>1619</v>
      </c>
      <c r="F465" s="117" t="s">
        <v>1621</v>
      </c>
      <c r="G465" s="117" t="s">
        <v>205</v>
      </c>
      <c r="H465" s="117" t="s">
        <v>1622</v>
      </c>
      <c r="I465" s="117">
        <v>1.0</v>
      </c>
      <c r="J465" s="117">
        <v>1.0</v>
      </c>
      <c r="K465" s="117" t="str">
        <f t="shared" si="1"/>
        <v>No</v>
      </c>
      <c r="L465" s="118" t="s">
        <v>116</v>
      </c>
      <c r="M465" s="119">
        <v>0.33</v>
      </c>
      <c r="N465" s="120">
        <v>0.0</v>
      </c>
      <c r="O465" s="121"/>
      <c r="P465" s="117">
        <v>0.0</v>
      </c>
      <c r="Q465" s="117">
        <f t="shared" si="2"/>
        <v>0</v>
      </c>
      <c r="R465" s="122">
        <f>+(IF(((M465*24)-P465)&lt;0,0,((M465*24)-P465)*'Estimación de pérdidas'!$F$72))*N465</f>
        <v>0</v>
      </c>
      <c r="S465" s="123" t="s">
        <v>272</v>
      </c>
      <c r="T465" s="124" t="s">
        <v>119</v>
      </c>
      <c r="U465" s="124">
        <f t="shared" si="3"/>
        <v>1</v>
      </c>
      <c r="V465" s="124">
        <v>1.0</v>
      </c>
      <c r="W465" s="124">
        <v>3.0</v>
      </c>
      <c r="X465" s="125">
        <v>3.0</v>
      </c>
      <c r="Y465" s="126"/>
      <c r="Z465" s="125">
        <f t="shared" si="4"/>
        <v>3</v>
      </c>
      <c r="AA465" s="127" t="str">
        <f t="shared" si="5"/>
        <v>Moderado</v>
      </c>
      <c r="AB465" s="128">
        <f t="shared" si="6"/>
        <v>13</v>
      </c>
      <c r="AC465" s="129">
        <f t="shared" si="7"/>
        <v>0.24</v>
      </c>
    </row>
    <row r="466" ht="14.25" hidden="1" customHeight="1">
      <c r="A466" s="116" t="s">
        <v>847</v>
      </c>
      <c r="B466" s="117" t="s">
        <v>1602</v>
      </c>
      <c r="C466" s="117" t="s">
        <v>1623</v>
      </c>
      <c r="D466" s="117" t="s">
        <v>1624</v>
      </c>
      <c r="E466" s="117" t="s">
        <v>1625</v>
      </c>
      <c r="F466" s="117" t="s">
        <v>1626</v>
      </c>
      <c r="G466" s="117" t="s">
        <v>205</v>
      </c>
      <c r="H466" s="117" t="s">
        <v>491</v>
      </c>
      <c r="I466" s="117">
        <v>1.0</v>
      </c>
      <c r="J466" s="117">
        <v>1.0</v>
      </c>
      <c r="K466" s="117" t="str">
        <f t="shared" si="1"/>
        <v>No</v>
      </c>
      <c r="L466" s="118" t="s">
        <v>116</v>
      </c>
      <c r="M466" s="119">
        <v>0.25</v>
      </c>
      <c r="N466" s="120">
        <v>1.0</v>
      </c>
      <c r="O466" s="121">
        <v>62.16708333333334</v>
      </c>
      <c r="P466" s="117">
        <v>8.0</v>
      </c>
      <c r="Q466" s="117">
        <f t="shared" si="2"/>
        <v>0</v>
      </c>
      <c r="R466" s="122">
        <f>+(IF(((M466*24)-P466)&lt;0,0,((M466*24)-P466)*'Estimación de pérdidas'!$F$72))*N466</f>
        <v>0</v>
      </c>
      <c r="S466" s="123" t="s">
        <v>117</v>
      </c>
      <c r="T466" s="124" t="s">
        <v>106</v>
      </c>
      <c r="U466" s="124">
        <f t="shared" si="3"/>
        <v>1</v>
      </c>
      <c r="V466" s="124">
        <v>1.0</v>
      </c>
      <c r="W466" s="124"/>
      <c r="X466" s="125"/>
      <c r="Y466" s="126"/>
      <c r="Z466" s="125">
        <f t="shared" si="4"/>
        <v>1</v>
      </c>
      <c r="AA466" s="127" t="str">
        <f t="shared" si="5"/>
        <v>Bajo</v>
      </c>
      <c r="AB466" s="128">
        <f t="shared" si="6"/>
        <v>7</v>
      </c>
      <c r="AC466" s="129">
        <f t="shared" si="7"/>
        <v>0.1011928851</v>
      </c>
    </row>
    <row r="467" ht="14.25" hidden="1" customHeight="1">
      <c r="A467" s="116" t="s">
        <v>847</v>
      </c>
      <c r="B467" s="117" t="s">
        <v>1602</v>
      </c>
      <c r="C467" s="117" t="s">
        <v>1627</v>
      </c>
      <c r="D467" s="117" t="s">
        <v>1628</v>
      </c>
      <c r="E467" s="117" t="s">
        <v>1629</v>
      </c>
      <c r="F467" s="117" t="s">
        <v>1630</v>
      </c>
      <c r="G467" s="117" t="s">
        <v>205</v>
      </c>
      <c r="H467" s="117" t="s">
        <v>491</v>
      </c>
      <c r="I467" s="117">
        <v>3.0</v>
      </c>
      <c r="J467" s="117">
        <v>2.0</v>
      </c>
      <c r="K467" s="117" t="str">
        <f t="shared" si="1"/>
        <v>Si</v>
      </c>
      <c r="L467" s="118" t="s">
        <v>1631</v>
      </c>
      <c r="M467" s="119">
        <v>0.25</v>
      </c>
      <c r="N467" s="120">
        <v>0.0</v>
      </c>
      <c r="O467" s="121">
        <v>12.0</v>
      </c>
      <c r="P467" s="117">
        <v>8.0</v>
      </c>
      <c r="Q467" s="117">
        <f t="shared" si="2"/>
        <v>0</v>
      </c>
      <c r="R467" s="122">
        <f>+(IF(((M467*24)-P467)&lt;0,0,((M467*24)-P467)*'Estimación de pérdidas'!$F$72))*N467</f>
        <v>0</v>
      </c>
      <c r="S467" s="123" t="s">
        <v>117</v>
      </c>
      <c r="T467" s="124" t="s">
        <v>106</v>
      </c>
      <c r="U467" s="124">
        <f t="shared" si="3"/>
        <v>1</v>
      </c>
      <c r="V467" s="124">
        <v>2.0</v>
      </c>
      <c r="W467" s="124"/>
      <c r="X467" s="125"/>
      <c r="Y467" s="126"/>
      <c r="Z467" s="125">
        <f t="shared" si="4"/>
        <v>2</v>
      </c>
      <c r="AA467" s="127" t="str">
        <f t="shared" si="5"/>
        <v>Moderado</v>
      </c>
      <c r="AB467" s="128">
        <f t="shared" si="6"/>
        <v>12</v>
      </c>
      <c r="AC467" s="129">
        <f t="shared" si="7"/>
        <v>0.16</v>
      </c>
      <c r="AD467" s="131"/>
    </row>
    <row r="468" ht="14.25" hidden="1" customHeight="1">
      <c r="A468" s="116" t="s">
        <v>847</v>
      </c>
      <c r="B468" s="117" t="s">
        <v>1602</v>
      </c>
      <c r="C468" s="117" t="s">
        <v>1627</v>
      </c>
      <c r="D468" s="117" t="s">
        <v>1632</v>
      </c>
      <c r="E468" s="117" t="s">
        <v>1629</v>
      </c>
      <c r="F468" s="117" t="s">
        <v>1630</v>
      </c>
      <c r="G468" s="117" t="s">
        <v>205</v>
      </c>
      <c r="H468" s="117" t="s">
        <v>491</v>
      </c>
      <c r="I468" s="117">
        <v>3.0</v>
      </c>
      <c r="J468" s="117">
        <v>2.0</v>
      </c>
      <c r="K468" s="117" t="str">
        <f t="shared" si="1"/>
        <v>Si</v>
      </c>
      <c r="L468" s="118" t="s">
        <v>1631</v>
      </c>
      <c r="M468" s="119">
        <v>0.25</v>
      </c>
      <c r="N468" s="120">
        <v>0.0</v>
      </c>
      <c r="O468" s="121">
        <v>12.0</v>
      </c>
      <c r="P468" s="117">
        <v>8.0</v>
      </c>
      <c r="Q468" s="117">
        <f t="shared" si="2"/>
        <v>0</v>
      </c>
      <c r="R468" s="122">
        <f>+(IF(((M468*24)-P468)&lt;0,0,((M468*24)-P468)*'Estimación de pérdidas'!$F$72))*N468</f>
        <v>0</v>
      </c>
      <c r="S468" s="123" t="s">
        <v>117</v>
      </c>
      <c r="T468" s="124" t="s">
        <v>106</v>
      </c>
      <c r="U468" s="124">
        <f t="shared" si="3"/>
        <v>1</v>
      </c>
      <c r="V468" s="124">
        <v>2.0</v>
      </c>
      <c r="W468" s="124"/>
      <c r="X468" s="125"/>
      <c r="Y468" s="126"/>
      <c r="Z468" s="125">
        <f t="shared" si="4"/>
        <v>2</v>
      </c>
      <c r="AA468" s="127" t="str">
        <f t="shared" si="5"/>
        <v>Moderado</v>
      </c>
      <c r="AB468" s="128">
        <f t="shared" si="6"/>
        <v>12</v>
      </c>
      <c r="AC468" s="129">
        <f t="shared" si="7"/>
        <v>0.16</v>
      </c>
      <c r="AD468" s="131"/>
    </row>
    <row r="469" ht="14.25" hidden="1" customHeight="1">
      <c r="A469" s="116" t="s">
        <v>847</v>
      </c>
      <c r="B469" s="117" t="s">
        <v>1602</v>
      </c>
      <c r="C469" s="117" t="s">
        <v>1633</v>
      </c>
      <c r="D469" s="117" t="s">
        <v>1634</v>
      </c>
      <c r="E469" s="117" t="s">
        <v>1635</v>
      </c>
      <c r="F469" s="117" t="s">
        <v>1630</v>
      </c>
      <c r="G469" s="117" t="s">
        <v>205</v>
      </c>
      <c r="H469" s="117" t="s">
        <v>491</v>
      </c>
      <c r="I469" s="117">
        <v>3.0</v>
      </c>
      <c r="J469" s="117">
        <v>2.0</v>
      </c>
      <c r="K469" s="117" t="str">
        <f t="shared" si="1"/>
        <v>Si</v>
      </c>
      <c r="L469" s="118" t="s">
        <v>116</v>
      </c>
      <c r="M469" s="119">
        <v>0.25</v>
      </c>
      <c r="N469" s="120">
        <v>0.0</v>
      </c>
      <c r="O469" s="121">
        <v>12.0</v>
      </c>
      <c r="P469" s="117">
        <v>8.0</v>
      </c>
      <c r="Q469" s="117">
        <f t="shared" si="2"/>
        <v>0</v>
      </c>
      <c r="R469" s="122">
        <f>+(IF(((M469*24)-P469)&lt;0,0,((M469*24)-P469)*'Estimación de pérdidas'!$F$72))*N469</f>
        <v>0</v>
      </c>
      <c r="S469" s="123" t="s">
        <v>117</v>
      </c>
      <c r="T469" s="124" t="s">
        <v>106</v>
      </c>
      <c r="U469" s="124">
        <f t="shared" si="3"/>
        <v>1</v>
      </c>
      <c r="V469" s="124">
        <v>2.0</v>
      </c>
      <c r="W469" s="124"/>
      <c r="X469" s="125"/>
      <c r="Y469" s="126"/>
      <c r="Z469" s="125">
        <f t="shared" si="4"/>
        <v>2</v>
      </c>
      <c r="AA469" s="127" t="str">
        <f t="shared" si="5"/>
        <v>Moderado</v>
      </c>
      <c r="AB469" s="128">
        <f t="shared" si="6"/>
        <v>12</v>
      </c>
      <c r="AC469" s="129">
        <f t="shared" si="7"/>
        <v>0.16</v>
      </c>
      <c r="AD469" s="131"/>
    </row>
    <row r="470" ht="14.25" hidden="1" customHeight="1">
      <c r="A470" s="116" t="s">
        <v>847</v>
      </c>
      <c r="B470" s="117" t="s">
        <v>1602</v>
      </c>
      <c r="C470" s="117" t="s">
        <v>1636</v>
      </c>
      <c r="D470" s="117" t="s">
        <v>1637</v>
      </c>
      <c r="E470" s="117" t="s">
        <v>1638</v>
      </c>
      <c r="F470" s="117" t="s">
        <v>1639</v>
      </c>
      <c r="G470" s="117" t="s">
        <v>205</v>
      </c>
      <c r="H470" s="117" t="s">
        <v>1640</v>
      </c>
      <c r="I470" s="117">
        <v>1.0</v>
      </c>
      <c r="J470" s="117">
        <v>1.0</v>
      </c>
      <c r="K470" s="117" t="str">
        <f t="shared" si="1"/>
        <v>No</v>
      </c>
      <c r="L470" s="118" t="s">
        <v>116</v>
      </c>
      <c r="M470" s="119">
        <v>0.33</v>
      </c>
      <c r="N470" s="120">
        <v>0.0</v>
      </c>
      <c r="O470" s="121"/>
      <c r="P470" s="117">
        <v>0.0</v>
      </c>
      <c r="Q470" s="117">
        <f t="shared" si="2"/>
        <v>0</v>
      </c>
      <c r="R470" s="122">
        <f>+(IF(((M470*24)-P470)&lt;0,0,((M470*24)-P470)*'Estimación de pérdidas'!$F$72))*N470</f>
        <v>0</v>
      </c>
      <c r="S470" s="123" t="s">
        <v>272</v>
      </c>
      <c r="T470" s="124" t="s">
        <v>119</v>
      </c>
      <c r="U470" s="124">
        <f t="shared" si="3"/>
        <v>1</v>
      </c>
      <c r="V470" s="124">
        <v>1.0</v>
      </c>
      <c r="W470" s="124">
        <v>3.0</v>
      </c>
      <c r="X470" s="125">
        <v>3.0</v>
      </c>
      <c r="Y470" s="126"/>
      <c r="Z470" s="125">
        <f t="shared" si="4"/>
        <v>3</v>
      </c>
      <c r="AA470" s="127" t="str">
        <f t="shared" si="5"/>
        <v>Moderado</v>
      </c>
      <c r="AB470" s="128">
        <f t="shared" si="6"/>
        <v>13</v>
      </c>
      <c r="AC470" s="129">
        <f t="shared" si="7"/>
        <v>0.24</v>
      </c>
    </row>
    <row r="471" ht="14.25" hidden="1" customHeight="1">
      <c r="A471" s="116" t="s">
        <v>847</v>
      </c>
      <c r="B471" s="117" t="s">
        <v>1602</v>
      </c>
      <c r="C471" s="117" t="s">
        <v>1641</v>
      </c>
      <c r="D471" s="117" t="s">
        <v>1642</v>
      </c>
      <c r="E471" s="117" t="s">
        <v>1641</v>
      </c>
      <c r="F471" s="117" t="s">
        <v>1643</v>
      </c>
      <c r="G471" s="117" t="s">
        <v>1644</v>
      </c>
      <c r="H471" s="117" t="s">
        <v>1645</v>
      </c>
      <c r="I471" s="117">
        <v>1.0</v>
      </c>
      <c r="J471" s="117">
        <v>1.0</v>
      </c>
      <c r="K471" s="117" t="str">
        <f t="shared" si="1"/>
        <v>No</v>
      </c>
      <c r="L471" s="118" t="s">
        <v>116</v>
      </c>
      <c r="M471" s="119">
        <v>0.5</v>
      </c>
      <c r="N471" s="120">
        <v>1.0</v>
      </c>
      <c r="O471" s="121">
        <v>62.16708333333334</v>
      </c>
      <c r="P471" s="117">
        <v>8.0</v>
      </c>
      <c r="Q471" s="117">
        <f t="shared" si="2"/>
        <v>4</v>
      </c>
      <c r="R471" s="122">
        <f>+(IF(((M471*24)-P471)&lt;0,0,((M471*24)-P471)*'Estimación de pérdidas'!$F$72))*N471</f>
        <v>230712.2997</v>
      </c>
      <c r="S471" s="123" t="s">
        <v>272</v>
      </c>
      <c r="T471" s="124" t="s">
        <v>132</v>
      </c>
      <c r="U471" s="124">
        <f t="shared" si="3"/>
        <v>3</v>
      </c>
      <c r="V471" s="124">
        <v>1.0</v>
      </c>
      <c r="W471" s="124">
        <v>4.0</v>
      </c>
      <c r="X471" s="125"/>
      <c r="Y471" s="126"/>
      <c r="Z471" s="125">
        <f t="shared" si="4"/>
        <v>4</v>
      </c>
      <c r="AA471" s="127" t="str">
        <f t="shared" si="5"/>
        <v>Moderado</v>
      </c>
      <c r="AB471" s="128">
        <f t="shared" si="6"/>
        <v>10</v>
      </c>
      <c r="AC471" s="129">
        <f t="shared" si="7"/>
        <v>0.09121403401</v>
      </c>
      <c r="AD471" s="130"/>
    </row>
    <row r="472" ht="14.25" hidden="1" customHeight="1">
      <c r="A472" s="116" t="s">
        <v>847</v>
      </c>
      <c r="B472" s="117" t="s">
        <v>1602</v>
      </c>
      <c r="C472" s="117" t="s">
        <v>1646</v>
      </c>
      <c r="D472" s="117" t="s">
        <v>1647</v>
      </c>
      <c r="E472" s="117" t="s">
        <v>1646</v>
      </c>
      <c r="F472" s="117" t="s">
        <v>1648</v>
      </c>
      <c r="G472" s="117" t="s">
        <v>531</v>
      </c>
      <c r="H472" s="117" t="s">
        <v>532</v>
      </c>
      <c r="I472" s="117">
        <v>1.0</v>
      </c>
      <c r="J472" s="117">
        <v>1.0</v>
      </c>
      <c r="K472" s="117" t="str">
        <f t="shared" si="1"/>
        <v>No</v>
      </c>
      <c r="L472" s="118" t="s">
        <v>116</v>
      </c>
      <c r="M472" s="119">
        <v>0.5</v>
      </c>
      <c r="N472" s="120">
        <v>1.0</v>
      </c>
      <c r="O472" s="121">
        <v>62.16708333333334</v>
      </c>
      <c r="P472" s="117">
        <v>8.0</v>
      </c>
      <c r="Q472" s="117">
        <f t="shared" si="2"/>
        <v>4</v>
      </c>
      <c r="R472" s="122">
        <f>+(IF(((M472*24)-P472)&lt;0,0,((M472*24)-P472)*'Estimación de pérdidas'!$F$72))*N472</f>
        <v>230712.2997</v>
      </c>
      <c r="S472" s="123" t="s">
        <v>272</v>
      </c>
      <c r="T472" s="124" t="s">
        <v>118</v>
      </c>
      <c r="U472" s="124">
        <f t="shared" si="3"/>
        <v>3</v>
      </c>
      <c r="V472" s="124">
        <v>1.0</v>
      </c>
      <c r="W472" s="124"/>
      <c r="X472" s="125">
        <v>2.0</v>
      </c>
      <c r="Y472" s="126"/>
      <c r="Z472" s="125">
        <f t="shared" si="4"/>
        <v>3</v>
      </c>
      <c r="AA472" s="127" t="str">
        <f t="shared" si="5"/>
        <v>Moderado</v>
      </c>
      <c r="AB472" s="128">
        <f t="shared" si="6"/>
        <v>9</v>
      </c>
      <c r="AC472" s="129">
        <f t="shared" si="7"/>
        <v>0.1338656042</v>
      </c>
      <c r="AD472" s="131"/>
    </row>
    <row r="473" ht="14.25" hidden="1" customHeight="1">
      <c r="A473" s="116" t="s">
        <v>847</v>
      </c>
      <c r="B473" s="117" t="s">
        <v>1602</v>
      </c>
      <c r="C473" s="117" t="s">
        <v>1649</v>
      </c>
      <c r="D473" s="117" t="s">
        <v>1650</v>
      </c>
      <c r="E473" s="117" t="s">
        <v>1651</v>
      </c>
      <c r="F473" s="117" t="s">
        <v>1652</v>
      </c>
      <c r="G473" s="117" t="s">
        <v>531</v>
      </c>
      <c r="H473" s="117" t="s">
        <v>532</v>
      </c>
      <c r="I473" s="117">
        <v>1.0</v>
      </c>
      <c r="J473" s="117">
        <v>1.0</v>
      </c>
      <c r="K473" s="117" t="str">
        <f t="shared" si="1"/>
        <v>No</v>
      </c>
      <c r="L473" s="118" t="s">
        <v>116</v>
      </c>
      <c r="M473" s="119">
        <v>0.5</v>
      </c>
      <c r="N473" s="120">
        <v>1.0</v>
      </c>
      <c r="O473" s="121">
        <v>62.16708333333334</v>
      </c>
      <c r="P473" s="117">
        <v>8.0</v>
      </c>
      <c r="Q473" s="117">
        <f t="shared" si="2"/>
        <v>4</v>
      </c>
      <c r="R473" s="122">
        <f>+(IF(((M473*24)-P473)&lt;0,0,((M473*24)-P473)*'Estimación de pérdidas'!$F$72))*N473</f>
        <v>230712.2997</v>
      </c>
      <c r="S473" s="123" t="s">
        <v>272</v>
      </c>
      <c r="T473" s="124" t="s">
        <v>118</v>
      </c>
      <c r="U473" s="124">
        <f t="shared" si="3"/>
        <v>3</v>
      </c>
      <c r="V473" s="124">
        <v>1.0</v>
      </c>
      <c r="W473" s="124"/>
      <c r="X473" s="125">
        <v>2.0</v>
      </c>
      <c r="Y473" s="126"/>
      <c r="Z473" s="125">
        <f t="shared" si="4"/>
        <v>3</v>
      </c>
      <c r="AA473" s="127" t="str">
        <f t="shared" si="5"/>
        <v>Moderado</v>
      </c>
      <c r="AB473" s="128">
        <f t="shared" si="6"/>
        <v>9</v>
      </c>
      <c r="AC473" s="129">
        <f t="shared" si="7"/>
        <v>0.1338656042</v>
      </c>
      <c r="AD473" s="131"/>
    </row>
    <row r="474" ht="14.25" hidden="1" customHeight="1">
      <c r="A474" s="116" t="s">
        <v>847</v>
      </c>
      <c r="B474" s="117" t="s">
        <v>1602</v>
      </c>
      <c r="C474" s="117" t="s">
        <v>964</v>
      </c>
      <c r="D474" s="117" t="s">
        <v>1653</v>
      </c>
      <c r="E474" s="117" t="s">
        <v>964</v>
      </c>
      <c r="F474" s="117" t="s">
        <v>1654</v>
      </c>
      <c r="G474" s="117" t="s">
        <v>531</v>
      </c>
      <c r="H474" s="117" t="s">
        <v>532</v>
      </c>
      <c r="I474" s="117">
        <v>1.0</v>
      </c>
      <c r="J474" s="117">
        <v>1.0</v>
      </c>
      <c r="K474" s="117" t="str">
        <f t="shared" si="1"/>
        <v>No</v>
      </c>
      <c r="L474" s="118" t="s">
        <v>116</v>
      </c>
      <c r="M474" s="119">
        <v>0.5</v>
      </c>
      <c r="N474" s="120">
        <v>1.0</v>
      </c>
      <c r="O474" s="121">
        <v>62.16708333333334</v>
      </c>
      <c r="P474" s="117">
        <v>8.0</v>
      </c>
      <c r="Q474" s="117">
        <f t="shared" si="2"/>
        <v>4</v>
      </c>
      <c r="R474" s="122">
        <f>+(IF(((M474*24)-P474)&lt;0,0,((M474*24)-P474)*'Estimación de pérdidas'!$F$72))*N474</f>
        <v>230712.2997</v>
      </c>
      <c r="S474" s="123" t="s">
        <v>272</v>
      </c>
      <c r="T474" s="124" t="s">
        <v>119</v>
      </c>
      <c r="U474" s="124">
        <f t="shared" si="3"/>
        <v>3</v>
      </c>
      <c r="V474" s="124">
        <v>2.0</v>
      </c>
      <c r="W474" s="124"/>
      <c r="X474" s="125">
        <v>2.0</v>
      </c>
      <c r="Y474" s="126"/>
      <c r="Z474" s="125">
        <f t="shared" si="4"/>
        <v>3</v>
      </c>
      <c r="AA474" s="127" t="str">
        <f t="shared" si="5"/>
        <v>Moderado</v>
      </c>
      <c r="AB474" s="128">
        <f t="shared" si="6"/>
        <v>13</v>
      </c>
      <c r="AC474" s="129">
        <f t="shared" si="7"/>
        <v>0.221269067</v>
      </c>
      <c r="AD474" s="131"/>
    </row>
    <row r="475" ht="14.25" hidden="1" customHeight="1">
      <c r="A475" s="116" t="s">
        <v>403</v>
      </c>
      <c r="B475" s="117" t="s">
        <v>1602</v>
      </c>
      <c r="C475" s="117" t="s">
        <v>1655</v>
      </c>
      <c r="D475" s="117" t="s">
        <v>1656</v>
      </c>
      <c r="E475" s="117" t="s">
        <v>526</v>
      </c>
      <c r="F475" s="117" t="s">
        <v>763</v>
      </c>
      <c r="G475" s="117" t="s">
        <v>408</v>
      </c>
      <c r="H475" s="117" t="s">
        <v>764</v>
      </c>
      <c r="I475" s="117">
        <v>1.0</v>
      </c>
      <c r="J475" s="117">
        <v>1.0</v>
      </c>
      <c r="K475" s="117" t="str">
        <f t="shared" si="1"/>
        <v>No</v>
      </c>
      <c r="L475" s="118" t="s">
        <v>116</v>
      </c>
      <c r="M475" s="119">
        <v>0.3333333333333333</v>
      </c>
      <c r="N475" s="120">
        <v>0.0</v>
      </c>
      <c r="O475" s="121"/>
      <c r="P475" s="117">
        <v>0.0</v>
      </c>
      <c r="Q475" s="117">
        <f t="shared" si="2"/>
        <v>0</v>
      </c>
      <c r="R475" s="122">
        <f>+(IF(((M475*24)-P475)&lt;0,0,((M475*24)-P475)*'Estimación de pérdidas'!$F$72))*N475</f>
        <v>0</v>
      </c>
      <c r="S475" s="123" t="s">
        <v>272</v>
      </c>
      <c r="T475" s="124" t="s">
        <v>106</v>
      </c>
      <c r="U475" s="124">
        <f t="shared" si="3"/>
        <v>1</v>
      </c>
      <c r="V475" s="124">
        <v>1.0</v>
      </c>
      <c r="W475" s="124">
        <v>4.0</v>
      </c>
      <c r="X475" s="125"/>
      <c r="Y475" s="126"/>
      <c r="Z475" s="125">
        <f t="shared" si="4"/>
        <v>4</v>
      </c>
      <c r="AA475" s="127" t="str">
        <f t="shared" si="5"/>
        <v>Alto</v>
      </c>
      <c r="AB475" s="128">
        <f t="shared" si="6"/>
        <v>22</v>
      </c>
      <c r="AC475" s="129">
        <f t="shared" si="7"/>
        <v>0.3035786554</v>
      </c>
      <c r="AD475" s="130"/>
    </row>
    <row r="476" ht="14.25" hidden="1" customHeight="1">
      <c r="A476" s="116" t="s">
        <v>403</v>
      </c>
      <c r="B476" s="117" t="s">
        <v>1602</v>
      </c>
      <c r="C476" s="117" t="s">
        <v>765</v>
      </c>
      <c r="D476" s="117" t="s">
        <v>1657</v>
      </c>
      <c r="E476" s="117" t="s">
        <v>765</v>
      </c>
      <c r="F476" s="117" t="s">
        <v>407</v>
      </c>
      <c r="G476" s="117" t="s">
        <v>408</v>
      </c>
      <c r="H476" s="117" t="s">
        <v>409</v>
      </c>
      <c r="I476" s="117">
        <v>1.0</v>
      </c>
      <c r="J476" s="117">
        <v>1.0</v>
      </c>
      <c r="K476" s="117" t="str">
        <f t="shared" si="1"/>
        <v>No</v>
      </c>
      <c r="L476" s="118" t="s">
        <v>116</v>
      </c>
      <c r="M476" s="119">
        <v>0.3333333333333333</v>
      </c>
      <c r="N476" s="120">
        <v>0.0</v>
      </c>
      <c r="O476" s="121"/>
      <c r="P476" s="117">
        <v>0.0</v>
      </c>
      <c r="Q476" s="117">
        <f t="shared" si="2"/>
        <v>0</v>
      </c>
      <c r="R476" s="122">
        <f>+(IF(((M476*24)-P476)&lt;0,0,((M476*24)-P476)*'Estimación de pérdidas'!$F$72))*N476</f>
        <v>0</v>
      </c>
      <c r="S476" s="123" t="s">
        <v>272</v>
      </c>
      <c r="T476" s="124" t="s">
        <v>106</v>
      </c>
      <c r="U476" s="124">
        <f t="shared" si="3"/>
        <v>1</v>
      </c>
      <c r="V476" s="124">
        <v>1.0</v>
      </c>
      <c r="W476" s="124">
        <v>4.0</v>
      </c>
      <c r="X476" s="125"/>
      <c r="Y476" s="126"/>
      <c r="Z476" s="125">
        <f t="shared" si="4"/>
        <v>4</v>
      </c>
      <c r="AA476" s="127" t="str">
        <f t="shared" si="5"/>
        <v>Alto</v>
      </c>
      <c r="AB476" s="128">
        <f t="shared" si="6"/>
        <v>22</v>
      </c>
      <c r="AC476" s="129">
        <f t="shared" si="7"/>
        <v>0.3035786554</v>
      </c>
      <c r="AD476" s="130"/>
    </row>
    <row r="477" ht="14.25" hidden="1" customHeight="1">
      <c r="A477" s="116" t="s">
        <v>403</v>
      </c>
      <c r="B477" s="117" t="s">
        <v>1602</v>
      </c>
      <c r="C477" s="117" t="s">
        <v>1655</v>
      </c>
      <c r="D477" s="117" t="s">
        <v>1658</v>
      </c>
      <c r="E477" s="117" t="s">
        <v>1655</v>
      </c>
      <c r="F477" s="117" t="s">
        <v>763</v>
      </c>
      <c r="G477" s="117" t="s">
        <v>408</v>
      </c>
      <c r="H477" s="117" t="s">
        <v>764</v>
      </c>
      <c r="I477" s="117">
        <v>1.0</v>
      </c>
      <c r="J477" s="117">
        <v>1.0</v>
      </c>
      <c r="K477" s="117" t="str">
        <f t="shared" si="1"/>
        <v>No</v>
      </c>
      <c r="L477" s="118" t="s">
        <v>116</v>
      </c>
      <c r="M477" s="119">
        <v>0.3333333333333333</v>
      </c>
      <c r="N477" s="120">
        <v>0.0</v>
      </c>
      <c r="O477" s="121"/>
      <c r="P477" s="117">
        <v>0.0</v>
      </c>
      <c r="Q477" s="117">
        <f t="shared" si="2"/>
        <v>0</v>
      </c>
      <c r="R477" s="122">
        <f>+(IF(((M477*24)-P477)&lt;0,0,((M477*24)-P477)*'Estimación de pérdidas'!$F$72))*N477</f>
        <v>0</v>
      </c>
      <c r="S477" s="123" t="s">
        <v>272</v>
      </c>
      <c r="T477" s="124" t="s">
        <v>106</v>
      </c>
      <c r="U477" s="124">
        <f t="shared" si="3"/>
        <v>1</v>
      </c>
      <c r="V477" s="124">
        <v>1.0</v>
      </c>
      <c r="W477" s="124">
        <v>4.0</v>
      </c>
      <c r="X477" s="125"/>
      <c r="Y477" s="126"/>
      <c r="Z477" s="125">
        <f t="shared" si="4"/>
        <v>4</v>
      </c>
      <c r="AA477" s="127" t="str">
        <f t="shared" si="5"/>
        <v>Alto</v>
      </c>
      <c r="AB477" s="128">
        <f t="shared" si="6"/>
        <v>22</v>
      </c>
      <c r="AC477" s="129">
        <f t="shared" si="7"/>
        <v>0.3035786554</v>
      </c>
      <c r="AD477" s="130"/>
    </row>
    <row r="478" ht="14.25" hidden="1" customHeight="1">
      <c r="A478" s="116" t="s">
        <v>847</v>
      </c>
      <c r="B478" s="117" t="s">
        <v>848</v>
      </c>
      <c r="C478" s="117" t="s">
        <v>1659</v>
      </c>
      <c r="D478" s="117" t="s">
        <v>1660</v>
      </c>
      <c r="E478" s="117" t="s">
        <v>1659</v>
      </c>
      <c r="F478" s="117" t="s">
        <v>1661</v>
      </c>
      <c r="G478" s="117" t="s">
        <v>270</v>
      </c>
      <c r="H478" s="117" t="s">
        <v>1662</v>
      </c>
      <c r="I478" s="117">
        <v>1.0</v>
      </c>
      <c r="J478" s="117">
        <v>1.0</v>
      </c>
      <c r="K478" s="117" t="str">
        <f t="shared" si="1"/>
        <v>No</v>
      </c>
      <c r="L478" s="118" t="s">
        <v>116</v>
      </c>
      <c r="M478" s="119">
        <v>0.25</v>
      </c>
      <c r="N478" s="120">
        <v>1.0</v>
      </c>
      <c r="O478" s="121">
        <v>91.32</v>
      </c>
      <c r="P478" s="117">
        <v>12.0</v>
      </c>
      <c r="Q478" s="117">
        <f t="shared" si="2"/>
        <v>0</v>
      </c>
      <c r="R478" s="122">
        <f>+(IF(((M478*24)-P478)&lt;0,0,((M478*24)-P478)*'Estimación de pérdidas'!$F$72))*N478</f>
        <v>0</v>
      </c>
      <c r="S478" s="123" t="s">
        <v>117</v>
      </c>
      <c r="T478" s="124" t="s">
        <v>119</v>
      </c>
      <c r="U478" s="124">
        <f t="shared" si="3"/>
        <v>1</v>
      </c>
      <c r="V478" s="124">
        <v>1.0</v>
      </c>
      <c r="W478" s="124"/>
      <c r="X478" s="125"/>
      <c r="Y478" s="126"/>
      <c r="Z478" s="125">
        <f t="shared" si="4"/>
        <v>1</v>
      </c>
      <c r="AA478" s="127" t="str">
        <f t="shared" si="5"/>
        <v>Bajo</v>
      </c>
      <c r="AB478" s="128">
        <f t="shared" si="6"/>
        <v>4</v>
      </c>
      <c r="AC478" s="129">
        <f t="shared" si="7"/>
        <v>0.07589466384</v>
      </c>
    </row>
    <row r="479" ht="14.25" hidden="1" customHeight="1">
      <c r="A479" s="116" t="s">
        <v>847</v>
      </c>
      <c r="B479" s="117" t="s">
        <v>848</v>
      </c>
      <c r="C479" s="117" t="s">
        <v>1663</v>
      </c>
      <c r="D479" s="117" t="s">
        <v>1664</v>
      </c>
      <c r="E479" s="117" t="s">
        <v>1665</v>
      </c>
      <c r="F479" s="117" t="s">
        <v>1666</v>
      </c>
      <c r="G479" s="117" t="s">
        <v>179</v>
      </c>
      <c r="H479" s="117" t="s">
        <v>597</v>
      </c>
      <c r="I479" s="117">
        <v>1.0</v>
      </c>
      <c r="J479" s="117">
        <v>1.0</v>
      </c>
      <c r="K479" s="117" t="str">
        <f t="shared" si="1"/>
        <v>No</v>
      </c>
      <c r="L479" s="118" t="s">
        <v>116</v>
      </c>
      <c r="M479" s="119">
        <v>0.33</v>
      </c>
      <c r="N479" s="120">
        <v>1.0</v>
      </c>
      <c r="O479" s="121">
        <v>91.32</v>
      </c>
      <c r="P479" s="117">
        <v>12.0</v>
      </c>
      <c r="Q479" s="117">
        <f t="shared" si="2"/>
        <v>0</v>
      </c>
      <c r="R479" s="122">
        <f>+(IF(((M479*24)-P479)&lt;0,0,((M479*24)-P479)*'Estimación de pérdidas'!$F$72))*N479</f>
        <v>0</v>
      </c>
      <c r="S479" s="123" t="s">
        <v>117</v>
      </c>
      <c r="T479" s="124" t="s">
        <v>118</v>
      </c>
      <c r="U479" s="124">
        <f t="shared" si="3"/>
        <v>1</v>
      </c>
      <c r="V479" s="124">
        <v>1.0</v>
      </c>
      <c r="W479" s="124"/>
      <c r="X479" s="125"/>
      <c r="Y479" s="126"/>
      <c r="Z479" s="125">
        <f t="shared" si="4"/>
        <v>1</v>
      </c>
      <c r="AA479" s="127" t="str">
        <f t="shared" si="5"/>
        <v>Bajo</v>
      </c>
      <c r="AB479" s="128">
        <f t="shared" si="6"/>
        <v>2</v>
      </c>
      <c r="AC479" s="129">
        <f t="shared" si="7"/>
        <v>0.05059644256</v>
      </c>
    </row>
    <row r="480" ht="14.25" hidden="1" customHeight="1">
      <c r="A480" s="116" t="s">
        <v>847</v>
      </c>
      <c r="B480" s="117" t="s">
        <v>848</v>
      </c>
      <c r="C480" s="117" t="s">
        <v>1667</v>
      </c>
      <c r="D480" s="117" t="s">
        <v>1668</v>
      </c>
      <c r="E480" s="117" t="s">
        <v>1667</v>
      </c>
      <c r="F480" s="117" t="s">
        <v>1669</v>
      </c>
      <c r="G480" s="117" t="s">
        <v>622</v>
      </c>
      <c r="H480" s="117" t="s">
        <v>623</v>
      </c>
      <c r="I480" s="117">
        <v>1.0</v>
      </c>
      <c r="J480" s="117">
        <v>1.0</v>
      </c>
      <c r="K480" s="117" t="str">
        <f t="shared" si="1"/>
        <v>No</v>
      </c>
      <c r="L480" s="118" t="s">
        <v>116</v>
      </c>
      <c r="M480" s="119">
        <v>0.25</v>
      </c>
      <c r="N480" s="120">
        <v>1.0</v>
      </c>
      <c r="O480" s="121">
        <v>91.32</v>
      </c>
      <c r="P480" s="117">
        <v>12.0</v>
      </c>
      <c r="Q480" s="117">
        <f t="shared" si="2"/>
        <v>0</v>
      </c>
      <c r="R480" s="122">
        <f>+(IF(((M480*24)-P480)&lt;0,0,((M480*24)-P480)*'Estimación de pérdidas'!$F$72))*N480</f>
        <v>0</v>
      </c>
      <c r="S480" s="123" t="s">
        <v>117</v>
      </c>
      <c r="T480" s="124" t="s">
        <v>119</v>
      </c>
      <c r="U480" s="124">
        <f t="shared" si="3"/>
        <v>1</v>
      </c>
      <c r="V480" s="124">
        <v>1.0</v>
      </c>
      <c r="W480" s="124"/>
      <c r="X480" s="125"/>
      <c r="Y480" s="126"/>
      <c r="Z480" s="125">
        <f t="shared" si="4"/>
        <v>1</v>
      </c>
      <c r="AA480" s="127" t="str">
        <f t="shared" si="5"/>
        <v>Bajo</v>
      </c>
      <c r="AB480" s="128">
        <f t="shared" si="6"/>
        <v>4</v>
      </c>
      <c r="AC480" s="129">
        <f t="shared" si="7"/>
        <v>0.07589466384</v>
      </c>
    </row>
    <row r="481" ht="14.25" hidden="1" customHeight="1">
      <c r="A481" s="116" t="s">
        <v>847</v>
      </c>
      <c r="B481" s="117" t="s">
        <v>848</v>
      </c>
      <c r="C481" s="117" t="s">
        <v>1670</v>
      </c>
      <c r="D481" s="117" t="s">
        <v>1671</v>
      </c>
      <c r="E481" s="117" t="s">
        <v>1670</v>
      </c>
      <c r="F481" s="117" t="s">
        <v>1672</v>
      </c>
      <c r="G481" s="117" t="s">
        <v>165</v>
      </c>
      <c r="H481" s="117" t="s">
        <v>353</v>
      </c>
      <c r="I481" s="117">
        <v>1.0</v>
      </c>
      <c r="J481" s="117">
        <v>1.0</v>
      </c>
      <c r="K481" s="117" t="str">
        <f t="shared" si="1"/>
        <v>No</v>
      </c>
      <c r="L481" s="118" t="s">
        <v>116</v>
      </c>
      <c r="M481" s="119">
        <v>0.3333333333333333</v>
      </c>
      <c r="N481" s="120">
        <v>1.0</v>
      </c>
      <c r="O481" s="121">
        <v>91.32</v>
      </c>
      <c r="P481" s="117">
        <v>12.0</v>
      </c>
      <c r="Q481" s="117">
        <f t="shared" si="2"/>
        <v>0</v>
      </c>
      <c r="R481" s="122">
        <f>+(IF(((M481*24)-P481)&lt;0,0,((M481*24)-P481)*'Estimación de pérdidas'!$F$72))*N481</f>
        <v>0</v>
      </c>
      <c r="S481" s="123" t="s">
        <v>117</v>
      </c>
      <c r="T481" s="124" t="s">
        <v>118</v>
      </c>
      <c r="U481" s="124">
        <f t="shared" si="3"/>
        <v>1</v>
      </c>
      <c r="V481" s="124">
        <v>1.0</v>
      </c>
      <c r="W481" s="124"/>
      <c r="X481" s="125"/>
      <c r="Y481" s="126"/>
      <c r="Z481" s="125">
        <f t="shared" si="4"/>
        <v>1</v>
      </c>
      <c r="AA481" s="127" t="str">
        <f t="shared" si="5"/>
        <v>Bajo</v>
      </c>
      <c r="AB481" s="128">
        <f t="shared" si="6"/>
        <v>2</v>
      </c>
      <c r="AC481" s="129">
        <f t="shared" si="7"/>
        <v>0.05059644256</v>
      </c>
    </row>
    <row r="482" ht="14.25" hidden="1" customHeight="1">
      <c r="A482" s="116" t="s">
        <v>847</v>
      </c>
      <c r="B482" s="117" t="s">
        <v>848</v>
      </c>
      <c r="C482" s="117" t="s">
        <v>1673</v>
      </c>
      <c r="D482" s="117" t="s">
        <v>1674</v>
      </c>
      <c r="E482" s="117" t="s">
        <v>1673</v>
      </c>
      <c r="F482" s="117" t="s">
        <v>365</v>
      </c>
      <c r="G482" s="117" t="s">
        <v>171</v>
      </c>
      <c r="H482" s="117" t="s">
        <v>172</v>
      </c>
      <c r="I482" s="117">
        <v>1.0</v>
      </c>
      <c r="J482" s="117">
        <v>1.0</v>
      </c>
      <c r="K482" s="117" t="str">
        <f t="shared" si="1"/>
        <v>No</v>
      </c>
      <c r="L482" s="118" t="s">
        <v>116</v>
      </c>
      <c r="M482" s="119">
        <v>0.3333333333333333</v>
      </c>
      <c r="N482" s="120">
        <v>1.0</v>
      </c>
      <c r="O482" s="121">
        <v>0.16666666666666666</v>
      </c>
      <c r="P482" s="117">
        <v>20.0</v>
      </c>
      <c r="Q482" s="117">
        <f t="shared" si="2"/>
        <v>0</v>
      </c>
      <c r="R482" s="122">
        <f>+(IF(((M482*24)-P482)&lt;0,0,((M482*24)-P482)*'Estimación de pérdidas'!$F$72))*N482</f>
        <v>0</v>
      </c>
      <c r="S482" s="123" t="s">
        <v>117</v>
      </c>
      <c r="T482" s="124" t="s">
        <v>119</v>
      </c>
      <c r="U482" s="124">
        <f t="shared" si="3"/>
        <v>1</v>
      </c>
      <c r="V482" s="124">
        <v>1.0</v>
      </c>
      <c r="W482" s="124"/>
      <c r="X482" s="125"/>
      <c r="Y482" s="126"/>
      <c r="Z482" s="125">
        <f t="shared" si="4"/>
        <v>1</v>
      </c>
      <c r="AA482" s="127" t="str">
        <f t="shared" si="5"/>
        <v>Bajo</v>
      </c>
      <c r="AB482" s="128">
        <f t="shared" si="6"/>
        <v>4</v>
      </c>
      <c r="AC482" s="129">
        <f t="shared" si="7"/>
        <v>0.07589466384</v>
      </c>
    </row>
    <row r="483" ht="14.25" hidden="1" customHeight="1">
      <c r="A483" s="116" t="s">
        <v>847</v>
      </c>
      <c r="B483" s="117" t="s">
        <v>848</v>
      </c>
      <c r="C483" s="117" t="s">
        <v>1675</v>
      </c>
      <c r="D483" s="117" t="s">
        <v>1676</v>
      </c>
      <c r="E483" s="117" t="s">
        <v>1675</v>
      </c>
      <c r="F483" s="117" t="s">
        <v>1677</v>
      </c>
      <c r="G483" s="117" t="s">
        <v>1678</v>
      </c>
      <c r="H483" s="117" t="s">
        <v>1679</v>
      </c>
      <c r="I483" s="117">
        <v>1.0</v>
      </c>
      <c r="J483" s="117">
        <v>1.0</v>
      </c>
      <c r="K483" s="117" t="str">
        <f t="shared" si="1"/>
        <v>No</v>
      </c>
      <c r="L483" s="118" t="s">
        <v>116</v>
      </c>
      <c r="M483" s="119">
        <v>0.25</v>
      </c>
      <c r="N483" s="120">
        <v>1.0</v>
      </c>
      <c r="O483" s="121">
        <v>91.32</v>
      </c>
      <c r="P483" s="117">
        <v>1.0</v>
      </c>
      <c r="Q483" s="117">
        <f t="shared" si="2"/>
        <v>5</v>
      </c>
      <c r="R483" s="122">
        <f>+(IF(((M483*24)-P483)&lt;0,0,((M483*24)-P483)*'Estimación de pérdidas'!$F$72))*N483</f>
        <v>288390.3746</v>
      </c>
      <c r="S483" s="123" t="s">
        <v>117</v>
      </c>
      <c r="T483" s="124" t="s">
        <v>119</v>
      </c>
      <c r="U483" s="124">
        <f t="shared" si="3"/>
        <v>3</v>
      </c>
      <c r="V483" s="124">
        <v>1.0</v>
      </c>
      <c r="W483" s="124"/>
      <c r="X483" s="125"/>
      <c r="Y483" s="126"/>
      <c r="Z483" s="125">
        <f t="shared" si="4"/>
        <v>3</v>
      </c>
      <c r="AA483" s="127" t="str">
        <f t="shared" si="5"/>
        <v>Moderado</v>
      </c>
      <c r="AB483" s="128">
        <f t="shared" si="6"/>
        <v>13</v>
      </c>
      <c r="AC483" s="129">
        <f t="shared" si="7"/>
        <v>0.1697056275</v>
      </c>
      <c r="AD483" s="131"/>
    </row>
    <row r="484" ht="14.25" hidden="1" customHeight="1">
      <c r="A484" s="116" t="s">
        <v>847</v>
      </c>
      <c r="B484" s="117" t="s">
        <v>848</v>
      </c>
      <c r="C484" s="117" t="s">
        <v>1675</v>
      </c>
      <c r="D484" s="117" t="s">
        <v>1680</v>
      </c>
      <c r="E484" s="117" t="s">
        <v>1675</v>
      </c>
      <c r="F484" s="117" t="s">
        <v>1681</v>
      </c>
      <c r="G484" s="117" t="s">
        <v>1678</v>
      </c>
      <c r="H484" s="117" t="s">
        <v>1679</v>
      </c>
      <c r="I484" s="117">
        <v>1.0</v>
      </c>
      <c r="J484" s="117">
        <v>1.0</v>
      </c>
      <c r="K484" s="117" t="str">
        <f t="shared" si="1"/>
        <v>No</v>
      </c>
      <c r="L484" s="118" t="s">
        <v>116</v>
      </c>
      <c r="M484" s="119">
        <v>0.25</v>
      </c>
      <c r="N484" s="120">
        <v>1.0</v>
      </c>
      <c r="O484" s="121">
        <v>91.32</v>
      </c>
      <c r="P484" s="117">
        <v>1.0</v>
      </c>
      <c r="Q484" s="117">
        <f t="shared" si="2"/>
        <v>5</v>
      </c>
      <c r="R484" s="122">
        <f>+(IF(((M484*24)-P484)&lt;0,0,((M484*24)-P484)*'Estimación de pérdidas'!$F$72))*N484</f>
        <v>288390.3746</v>
      </c>
      <c r="S484" s="123" t="s">
        <v>117</v>
      </c>
      <c r="T484" s="124" t="s">
        <v>119</v>
      </c>
      <c r="U484" s="124">
        <f t="shared" si="3"/>
        <v>3</v>
      </c>
      <c r="V484" s="124">
        <v>1.0</v>
      </c>
      <c r="W484" s="124"/>
      <c r="X484" s="125"/>
      <c r="Y484" s="126"/>
      <c r="Z484" s="125">
        <f t="shared" si="4"/>
        <v>3</v>
      </c>
      <c r="AA484" s="127" t="str">
        <f t="shared" si="5"/>
        <v>Moderado</v>
      </c>
      <c r="AB484" s="128">
        <f t="shared" si="6"/>
        <v>13</v>
      </c>
      <c r="AC484" s="129">
        <f t="shared" si="7"/>
        <v>0.1697056275</v>
      </c>
      <c r="AD484" s="131"/>
    </row>
    <row r="485" ht="14.25" hidden="1" customHeight="1">
      <c r="A485" s="116" t="s">
        <v>847</v>
      </c>
      <c r="B485" s="117" t="s">
        <v>848</v>
      </c>
      <c r="C485" s="117" t="s">
        <v>1675</v>
      </c>
      <c r="D485" s="117" t="s">
        <v>1682</v>
      </c>
      <c r="E485" s="117" t="s">
        <v>1675</v>
      </c>
      <c r="F485" s="117" t="s">
        <v>1683</v>
      </c>
      <c r="G485" s="117" t="s">
        <v>1678</v>
      </c>
      <c r="H485" s="117" t="s">
        <v>1679</v>
      </c>
      <c r="I485" s="117">
        <v>1.0</v>
      </c>
      <c r="J485" s="117">
        <v>1.0</v>
      </c>
      <c r="K485" s="117" t="str">
        <f t="shared" si="1"/>
        <v>No</v>
      </c>
      <c r="L485" s="118" t="s">
        <v>116</v>
      </c>
      <c r="M485" s="119">
        <v>0.25</v>
      </c>
      <c r="N485" s="120">
        <v>1.0</v>
      </c>
      <c r="O485" s="121">
        <v>91.32</v>
      </c>
      <c r="P485" s="117">
        <v>1.0</v>
      </c>
      <c r="Q485" s="117">
        <f t="shared" si="2"/>
        <v>5</v>
      </c>
      <c r="R485" s="122">
        <f>+(IF(((M485*24)-P485)&lt;0,0,((M485*24)-P485)*'Estimación de pérdidas'!$F$72))*N485</f>
        <v>288390.3746</v>
      </c>
      <c r="S485" s="123" t="s">
        <v>117</v>
      </c>
      <c r="T485" s="124" t="s">
        <v>119</v>
      </c>
      <c r="U485" s="124">
        <f t="shared" si="3"/>
        <v>3</v>
      </c>
      <c r="V485" s="124">
        <v>1.0</v>
      </c>
      <c r="W485" s="124"/>
      <c r="X485" s="125"/>
      <c r="Y485" s="126"/>
      <c r="Z485" s="125">
        <f t="shared" si="4"/>
        <v>3</v>
      </c>
      <c r="AA485" s="127" t="str">
        <f t="shared" si="5"/>
        <v>Moderado</v>
      </c>
      <c r="AB485" s="128">
        <f t="shared" si="6"/>
        <v>13</v>
      </c>
      <c r="AC485" s="129">
        <f t="shared" si="7"/>
        <v>0.1697056275</v>
      </c>
      <c r="AD485" s="131"/>
    </row>
    <row r="486" ht="14.25" hidden="1" customHeight="1">
      <c r="A486" s="116" t="s">
        <v>847</v>
      </c>
      <c r="B486" s="117" t="s">
        <v>848</v>
      </c>
      <c r="C486" s="117" t="s">
        <v>1675</v>
      </c>
      <c r="D486" s="117" t="s">
        <v>1684</v>
      </c>
      <c r="E486" s="117" t="s">
        <v>1675</v>
      </c>
      <c r="F486" s="117" t="s">
        <v>1685</v>
      </c>
      <c r="G486" s="117" t="s">
        <v>1678</v>
      </c>
      <c r="H486" s="117" t="s">
        <v>1679</v>
      </c>
      <c r="I486" s="117">
        <v>1.0</v>
      </c>
      <c r="J486" s="117">
        <v>1.0</v>
      </c>
      <c r="K486" s="117" t="str">
        <f t="shared" si="1"/>
        <v>No</v>
      </c>
      <c r="L486" s="118" t="s">
        <v>116</v>
      </c>
      <c r="M486" s="119">
        <v>0.25</v>
      </c>
      <c r="N486" s="120">
        <v>1.0</v>
      </c>
      <c r="O486" s="121">
        <v>91.32</v>
      </c>
      <c r="P486" s="117">
        <v>1.0</v>
      </c>
      <c r="Q486" s="117">
        <f t="shared" si="2"/>
        <v>5</v>
      </c>
      <c r="R486" s="122">
        <f>+(IF(((M486*24)-P486)&lt;0,0,((M486*24)-P486)*'Estimación de pérdidas'!$F$72))*N486</f>
        <v>288390.3746</v>
      </c>
      <c r="S486" s="123" t="s">
        <v>117</v>
      </c>
      <c r="T486" s="124" t="s">
        <v>119</v>
      </c>
      <c r="U486" s="124">
        <f t="shared" si="3"/>
        <v>3</v>
      </c>
      <c r="V486" s="124">
        <v>1.0</v>
      </c>
      <c r="W486" s="124"/>
      <c r="X486" s="125"/>
      <c r="Y486" s="126"/>
      <c r="Z486" s="125">
        <f t="shared" si="4"/>
        <v>3</v>
      </c>
      <c r="AA486" s="127" t="str">
        <f t="shared" si="5"/>
        <v>Moderado</v>
      </c>
      <c r="AB486" s="128">
        <f t="shared" si="6"/>
        <v>13</v>
      </c>
      <c r="AC486" s="129">
        <f t="shared" si="7"/>
        <v>0.1697056275</v>
      </c>
      <c r="AD486" s="131"/>
    </row>
    <row r="487" ht="14.25" hidden="1" customHeight="1">
      <c r="A487" s="116" t="s">
        <v>847</v>
      </c>
      <c r="B487" s="117" t="s">
        <v>848</v>
      </c>
      <c r="C487" s="117" t="s">
        <v>1675</v>
      </c>
      <c r="D487" s="117" t="s">
        <v>1686</v>
      </c>
      <c r="E487" s="117" t="s">
        <v>1675</v>
      </c>
      <c r="F487" s="117" t="s">
        <v>1687</v>
      </c>
      <c r="G487" s="117" t="s">
        <v>1678</v>
      </c>
      <c r="H487" s="117" t="s">
        <v>1679</v>
      </c>
      <c r="I487" s="117">
        <v>1.0</v>
      </c>
      <c r="J487" s="117">
        <v>1.0</v>
      </c>
      <c r="K487" s="117" t="str">
        <f t="shared" si="1"/>
        <v>No</v>
      </c>
      <c r="L487" s="118" t="s">
        <v>116</v>
      </c>
      <c r="M487" s="119">
        <v>0.25</v>
      </c>
      <c r="N487" s="120">
        <v>1.0</v>
      </c>
      <c r="O487" s="121">
        <v>91.32</v>
      </c>
      <c r="P487" s="117">
        <v>1.0</v>
      </c>
      <c r="Q487" s="117">
        <f t="shared" si="2"/>
        <v>5</v>
      </c>
      <c r="R487" s="122">
        <f>+(IF(((M487*24)-P487)&lt;0,0,((M487*24)-P487)*'Estimación de pérdidas'!$F$72))*N487</f>
        <v>288390.3746</v>
      </c>
      <c r="S487" s="123" t="s">
        <v>117</v>
      </c>
      <c r="T487" s="124" t="s">
        <v>119</v>
      </c>
      <c r="U487" s="124">
        <f t="shared" si="3"/>
        <v>3</v>
      </c>
      <c r="V487" s="124">
        <v>1.0</v>
      </c>
      <c r="W487" s="124"/>
      <c r="X487" s="125"/>
      <c r="Y487" s="126"/>
      <c r="Z487" s="125">
        <f t="shared" si="4"/>
        <v>3</v>
      </c>
      <c r="AA487" s="127" t="str">
        <f t="shared" si="5"/>
        <v>Moderado</v>
      </c>
      <c r="AB487" s="128">
        <f t="shared" si="6"/>
        <v>13</v>
      </c>
      <c r="AC487" s="129">
        <f t="shared" si="7"/>
        <v>0.1697056275</v>
      </c>
      <c r="AD487" s="131"/>
    </row>
    <row r="488" ht="14.25" hidden="1" customHeight="1">
      <c r="A488" s="116" t="s">
        <v>847</v>
      </c>
      <c r="B488" s="117" t="s">
        <v>848</v>
      </c>
      <c r="C488" s="117" t="s">
        <v>1675</v>
      </c>
      <c r="D488" s="117" t="s">
        <v>1688</v>
      </c>
      <c r="E488" s="117" t="s">
        <v>1675</v>
      </c>
      <c r="F488" s="117" t="s">
        <v>1689</v>
      </c>
      <c r="G488" s="117" t="s">
        <v>1678</v>
      </c>
      <c r="H488" s="117" t="s">
        <v>1679</v>
      </c>
      <c r="I488" s="117">
        <v>1.0</v>
      </c>
      <c r="J488" s="117">
        <v>1.0</v>
      </c>
      <c r="K488" s="117" t="str">
        <f t="shared" si="1"/>
        <v>No</v>
      </c>
      <c r="L488" s="118" t="s">
        <v>116</v>
      </c>
      <c r="M488" s="119">
        <v>0.25</v>
      </c>
      <c r="N488" s="120">
        <v>1.0</v>
      </c>
      <c r="O488" s="121">
        <v>91.32</v>
      </c>
      <c r="P488" s="117">
        <v>1.0</v>
      </c>
      <c r="Q488" s="117">
        <f t="shared" si="2"/>
        <v>5</v>
      </c>
      <c r="R488" s="122">
        <f>+(IF(((M488*24)-P488)&lt;0,0,((M488*24)-P488)*'Estimación de pérdidas'!$F$72))*N488</f>
        <v>288390.3746</v>
      </c>
      <c r="S488" s="123" t="s">
        <v>117</v>
      </c>
      <c r="T488" s="124" t="s">
        <v>119</v>
      </c>
      <c r="U488" s="124">
        <f t="shared" si="3"/>
        <v>3</v>
      </c>
      <c r="V488" s="124">
        <v>1.0</v>
      </c>
      <c r="W488" s="124"/>
      <c r="X488" s="125"/>
      <c r="Y488" s="126"/>
      <c r="Z488" s="125">
        <f t="shared" si="4"/>
        <v>3</v>
      </c>
      <c r="AA488" s="127" t="str">
        <f t="shared" si="5"/>
        <v>Moderado</v>
      </c>
      <c r="AB488" s="128">
        <f t="shared" si="6"/>
        <v>13</v>
      </c>
      <c r="AC488" s="129">
        <f t="shared" si="7"/>
        <v>0.1697056275</v>
      </c>
      <c r="AD488" s="131"/>
    </row>
    <row r="489" ht="14.25" hidden="1" customHeight="1">
      <c r="A489" s="116" t="s">
        <v>847</v>
      </c>
      <c r="B489" s="117" t="s">
        <v>848</v>
      </c>
      <c r="C489" s="117" t="s">
        <v>1690</v>
      </c>
      <c r="D489" s="117" t="s">
        <v>1691</v>
      </c>
      <c r="E489" s="117" t="s">
        <v>1690</v>
      </c>
      <c r="F489" s="117" t="s">
        <v>1692</v>
      </c>
      <c r="G489" s="117" t="s">
        <v>205</v>
      </c>
      <c r="H489" s="117" t="s">
        <v>729</v>
      </c>
      <c r="I489" s="117">
        <v>7.0</v>
      </c>
      <c r="J489" s="117">
        <v>5.0</v>
      </c>
      <c r="K489" s="117" t="str">
        <f t="shared" si="1"/>
        <v>Si</v>
      </c>
      <c r="L489" s="118" t="s">
        <v>287</v>
      </c>
      <c r="M489" s="119">
        <v>0.25</v>
      </c>
      <c r="N489" s="120">
        <v>0.5</v>
      </c>
      <c r="O489" s="121">
        <v>91.32</v>
      </c>
      <c r="P489" s="117">
        <v>2.0</v>
      </c>
      <c r="Q489" s="117">
        <f t="shared" si="2"/>
        <v>2</v>
      </c>
      <c r="R489" s="122">
        <f>+(IF(((M489*24)-P489)&lt;0,0,((M489*24)-P489)*'Estimación de pérdidas'!$F$72))*N489</f>
        <v>115356.1498</v>
      </c>
      <c r="S489" s="123" t="s">
        <v>117</v>
      </c>
      <c r="T489" s="124" t="s">
        <v>106</v>
      </c>
      <c r="U489" s="124">
        <f t="shared" si="3"/>
        <v>2</v>
      </c>
      <c r="V489" s="124">
        <v>1.0</v>
      </c>
      <c r="W489" s="124"/>
      <c r="X489" s="125"/>
      <c r="Y489" s="126"/>
      <c r="Z489" s="125">
        <f t="shared" si="4"/>
        <v>2</v>
      </c>
      <c r="AA489" s="127" t="str">
        <f t="shared" si="5"/>
        <v>Moderado</v>
      </c>
      <c r="AB489" s="128">
        <f t="shared" si="6"/>
        <v>12</v>
      </c>
      <c r="AC489" s="129">
        <f t="shared" si="7"/>
        <v>0.16</v>
      </c>
      <c r="AD489" s="131"/>
    </row>
    <row r="490" ht="14.25" hidden="1" customHeight="1">
      <c r="A490" s="116" t="s">
        <v>847</v>
      </c>
      <c r="B490" s="117" t="s">
        <v>848</v>
      </c>
      <c r="C490" s="117" t="s">
        <v>1690</v>
      </c>
      <c r="D490" s="117" t="s">
        <v>1693</v>
      </c>
      <c r="E490" s="117" t="s">
        <v>1690</v>
      </c>
      <c r="F490" s="117" t="s">
        <v>1692</v>
      </c>
      <c r="G490" s="117" t="s">
        <v>205</v>
      </c>
      <c r="H490" s="117" t="s">
        <v>729</v>
      </c>
      <c r="I490" s="117">
        <v>7.0</v>
      </c>
      <c r="J490" s="117">
        <v>5.0</v>
      </c>
      <c r="K490" s="117" t="str">
        <f t="shared" si="1"/>
        <v>Si</v>
      </c>
      <c r="L490" s="118" t="s">
        <v>287</v>
      </c>
      <c r="M490" s="119">
        <v>0.25</v>
      </c>
      <c r="N490" s="120">
        <v>0.5</v>
      </c>
      <c r="O490" s="121">
        <v>91.32</v>
      </c>
      <c r="P490" s="117">
        <v>2.0</v>
      </c>
      <c r="Q490" s="117">
        <f t="shared" si="2"/>
        <v>2</v>
      </c>
      <c r="R490" s="122">
        <f>+(IF(((M490*24)-P490)&lt;0,0,((M490*24)-P490)*'Estimación de pérdidas'!$F$72))*N490</f>
        <v>115356.1498</v>
      </c>
      <c r="S490" s="123" t="s">
        <v>117</v>
      </c>
      <c r="T490" s="124" t="s">
        <v>106</v>
      </c>
      <c r="U490" s="124">
        <f t="shared" si="3"/>
        <v>2</v>
      </c>
      <c r="V490" s="124">
        <v>1.0</v>
      </c>
      <c r="W490" s="124"/>
      <c r="X490" s="125"/>
      <c r="Y490" s="126"/>
      <c r="Z490" s="125">
        <f t="shared" si="4"/>
        <v>2</v>
      </c>
      <c r="AA490" s="127" t="str">
        <f t="shared" si="5"/>
        <v>Moderado</v>
      </c>
      <c r="AB490" s="128">
        <f t="shared" si="6"/>
        <v>12</v>
      </c>
      <c r="AC490" s="129">
        <f t="shared" si="7"/>
        <v>0.16</v>
      </c>
      <c r="AD490" s="131"/>
    </row>
    <row r="491" ht="14.25" hidden="1" customHeight="1">
      <c r="A491" s="116" t="s">
        <v>847</v>
      </c>
      <c r="B491" s="117" t="s">
        <v>848</v>
      </c>
      <c r="C491" s="117" t="s">
        <v>1690</v>
      </c>
      <c r="D491" s="117" t="s">
        <v>1694</v>
      </c>
      <c r="E491" s="117" t="s">
        <v>1690</v>
      </c>
      <c r="F491" s="117" t="s">
        <v>1692</v>
      </c>
      <c r="G491" s="117" t="s">
        <v>205</v>
      </c>
      <c r="H491" s="117" t="s">
        <v>729</v>
      </c>
      <c r="I491" s="117">
        <v>7.0</v>
      </c>
      <c r="J491" s="117">
        <v>5.0</v>
      </c>
      <c r="K491" s="117" t="str">
        <f t="shared" si="1"/>
        <v>Si</v>
      </c>
      <c r="L491" s="118" t="s">
        <v>287</v>
      </c>
      <c r="M491" s="119">
        <v>0.25</v>
      </c>
      <c r="N491" s="120">
        <v>0.5</v>
      </c>
      <c r="O491" s="121">
        <v>91.32</v>
      </c>
      <c r="P491" s="117">
        <v>2.0</v>
      </c>
      <c r="Q491" s="117">
        <f t="shared" si="2"/>
        <v>2</v>
      </c>
      <c r="R491" s="122">
        <f>+(IF(((M491*24)-P491)&lt;0,0,((M491*24)-P491)*'Estimación de pérdidas'!$F$72))*N491</f>
        <v>115356.1498</v>
      </c>
      <c r="S491" s="123" t="s">
        <v>117</v>
      </c>
      <c r="T491" s="124" t="s">
        <v>106</v>
      </c>
      <c r="U491" s="124">
        <f t="shared" si="3"/>
        <v>2</v>
      </c>
      <c r="V491" s="124">
        <v>1.0</v>
      </c>
      <c r="W491" s="124"/>
      <c r="X491" s="125"/>
      <c r="Y491" s="126"/>
      <c r="Z491" s="125">
        <f t="shared" si="4"/>
        <v>2</v>
      </c>
      <c r="AA491" s="127" t="str">
        <f t="shared" si="5"/>
        <v>Moderado</v>
      </c>
      <c r="AB491" s="128">
        <f t="shared" si="6"/>
        <v>12</v>
      </c>
      <c r="AC491" s="129">
        <f t="shared" si="7"/>
        <v>0.16</v>
      </c>
      <c r="AD491" s="131"/>
    </row>
    <row r="492" ht="14.25" hidden="1" customHeight="1">
      <c r="A492" s="116" t="s">
        <v>847</v>
      </c>
      <c r="B492" s="117" t="s">
        <v>848</v>
      </c>
      <c r="C492" s="117" t="s">
        <v>1690</v>
      </c>
      <c r="D492" s="117" t="s">
        <v>1695</v>
      </c>
      <c r="E492" s="117" t="s">
        <v>1690</v>
      </c>
      <c r="F492" s="117" t="s">
        <v>1692</v>
      </c>
      <c r="G492" s="117" t="s">
        <v>205</v>
      </c>
      <c r="H492" s="117" t="s">
        <v>729</v>
      </c>
      <c r="I492" s="117">
        <v>7.0</v>
      </c>
      <c r="J492" s="117">
        <v>5.0</v>
      </c>
      <c r="K492" s="117" t="str">
        <f t="shared" si="1"/>
        <v>Si</v>
      </c>
      <c r="L492" s="118" t="s">
        <v>287</v>
      </c>
      <c r="M492" s="119">
        <v>0.25</v>
      </c>
      <c r="N492" s="120">
        <v>0.5</v>
      </c>
      <c r="O492" s="121">
        <v>91.32</v>
      </c>
      <c r="P492" s="117">
        <v>2.0</v>
      </c>
      <c r="Q492" s="117">
        <f t="shared" si="2"/>
        <v>2</v>
      </c>
      <c r="R492" s="122">
        <f>+(IF(((M492*24)-P492)&lt;0,0,((M492*24)-P492)*'Estimación de pérdidas'!$F$72))*N492</f>
        <v>115356.1498</v>
      </c>
      <c r="S492" s="123" t="s">
        <v>117</v>
      </c>
      <c r="T492" s="124" t="s">
        <v>106</v>
      </c>
      <c r="U492" s="124">
        <f t="shared" si="3"/>
        <v>2</v>
      </c>
      <c r="V492" s="124">
        <v>1.0</v>
      </c>
      <c r="W492" s="124"/>
      <c r="X492" s="125"/>
      <c r="Y492" s="126"/>
      <c r="Z492" s="125">
        <f t="shared" si="4"/>
        <v>2</v>
      </c>
      <c r="AA492" s="127" t="str">
        <f t="shared" si="5"/>
        <v>Moderado</v>
      </c>
      <c r="AB492" s="128">
        <f t="shared" si="6"/>
        <v>12</v>
      </c>
      <c r="AC492" s="129">
        <f t="shared" si="7"/>
        <v>0.16</v>
      </c>
      <c r="AD492" s="131"/>
    </row>
    <row r="493" ht="14.25" hidden="1" customHeight="1">
      <c r="A493" s="116" t="s">
        <v>847</v>
      </c>
      <c r="B493" s="117" t="s">
        <v>848</v>
      </c>
      <c r="C493" s="117" t="s">
        <v>1690</v>
      </c>
      <c r="D493" s="117" t="s">
        <v>1696</v>
      </c>
      <c r="E493" s="117" t="s">
        <v>1690</v>
      </c>
      <c r="F493" s="117" t="s">
        <v>1692</v>
      </c>
      <c r="G493" s="117" t="s">
        <v>205</v>
      </c>
      <c r="H493" s="117" t="s">
        <v>729</v>
      </c>
      <c r="I493" s="117">
        <v>7.0</v>
      </c>
      <c r="J493" s="117">
        <v>5.0</v>
      </c>
      <c r="K493" s="117" t="str">
        <f t="shared" si="1"/>
        <v>Si</v>
      </c>
      <c r="L493" s="118" t="s">
        <v>287</v>
      </c>
      <c r="M493" s="119">
        <v>0.25</v>
      </c>
      <c r="N493" s="120">
        <v>0.5</v>
      </c>
      <c r="O493" s="121">
        <v>91.32</v>
      </c>
      <c r="P493" s="117">
        <v>2.0</v>
      </c>
      <c r="Q493" s="117">
        <f t="shared" si="2"/>
        <v>2</v>
      </c>
      <c r="R493" s="122">
        <f>+(IF(((M493*24)-P493)&lt;0,0,((M493*24)-P493)*'Estimación de pérdidas'!$F$72))*N493</f>
        <v>115356.1498</v>
      </c>
      <c r="S493" s="123" t="s">
        <v>117</v>
      </c>
      <c r="T493" s="124" t="s">
        <v>106</v>
      </c>
      <c r="U493" s="124">
        <f t="shared" si="3"/>
        <v>2</v>
      </c>
      <c r="V493" s="124">
        <v>1.0</v>
      </c>
      <c r="W493" s="124"/>
      <c r="X493" s="125"/>
      <c r="Y493" s="126"/>
      <c r="Z493" s="125">
        <f t="shared" si="4"/>
        <v>2</v>
      </c>
      <c r="AA493" s="127" t="str">
        <f t="shared" si="5"/>
        <v>Moderado</v>
      </c>
      <c r="AB493" s="128">
        <f t="shared" si="6"/>
        <v>12</v>
      </c>
      <c r="AC493" s="129">
        <f t="shared" si="7"/>
        <v>0.16</v>
      </c>
      <c r="AD493" s="131"/>
    </row>
    <row r="494" ht="14.25" hidden="1" customHeight="1">
      <c r="A494" s="116" t="s">
        <v>847</v>
      </c>
      <c r="B494" s="117" t="s">
        <v>848</v>
      </c>
      <c r="C494" s="117" t="s">
        <v>1690</v>
      </c>
      <c r="D494" s="117" t="s">
        <v>1697</v>
      </c>
      <c r="E494" s="117" t="s">
        <v>1690</v>
      </c>
      <c r="F494" s="117" t="s">
        <v>1698</v>
      </c>
      <c r="G494" s="117" t="s">
        <v>205</v>
      </c>
      <c r="H494" s="117" t="s">
        <v>491</v>
      </c>
      <c r="I494" s="117">
        <v>2.0</v>
      </c>
      <c r="J494" s="117">
        <v>1.0</v>
      </c>
      <c r="K494" s="117" t="str">
        <f t="shared" si="1"/>
        <v>Si</v>
      </c>
      <c r="L494" s="118" t="s">
        <v>287</v>
      </c>
      <c r="M494" s="119">
        <v>0.25</v>
      </c>
      <c r="N494" s="120">
        <v>0.0</v>
      </c>
      <c r="O494" s="121">
        <v>91.32</v>
      </c>
      <c r="P494" s="117">
        <v>1.0</v>
      </c>
      <c r="Q494" s="117">
        <f t="shared" si="2"/>
        <v>0</v>
      </c>
      <c r="R494" s="122">
        <f>+(IF(((M494*24)-P494)&lt;0,0,((M494*24)-P494)*'Estimación de pérdidas'!$F$72))*N494</f>
        <v>0</v>
      </c>
      <c r="S494" s="123" t="s">
        <v>117</v>
      </c>
      <c r="T494" s="124" t="s">
        <v>106</v>
      </c>
      <c r="U494" s="124">
        <f t="shared" si="3"/>
        <v>1</v>
      </c>
      <c r="V494" s="124">
        <v>1.0</v>
      </c>
      <c r="W494" s="124"/>
      <c r="X494" s="125"/>
      <c r="Y494" s="126"/>
      <c r="Z494" s="125">
        <f t="shared" si="4"/>
        <v>1</v>
      </c>
      <c r="AA494" s="127" t="str">
        <f t="shared" si="5"/>
        <v>Bajo</v>
      </c>
      <c r="AB494" s="128">
        <f t="shared" si="6"/>
        <v>7</v>
      </c>
      <c r="AC494" s="129">
        <f t="shared" si="7"/>
        <v>0.1011928851</v>
      </c>
    </row>
    <row r="495" ht="14.25" hidden="1" customHeight="1">
      <c r="A495" s="116" t="s">
        <v>847</v>
      </c>
      <c r="B495" s="117" t="s">
        <v>848</v>
      </c>
      <c r="C495" s="117" t="s">
        <v>1699</v>
      </c>
      <c r="D495" s="117" t="s">
        <v>1700</v>
      </c>
      <c r="E495" s="117" t="s">
        <v>1699</v>
      </c>
      <c r="F495" s="117" t="s">
        <v>1701</v>
      </c>
      <c r="G495" s="117" t="s">
        <v>205</v>
      </c>
      <c r="H495" s="117" t="s">
        <v>491</v>
      </c>
      <c r="I495" s="117">
        <v>1.0</v>
      </c>
      <c r="J495" s="117">
        <v>1.0</v>
      </c>
      <c r="K495" s="117" t="str">
        <f t="shared" si="1"/>
        <v>No</v>
      </c>
      <c r="L495" s="118" t="s">
        <v>116</v>
      </c>
      <c r="M495" s="119">
        <v>0.33</v>
      </c>
      <c r="N495" s="120">
        <v>0.0</v>
      </c>
      <c r="O495" s="121"/>
      <c r="P495" s="117">
        <v>0.0</v>
      </c>
      <c r="Q495" s="117">
        <f t="shared" si="2"/>
        <v>0</v>
      </c>
      <c r="R495" s="122">
        <f>+(IF(((M495*24)-P495)&lt;0,0,((M495*24)-P495)*'Estimación de pérdidas'!$F$72))*N495</f>
        <v>0</v>
      </c>
      <c r="S495" s="123" t="s">
        <v>117</v>
      </c>
      <c r="T495" s="124" t="s">
        <v>119</v>
      </c>
      <c r="U495" s="124">
        <f t="shared" si="3"/>
        <v>1</v>
      </c>
      <c r="V495" s="124">
        <v>1.0</v>
      </c>
      <c r="W495" s="124"/>
      <c r="X495" s="125"/>
      <c r="Y495" s="126"/>
      <c r="Z495" s="125">
        <f t="shared" si="4"/>
        <v>1</v>
      </c>
      <c r="AA495" s="127" t="str">
        <f t="shared" si="5"/>
        <v>Bajo</v>
      </c>
      <c r="AB495" s="128">
        <f t="shared" si="6"/>
        <v>4</v>
      </c>
      <c r="AC495" s="129">
        <f t="shared" si="7"/>
        <v>0.07589466384</v>
      </c>
    </row>
    <row r="496" ht="14.25" hidden="1" customHeight="1">
      <c r="A496" s="116" t="s">
        <v>847</v>
      </c>
      <c r="B496" s="117" t="s">
        <v>848</v>
      </c>
      <c r="C496" s="117" t="s">
        <v>1702</v>
      </c>
      <c r="D496" s="117" t="s">
        <v>1703</v>
      </c>
      <c r="E496" s="117" t="s">
        <v>1702</v>
      </c>
      <c r="F496" s="117" t="s">
        <v>1704</v>
      </c>
      <c r="G496" s="117" t="s">
        <v>205</v>
      </c>
      <c r="H496" s="117" t="s">
        <v>491</v>
      </c>
      <c r="I496" s="117">
        <v>2.0</v>
      </c>
      <c r="J496" s="117">
        <v>1.0</v>
      </c>
      <c r="K496" s="117" t="str">
        <f t="shared" si="1"/>
        <v>Si</v>
      </c>
      <c r="L496" s="118" t="s">
        <v>287</v>
      </c>
      <c r="M496" s="119">
        <v>0.25</v>
      </c>
      <c r="N496" s="120">
        <v>0.0</v>
      </c>
      <c r="O496" s="121">
        <v>91.32</v>
      </c>
      <c r="P496" s="117">
        <v>1.0</v>
      </c>
      <c r="Q496" s="117">
        <f t="shared" si="2"/>
        <v>0</v>
      </c>
      <c r="R496" s="122">
        <f>+(IF(((M496*24)-P496)&lt;0,0,((M496*24)-P496)*'Estimación de pérdidas'!$F$72))*N496</f>
        <v>0</v>
      </c>
      <c r="S496" s="123" t="s">
        <v>117</v>
      </c>
      <c r="T496" s="124" t="s">
        <v>106</v>
      </c>
      <c r="U496" s="124">
        <f t="shared" si="3"/>
        <v>1</v>
      </c>
      <c r="V496" s="124">
        <v>2.0</v>
      </c>
      <c r="W496" s="124"/>
      <c r="X496" s="125"/>
      <c r="Y496" s="126"/>
      <c r="Z496" s="125">
        <f t="shared" si="4"/>
        <v>2</v>
      </c>
      <c r="AA496" s="127" t="str">
        <f t="shared" si="5"/>
        <v>Moderado</v>
      </c>
      <c r="AB496" s="128">
        <f t="shared" si="6"/>
        <v>12</v>
      </c>
      <c r="AC496" s="129">
        <f t="shared" si="7"/>
        <v>0.16</v>
      </c>
      <c r="AD496" s="131"/>
    </row>
    <row r="497" ht="14.25" hidden="1" customHeight="1">
      <c r="A497" s="116" t="s">
        <v>847</v>
      </c>
      <c r="B497" s="117" t="s">
        <v>848</v>
      </c>
      <c r="C497" s="117" t="s">
        <v>1702</v>
      </c>
      <c r="D497" s="117" t="s">
        <v>1705</v>
      </c>
      <c r="E497" s="117" t="s">
        <v>1702</v>
      </c>
      <c r="F497" s="117" t="s">
        <v>1704</v>
      </c>
      <c r="G497" s="117" t="s">
        <v>205</v>
      </c>
      <c r="H497" s="117" t="s">
        <v>491</v>
      </c>
      <c r="I497" s="117">
        <v>2.0</v>
      </c>
      <c r="J497" s="117">
        <v>1.0</v>
      </c>
      <c r="K497" s="117" t="str">
        <f t="shared" si="1"/>
        <v>Si</v>
      </c>
      <c r="L497" s="118" t="s">
        <v>287</v>
      </c>
      <c r="M497" s="119">
        <v>0.25</v>
      </c>
      <c r="N497" s="120">
        <v>0.0</v>
      </c>
      <c r="O497" s="121">
        <v>91.32</v>
      </c>
      <c r="P497" s="117">
        <v>1.0</v>
      </c>
      <c r="Q497" s="117">
        <f t="shared" si="2"/>
        <v>0</v>
      </c>
      <c r="R497" s="122">
        <f>+(IF(((M497*24)-P497)&lt;0,0,((M497*24)-P497)*'Estimación de pérdidas'!$F$72))*N497</f>
        <v>0</v>
      </c>
      <c r="S497" s="123" t="s">
        <v>117</v>
      </c>
      <c r="T497" s="124" t="s">
        <v>106</v>
      </c>
      <c r="U497" s="124">
        <f t="shared" si="3"/>
        <v>1</v>
      </c>
      <c r="V497" s="124">
        <v>2.0</v>
      </c>
      <c r="W497" s="124"/>
      <c r="X497" s="125"/>
      <c r="Y497" s="126"/>
      <c r="Z497" s="125">
        <f t="shared" si="4"/>
        <v>2</v>
      </c>
      <c r="AA497" s="127" t="str">
        <f t="shared" si="5"/>
        <v>Moderado</v>
      </c>
      <c r="AB497" s="128">
        <f t="shared" si="6"/>
        <v>12</v>
      </c>
      <c r="AC497" s="129">
        <f t="shared" si="7"/>
        <v>0.16</v>
      </c>
      <c r="AD497" s="131"/>
    </row>
    <row r="498" ht="14.25" hidden="1" customHeight="1">
      <c r="A498" s="116" t="s">
        <v>403</v>
      </c>
      <c r="B498" s="117" t="s">
        <v>848</v>
      </c>
      <c r="C498" s="117" t="s">
        <v>761</v>
      </c>
      <c r="D498" s="117" t="s">
        <v>1706</v>
      </c>
      <c r="E498" s="117" t="s">
        <v>761</v>
      </c>
      <c r="F498" s="117" t="s">
        <v>763</v>
      </c>
      <c r="G498" s="117" t="s">
        <v>408</v>
      </c>
      <c r="H498" s="117" t="s">
        <v>764</v>
      </c>
      <c r="I498" s="117">
        <v>1.0</v>
      </c>
      <c r="J498" s="117">
        <v>1.0</v>
      </c>
      <c r="K498" s="117" t="str">
        <f t="shared" si="1"/>
        <v>No</v>
      </c>
      <c r="L498" s="118" t="s">
        <v>116</v>
      </c>
      <c r="M498" s="119">
        <v>0.3333333333333333</v>
      </c>
      <c r="N498" s="120">
        <v>0.0</v>
      </c>
      <c r="O498" s="121"/>
      <c r="P498" s="117">
        <v>0.0</v>
      </c>
      <c r="Q498" s="117">
        <f t="shared" si="2"/>
        <v>0</v>
      </c>
      <c r="R498" s="122">
        <f>+(IF(((M498*24)-P498)&lt;0,0,((M498*24)-P498)*'Estimación de pérdidas'!$F$72))*N498</f>
        <v>0</v>
      </c>
      <c r="S498" s="123" t="s">
        <v>272</v>
      </c>
      <c r="T498" s="124" t="s">
        <v>106</v>
      </c>
      <c r="U498" s="124">
        <f t="shared" si="3"/>
        <v>1</v>
      </c>
      <c r="V498" s="124">
        <v>1.0</v>
      </c>
      <c r="W498" s="124">
        <v>4.0</v>
      </c>
      <c r="X498" s="125"/>
      <c r="Y498" s="126"/>
      <c r="Z498" s="125">
        <f t="shared" si="4"/>
        <v>4</v>
      </c>
      <c r="AA498" s="127" t="str">
        <f t="shared" si="5"/>
        <v>Alto</v>
      </c>
      <c r="AB498" s="128">
        <f t="shared" si="6"/>
        <v>22</v>
      </c>
      <c r="AC498" s="129">
        <f t="shared" si="7"/>
        <v>0.3035786554</v>
      </c>
      <c r="AD498" s="130"/>
    </row>
    <row r="499" ht="14.25" hidden="1" customHeight="1">
      <c r="A499" s="116" t="s">
        <v>403</v>
      </c>
      <c r="B499" s="117" t="s">
        <v>848</v>
      </c>
      <c r="C499" s="117" t="s">
        <v>761</v>
      </c>
      <c r="D499" s="117" t="s">
        <v>1707</v>
      </c>
      <c r="E499" s="117" t="s">
        <v>761</v>
      </c>
      <c r="F499" s="117" t="s">
        <v>763</v>
      </c>
      <c r="G499" s="117" t="s">
        <v>408</v>
      </c>
      <c r="H499" s="117" t="s">
        <v>764</v>
      </c>
      <c r="I499" s="117">
        <v>1.0</v>
      </c>
      <c r="J499" s="117">
        <v>1.0</v>
      </c>
      <c r="K499" s="117" t="str">
        <f t="shared" si="1"/>
        <v>No</v>
      </c>
      <c r="L499" s="118" t="s">
        <v>116</v>
      </c>
      <c r="M499" s="119">
        <v>0.3333333333333333</v>
      </c>
      <c r="N499" s="120">
        <v>0.0</v>
      </c>
      <c r="O499" s="121"/>
      <c r="P499" s="117">
        <v>0.0</v>
      </c>
      <c r="Q499" s="117">
        <f t="shared" si="2"/>
        <v>0</v>
      </c>
      <c r="R499" s="122">
        <f>+(IF(((M499*24)-P499)&lt;0,0,((M499*24)-P499)*'Estimación de pérdidas'!$F$72))*N499</f>
        <v>0</v>
      </c>
      <c r="S499" s="123" t="s">
        <v>272</v>
      </c>
      <c r="T499" s="124" t="s">
        <v>106</v>
      </c>
      <c r="U499" s="124">
        <f t="shared" si="3"/>
        <v>1</v>
      </c>
      <c r="V499" s="124">
        <v>1.0</v>
      </c>
      <c r="W499" s="124">
        <v>4.0</v>
      </c>
      <c r="X499" s="125"/>
      <c r="Y499" s="126"/>
      <c r="Z499" s="125">
        <f t="shared" si="4"/>
        <v>4</v>
      </c>
      <c r="AA499" s="127" t="str">
        <f t="shared" si="5"/>
        <v>Alto</v>
      </c>
      <c r="AB499" s="128">
        <f t="shared" si="6"/>
        <v>22</v>
      </c>
      <c r="AC499" s="129">
        <f t="shared" si="7"/>
        <v>0.3035786554</v>
      </c>
      <c r="AD499" s="130"/>
    </row>
    <row r="500" ht="14.25" hidden="1" customHeight="1">
      <c r="A500" s="116" t="s">
        <v>403</v>
      </c>
      <c r="B500" s="117" t="s">
        <v>848</v>
      </c>
      <c r="C500" s="117" t="s">
        <v>761</v>
      </c>
      <c r="D500" s="117" t="s">
        <v>1708</v>
      </c>
      <c r="E500" s="117" t="s">
        <v>526</v>
      </c>
      <c r="F500" s="117" t="s">
        <v>763</v>
      </c>
      <c r="G500" s="117" t="s">
        <v>408</v>
      </c>
      <c r="H500" s="117" t="s">
        <v>764</v>
      </c>
      <c r="I500" s="117">
        <v>1.0</v>
      </c>
      <c r="J500" s="117">
        <v>1.0</v>
      </c>
      <c r="K500" s="117" t="str">
        <f t="shared" si="1"/>
        <v>No</v>
      </c>
      <c r="L500" s="118" t="s">
        <v>116</v>
      </c>
      <c r="M500" s="119">
        <v>0.3333333333333333</v>
      </c>
      <c r="N500" s="120">
        <v>0.0</v>
      </c>
      <c r="O500" s="121"/>
      <c r="P500" s="117">
        <v>0.0</v>
      </c>
      <c r="Q500" s="117">
        <f t="shared" si="2"/>
        <v>0</v>
      </c>
      <c r="R500" s="122">
        <f>+(IF(((M500*24)-P500)&lt;0,0,((M500*24)-P500)*'Estimación de pérdidas'!$F$72))*N500</f>
        <v>0</v>
      </c>
      <c r="S500" s="123" t="s">
        <v>272</v>
      </c>
      <c r="T500" s="124" t="s">
        <v>106</v>
      </c>
      <c r="U500" s="124">
        <f t="shared" si="3"/>
        <v>1</v>
      </c>
      <c r="V500" s="124">
        <v>1.0</v>
      </c>
      <c r="W500" s="124">
        <v>4.0</v>
      </c>
      <c r="X500" s="125"/>
      <c r="Y500" s="126"/>
      <c r="Z500" s="125">
        <f t="shared" si="4"/>
        <v>4</v>
      </c>
      <c r="AA500" s="127" t="str">
        <f t="shared" si="5"/>
        <v>Alto</v>
      </c>
      <c r="AB500" s="128">
        <f t="shared" si="6"/>
        <v>22</v>
      </c>
      <c r="AC500" s="129">
        <f t="shared" si="7"/>
        <v>0.3035786554</v>
      </c>
      <c r="AD500" s="130"/>
    </row>
    <row r="501" ht="14.25" hidden="1" customHeight="1">
      <c r="A501" s="116" t="s">
        <v>847</v>
      </c>
      <c r="B501" s="117" t="s">
        <v>848</v>
      </c>
      <c r="C501" s="117" t="s">
        <v>1709</v>
      </c>
      <c r="D501" s="117" t="s">
        <v>1710</v>
      </c>
      <c r="E501" s="117" t="s">
        <v>1709</v>
      </c>
      <c r="F501" s="117" t="s">
        <v>1711</v>
      </c>
      <c r="G501" s="117" t="s">
        <v>531</v>
      </c>
      <c r="H501" s="117" t="s">
        <v>623</v>
      </c>
      <c r="I501" s="117">
        <v>1.0</v>
      </c>
      <c r="J501" s="117">
        <v>1.0</v>
      </c>
      <c r="K501" s="117" t="str">
        <f t="shared" si="1"/>
        <v>No</v>
      </c>
      <c r="L501" s="118" t="s">
        <v>116</v>
      </c>
      <c r="M501" s="119">
        <v>0.3333333333333333</v>
      </c>
      <c r="N501" s="120">
        <v>1.0</v>
      </c>
      <c r="O501" s="121">
        <v>91.32</v>
      </c>
      <c r="P501" s="117">
        <v>12.0</v>
      </c>
      <c r="Q501" s="117">
        <f t="shared" si="2"/>
        <v>0</v>
      </c>
      <c r="R501" s="122">
        <f>+(IF(((M501*24)-P501)&lt;0,0,((M501*24)-P501)*'Estimación de pérdidas'!$F$72))*N501</f>
        <v>0</v>
      </c>
      <c r="S501" s="123" t="s">
        <v>117</v>
      </c>
      <c r="T501" s="124" t="s">
        <v>119</v>
      </c>
      <c r="U501" s="124">
        <f t="shared" si="3"/>
        <v>1</v>
      </c>
      <c r="V501" s="124">
        <v>2.0</v>
      </c>
      <c r="W501" s="124"/>
      <c r="X501" s="125"/>
      <c r="Y501" s="126"/>
      <c r="Z501" s="125">
        <f t="shared" si="4"/>
        <v>2</v>
      </c>
      <c r="AA501" s="127" t="str">
        <f t="shared" si="5"/>
        <v>Moderado</v>
      </c>
      <c r="AB501" s="128">
        <f t="shared" si="6"/>
        <v>8</v>
      </c>
      <c r="AC501" s="129">
        <f t="shared" si="7"/>
        <v>0.12</v>
      </c>
      <c r="AD501" s="131"/>
    </row>
    <row r="502" ht="14.25" hidden="1" customHeight="1">
      <c r="A502" s="116" t="s">
        <v>847</v>
      </c>
      <c r="B502" s="117" t="s">
        <v>848</v>
      </c>
      <c r="C502" s="117" t="s">
        <v>1712</v>
      </c>
      <c r="D502" s="117" t="s">
        <v>1713</v>
      </c>
      <c r="E502" s="117" t="s">
        <v>1712</v>
      </c>
      <c r="F502" s="117" t="s">
        <v>1714</v>
      </c>
      <c r="G502" s="117" t="s">
        <v>531</v>
      </c>
      <c r="H502" s="117" t="s">
        <v>532</v>
      </c>
      <c r="I502" s="117">
        <v>1.0</v>
      </c>
      <c r="J502" s="117">
        <v>1.0</v>
      </c>
      <c r="K502" s="117" t="str">
        <f t="shared" si="1"/>
        <v>No</v>
      </c>
      <c r="L502" s="118" t="s">
        <v>116</v>
      </c>
      <c r="M502" s="119">
        <v>0.3333333333333333</v>
      </c>
      <c r="N502" s="120">
        <v>1.0</v>
      </c>
      <c r="O502" s="121">
        <v>91.32</v>
      </c>
      <c r="P502" s="117">
        <v>1.0</v>
      </c>
      <c r="Q502" s="117">
        <f t="shared" si="2"/>
        <v>7</v>
      </c>
      <c r="R502" s="122">
        <f>+(IF(((M502*24)-P502)&lt;0,0,((M502*24)-P502)*'Estimación de pérdidas'!$F$72))*N502</f>
        <v>403746.5244</v>
      </c>
      <c r="S502" s="123" t="s">
        <v>272</v>
      </c>
      <c r="T502" s="124" t="s">
        <v>119</v>
      </c>
      <c r="U502" s="124">
        <f t="shared" si="3"/>
        <v>3</v>
      </c>
      <c r="V502" s="124">
        <v>1.0</v>
      </c>
      <c r="W502" s="124"/>
      <c r="X502" s="125">
        <v>2.0</v>
      </c>
      <c r="Y502" s="126"/>
      <c r="Z502" s="125">
        <f t="shared" si="4"/>
        <v>3</v>
      </c>
      <c r="AA502" s="127" t="str">
        <f t="shared" si="5"/>
        <v>Moderado</v>
      </c>
      <c r="AB502" s="128">
        <f t="shared" si="6"/>
        <v>13</v>
      </c>
      <c r="AC502" s="129">
        <f t="shared" si="7"/>
        <v>0.2007984064</v>
      </c>
      <c r="AD502" s="131"/>
    </row>
    <row r="503" ht="14.25" hidden="1" customHeight="1">
      <c r="A503" s="116" t="s">
        <v>847</v>
      </c>
      <c r="B503" s="117" t="s">
        <v>848</v>
      </c>
      <c r="C503" s="117" t="s">
        <v>1715</v>
      </c>
      <c r="D503" s="117" t="s">
        <v>1716</v>
      </c>
      <c r="E503" s="117" t="s">
        <v>1715</v>
      </c>
      <c r="F503" s="117" t="s">
        <v>1717</v>
      </c>
      <c r="G503" s="117" t="s">
        <v>1678</v>
      </c>
      <c r="H503" s="117" t="s">
        <v>1718</v>
      </c>
      <c r="I503" s="117">
        <v>1.0</v>
      </c>
      <c r="J503" s="117">
        <v>1.0</v>
      </c>
      <c r="K503" s="117" t="str">
        <f t="shared" si="1"/>
        <v>No</v>
      </c>
      <c r="L503" s="118" t="s">
        <v>116</v>
      </c>
      <c r="M503" s="119">
        <v>0.25</v>
      </c>
      <c r="N503" s="120">
        <v>1.0</v>
      </c>
      <c r="O503" s="121">
        <v>91.32</v>
      </c>
      <c r="P503" s="117">
        <v>12.0</v>
      </c>
      <c r="Q503" s="117">
        <f t="shared" si="2"/>
        <v>0</v>
      </c>
      <c r="R503" s="122">
        <f>+(IF(((M503*24)-P503)&lt;0,0,((M503*24)-P503)*'Estimación de pérdidas'!$F$72))*N503</f>
        <v>0</v>
      </c>
      <c r="S503" s="123" t="s">
        <v>117</v>
      </c>
      <c r="T503" s="124" t="s">
        <v>118</v>
      </c>
      <c r="U503" s="124">
        <f t="shared" si="3"/>
        <v>1</v>
      </c>
      <c r="V503" s="124">
        <v>1.0</v>
      </c>
      <c r="W503" s="124"/>
      <c r="X503" s="125"/>
      <c r="Y503" s="126"/>
      <c r="Z503" s="125">
        <f t="shared" si="4"/>
        <v>1</v>
      </c>
      <c r="AA503" s="127" t="str">
        <f t="shared" si="5"/>
        <v>Bajo</v>
      </c>
      <c r="AB503" s="128">
        <f t="shared" si="6"/>
        <v>2</v>
      </c>
      <c r="AC503" s="129">
        <f t="shared" si="7"/>
        <v>0.05059644256</v>
      </c>
    </row>
    <row r="504" ht="14.25" hidden="1" customHeight="1">
      <c r="A504" s="116" t="s">
        <v>847</v>
      </c>
      <c r="B504" s="117" t="s">
        <v>848</v>
      </c>
      <c r="C504" s="117" t="s">
        <v>1719</v>
      </c>
      <c r="D504" s="117" t="s">
        <v>1720</v>
      </c>
      <c r="E504" s="117" t="s">
        <v>1719</v>
      </c>
      <c r="F504" s="117" t="s">
        <v>1721</v>
      </c>
      <c r="G504" s="117" t="s">
        <v>1722</v>
      </c>
      <c r="H504" s="117" t="s">
        <v>1723</v>
      </c>
      <c r="I504" s="117">
        <v>1.0</v>
      </c>
      <c r="J504" s="117">
        <v>1.0</v>
      </c>
      <c r="K504" s="117" t="str">
        <f t="shared" si="1"/>
        <v>No</v>
      </c>
      <c r="L504" s="118" t="s">
        <v>116</v>
      </c>
      <c r="M504" s="119">
        <v>0.25</v>
      </c>
      <c r="N504" s="120">
        <v>1.0</v>
      </c>
      <c r="O504" s="121">
        <v>91.32</v>
      </c>
      <c r="P504" s="117">
        <v>12.0</v>
      </c>
      <c r="Q504" s="117">
        <f t="shared" si="2"/>
        <v>0</v>
      </c>
      <c r="R504" s="122">
        <f>+(IF(((M504*24)-P504)&lt;0,0,((M504*24)-P504)*'Estimación de pérdidas'!$F$72))*N504</f>
        <v>0</v>
      </c>
      <c r="S504" s="123" t="s">
        <v>117</v>
      </c>
      <c r="T504" s="124" t="s">
        <v>119</v>
      </c>
      <c r="U504" s="124">
        <f t="shared" si="3"/>
        <v>1</v>
      </c>
      <c r="V504" s="124">
        <v>1.0</v>
      </c>
      <c r="W504" s="124"/>
      <c r="X504" s="125"/>
      <c r="Y504" s="126"/>
      <c r="Z504" s="125">
        <f t="shared" si="4"/>
        <v>1</v>
      </c>
      <c r="AA504" s="127" t="str">
        <f t="shared" si="5"/>
        <v>Bajo</v>
      </c>
      <c r="AB504" s="128">
        <f t="shared" si="6"/>
        <v>4</v>
      </c>
      <c r="AC504" s="129">
        <f t="shared" si="7"/>
        <v>0.07589466384</v>
      </c>
    </row>
    <row r="505" ht="14.25" hidden="1" customHeight="1">
      <c r="A505" s="116" t="s">
        <v>847</v>
      </c>
      <c r="B505" s="117" t="s">
        <v>1724</v>
      </c>
      <c r="C505" s="117" t="s">
        <v>1725</v>
      </c>
      <c r="D505" s="117" t="s">
        <v>1726</v>
      </c>
      <c r="E505" s="117" t="s">
        <v>1727</v>
      </c>
      <c r="F505" s="117" t="s">
        <v>1728</v>
      </c>
      <c r="G505" s="117" t="s">
        <v>188</v>
      </c>
      <c r="H505" s="117" t="s">
        <v>1607</v>
      </c>
      <c r="I505" s="117">
        <v>1.0</v>
      </c>
      <c r="J505" s="117">
        <v>1.0</v>
      </c>
      <c r="K505" s="117" t="str">
        <f t="shared" si="1"/>
        <v>No</v>
      </c>
      <c r="L505" s="118" t="s">
        <v>116</v>
      </c>
      <c r="M505" s="119">
        <v>0.5</v>
      </c>
      <c r="N505" s="120">
        <v>1.0</v>
      </c>
      <c r="O505" s="121">
        <v>50.0</v>
      </c>
      <c r="P505" s="117">
        <v>12.0</v>
      </c>
      <c r="Q505" s="117">
        <f t="shared" si="2"/>
        <v>0</v>
      </c>
      <c r="R505" s="122">
        <f>+(IF(((M505*24)-P505)&lt;0,0,((M505*24)-P505)*'Estimación de pérdidas'!$F$72))*N505</f>
        <v>0</v>
      </c>
      <c r="S505" s="123" t="s">
        <v>117</v>
      </c>
      <c r="T505" s="124" t="s">
        <v>118</v>
      </c>
      <c r="U505" s="124">
        <f t="shared" si="3"/>
        <v>1</v>
      </c>
      <c r="V505" s="124">
        <v>2.0</v>
      </c>
      <c r="W505" s="124">
        <v>4.0</v>
      </c>
      <c r="X505" s="125"/>
      <c r="Y505" s="126"/>
      <c r="Z505" s="125">
        <f t="shared" si="4"/>
        <v>4</v>
      </c>
      <c r="AA505" s="127" t="str">
        <f t="shared" si="5"/>
        <v>Moderado</v>
      </c>
      <c r="AB505" s="128">
        <f t="shared" si="6"/>
        <v>14</v>
      </c>
      <c r="AC505" s="129">
        <f t="shared" si="7"/>
        <v>0.1639512123</v>
      </c>
      <c r="AD505" s="130"/>
    </row>
    <row r="506" ht="14.25" hidden="1" customHeight="1">
      <c r="A506" s="116" t="s">
        <v>847</v>
      </c>
      <c r="B506" s="117" t="s">
        <v>1724</v>
      </c>
      <c r="C506" s="117" t="s">
        <v>1729</v>
      </c>
      <c r="D506" s="117" t="s">
        <v>1730</v>
      </c>
      <c r="E506" s="117" t="s">
        <v>1729</v>
      </c>
      <c r="F506" s="117" t="s">
        <v>1731</v>
      </c>
      <c r="G506" s="117" t="s">
        <v>622</v>
      </c>
      <c r="H506" s="117" t="s">
        <v>623</v>
      </c>
      <c r="I506" s="117">
        <v>1.0</v>
      </c>
      <c r="J506" s="117">
        <v>1.0</v>
      </c>
      <c r="K506" s="117" t="str">
        <f t="shared" si="1"/>
        <v>No</v>
      </c>
      <c r="L506" s="118" t="s">
        <v>116</v>
      </c>
      <c r="M506" s="119">
        <v>0.25</v>
      </c>
      <c r="N506" s="120">
        <v>1.0</v>
      </c>
      <c r="O506" s="121">
        <v>21.0</v>
      </c>
      <c r="P506" s="117">
        <v>36.0</v>
      </c>
      <c r="Q506" s="117">
        <f t="shared" si="2"/>
        <v>0</v>
      </c>
      <c r="R506" s="122">
        <f>+(IF(((M506*24)-P506)&lt;0,0,((M506*24)-P506)*'Estimación de pérdidas'!$F$72))*N506</f>
        <v>0</v>
      </c>
      <c r="S506" s="123" t="s">
        <v>117</v>
      </c>
      <c r="T506" s="124" t="s">
        <v>119</v>
      </c>
      <c r="U506" s="124">
        <f t="shared" si="3"/>
        <v>1</v>
      </c>
      <c r="V506" s="124">
        <v>2.0</v>
      </c>
      <c r="W506" s="124"/>
      <c r="X506" s="125"/>
      <c r="Y506" s="126"/>
      <c r="Z506" s="125">
        <f t="shared" si="4"/>
        <v>2</v>
      </c>
      <c r="AA506" s="127" t="str">
        <f t="shared" si="5"/>
        <v>Moderado</v>
      </c>
      <c r="AB506" s="128">
        <f t="shared" si="6"/>
        <v>8</v>
      </c>
      <c r="AC506" s="129">
        <f t="shared" si="7"/>
        <v>0.12</v>
      </c>
      <c r="AD506" s="131"/>
    </row>
    <row r="507" ht="14.25" hidden="1" customHeight="1">
      <c r="A507" s="116" t="s">
        <v>847</v>
      </c>
      <c r="B507" s="117" t="s">
        <v>1724</v>
      </c>
      <c r="C507" s="117" t="s">
        <v>1732</v>
      </c>
      <c r="D507" s="117" t="s">
        <v>1733</v>
      </c>
      <c r="E507" s="117" t="s">
        <v>1734</v>
      </c>
      <c r="F507" s="117" t="s">
        <v>1735</v>
      </c>
      <c r="G507" s="117" t="s">
        <v>622</v>
      </c>
      <c r="H507" s="117" t="s">
        <v>623</v>
      </c>
      <c r="I507" s="117">
        <v>1.0</v>
      </c>
      <c r="J507" s="117">
        <v>1.0</v>
      </c>
      <c r="K507" s="117" t="str">
        <f t="shared" si="1"/>
        <v>No</v>
      </c>
      <c r="L507" s="118" t="s">
        <v>116</v>
      </c>
      <c r="M507" s="119">
        <v>0.25</v>
      </c>
      <c r="N507" s="120">
        <v>1.0</v>
      </c>
      <c r="O507" s="121">
        <v>33.0</v>
      </c>
      <c r="P507" s="117">
        <v>12.0</v>
      </c>
      <c r="Q507" s="117">
        <f t="shared" si="2"/>
        <v>0</v>
      </c>
      <c r="R507" s="122">
        <f>+(IF(((M507*24)-P507)&lt;0,0,((M507*24)-P507)*'Estimación de pérdidas'!$F$72))*N507</f>
        <v>0</v>
      </c>
      <c r="S507" s="123" t="s">
        <v>117</v>
      </c>
      <c r="T507" s="124" t="s">
        <v>119</v>
      </c>
      <c r="U507" s="124">
        <f t="shared" si="3"/>
        <v>1</v>
      </c>
      <c r="V507" s="124">
        <v>2.0</v>
      </c>
      <c r="W507" s="124"/>
      <c r="X507" s="125"/>
      <c r="Y507" s="126"/>
      <c r="Z507" s="125">
        <f t="shared" si="4"/>
        <v>2</v>
      </c>
      <c r="AA507" s="127" t="str">
        <f t="shared" si="5"/>
        <v>Moderado</v>
      </c>
      <c r="AB507" s="128">
        <f t="shared" si="6"/>
        <v>8</v>
      </c>
      <c r="AC507" s="129">
        <f t="shared" si="7"/>
        <v>0.12</v>
      </c>
      <c r="AD507" s="131"/>
    </row>
    <row r="508" ht="14.25" hidden="1" customHeight="1">
      <c r="A508" s="116" t="s">
        <v>847</v>
      </c>
      <c r="B508" s="117" t="s">
        <v>1724</v>
      </c>
      <c r="C508" s="117" t="s">
        <v>1736</v>
      </c>
      <c r="D508" s="117" t="s">
        <v>1737</v>
      </c>
      <c r="E508" s="117" t="s">
        <v>1736</v>
      </c>
      <c r="F508" s="117" t="s">
        <v>1738</v>
      </c>
      <c r="G508" s="117" t="s">
        <v>165</v>
      </c>
      <c r="H508" s="117" t="s">
        <v>353</v>
      </c>
      <c r="I508" s="117">
        <v>1.0</v>
      </c>
      <c r="J508" s="117">
        <v>1.0</v>
      </c>
      <c r="K508" s="117" t="str">
        <f t="shared" si="1"/>
        <v>No</v>
      </c>
      <c r="L508" s="118" t="s">
        <v>116</v>
      </c>
      <c r="M508" s="119">
        <v>0.3333333333333333</v>
      </c>
      <c r="N508" s="120">
        <v>1.0</v>
      </c>
      <c r="O508" s="121">
        <v>21.0</v>
      </c>
      <c r="P508" s="117">
        <v>36.0</v>
      </c>
      <c r="Q508" s="117">
        <f t="shared" si="2"/>
        <v>0</v>
      </c>
      <c r="R508" s="122">
        <f>+(IF(((M508*24)-P508)&lt;0,0,((M508*24)-P508)*'Estimación de pérdidas'!$F$72))*N508</f>
        <v>0</v>
      </c>
      <c r="S508" s="123" t="s">
        <v>117</v>
      </c>
      <c r="T508" s="124" t="s">
        <v>118</v>
      </c>
      <c r="U508" s="124">
        <f t="shared" si="3"/>
        <v>1</v>
      </c>
      <c r="V508" s="124">
        <v>1.0</v>
      </c>
      <c r="W508" s="124"/>
      <c r="X508" s="125"/>
      <c r="Y508" s="126"/>
      <c r="Z508" s="125">
        <f t="shared" si="4"/>
        <v>1</v>
      </c>
      <c r="AA508" s="127" t="str">
        <f t="shared" si="5"/>
        <v>Bajo</v>
      </c>
      <c r="AB508" s="128">
        <f t="shared" si="6"/>
        <v>2</v>
      </c>
      <c r="AC508" s="129">
        <f t="shared" si="7"/>
        <v>0.05059644256</v>
      </c>
    </row>
    <row r="509" ht="14.25" hidden="1" customHeight="1">
      <c r="A509" s="116" t="s">
        <v>847</v>
      </c>
      <c r="B509" s="117" t="s">
        <v>1724</v>
      </c>
      <c r="C509" s="117" t="s">
        <v>1739</v>
      </c>
      <c r="D509" s="117" t="s">
        <v>1740</v>
      </c>
      <c r="E509" s="117" t="s">
        <v>1739</v>
      </c>
      <c r="F509" s="117" t="s">
        <v>1741</v>
      </c>
      <c r="G509" s="117" t="s">
        <v>165</v>
      </c>
      <c r="H509" s="117" t="s">
        <v>353</v>
      </c>
      <c r="I509" s="117">
        <v>1.0</v>
      </c>
      <c r="J509" s="117">
        <v>1.0</v>
      </c>
      <c r="K509" s="117" t="str">
        <f t="shared" si="1"/>
        <v>No</v>
      </c>
      <c r="L509" s="118" t="s">
        <v>116</v>
      </c>
      <c r="M509" s="119">
        <v>0.3333333333333333</v>
      </c>
      <c r="N509" s="120">
        <v>1.0</v>
      </c>
      <c r="O509" s="121">
        <v>33.0</v>
      </c>
      <c r="P509" s="117">
        <v>12.0</v>
      </c>
      <c r="Q509" s="117">
        <f t="shared" si="2"/>
        <v>0</v>
      </c>
      <c r="R509" s="122">
        <f>+(IF(((M509*24)-P509)&lt;0,0,((M509*24)-P509)*'Estimación de pérdidas'!$F$72))*N509</f>
        <v>0</v>
      </c>
      <c r="S509" s="123" t="s">
        <v>117</v>
      </c>
      <c r="T509" s="124" t="s">
        <v>118</v>
      </c>
      <c r="U509" s="124">
        <f t="shared" si="3"/>
        <v>1</v>
      </c>
      <c r="V509" s="124">
        <v>1.0</v>
      </c>
      <c r="W509" s="124"/>
      <c r="X509" s="125"/>
      <c r="Y509" s="126"/>
      <c r="Z509" s="125">
        <f t="shared" si="4"/>
        <v>1</v>
      </c>
      <c r="AA509" s="127" t="str">
        <f t="shared" si="5"/>
        <v>Bajo</v>
      </c>
      <c r="AB509" s="128">
        <f t="shared" si="6"/>
        <v>2</v>
      </c>
      <c r="AC509" s="129">
        <f t="shared" si="7"/>
        <v>0.05059644256</v>
      </c>
    </row>
    <row r="510" ht="14.25" hidden="1" customHeight="1">
      <c r="A510" s="116" t="s">
        <v>847</v>
      </c>
      <c r="B510" s="117" t="s">
        <v>1724</v>
      </c>
      <c r="C510" s="117" t="s">
        <v>1742</v>
      </c>
      <c r="D510" s="117" t="s">
        <v>1743</v>
      </c>
      <c r="E510" s="117" t="s">
        <v>1744</v>
      </c>
      <c r="F510" s="117" t="s">
        <v>1745</v>
      </c>
      <c r="G510" s="117" t="s">
        <v>171</v>
      </c>
      <c r="H510" s="117" t="s">
        <v>172</v>
      </c>
      <c r="I510" s="117">
        <v>1.0</v>
      </c>
      <c r="J510" s="117">
        <v>1.0</v>
      </c>
      <c r="K510" s="117" t="str">
        <f t="shared" si="1"/>
        <v>No</v>
      </c>
      <c r="L510" s="118" t="s">
        <v>116</v>
      </c>
      <c r="M510" s="119">
        <v>0.3333333333333333</v>
      </c>
      <c r="N510" s="120">
        <v>0.0</v>
      </c>
      <c r="O510" s="121"/>
      <c r="P510" s="117">
        <v>0.0</v>
      </c>
      <c r="Q510" s="117">
        <f t="shared" si="2"/>
        <v>0</v>
      </c>
      <c r="R510" s="122">
        <f>+(IF(((M510*24)-P510)&lt;0,0,((M510*24)-P510)*'Estimación de pérdidas'!$F$72))*N510</f>
        <v>0</v>
      </c>
      <c r="S510" s="123" t="s">
        <v>117</v>
      </c>
      <c r="T510" s="124" t="s">
        <v>118</v>
      </c>
      <c r="U510" s="124">
        <f t="shared" si="3"/>
        <v>1</v>
      </c>
      <c r="V510" s="124">
        <v>1.0</v>
      </c>
      <c r="W510" s="124"/>
      <c r="X510" s="125"/>
      <c r="Y510" s="126"/>
      <c r="Z510" s="125">
        <f t="shared" si="4"/>
        <v>1</v>
      </c>
      <c r="AA510" s="127" t="str">
        <f t="shared" si="5"/>
        <v>Bajo</v>
      </c>
      <c r="AB510" s="128">
        <f t="shared" si="6"/>
        <v>2</v>
      </c>
      <c r="AC510" s="129">
        <f t="shared" si="7"/>
        <v>0.05059644256</v>
      </c>
    </row>
    <row r="511" ht="14.25" hidden="1" customHeight="1">
      <c r="A511" s="116" t="s">
        <v>847</v>
      </c>
      <c r="B511" s="117" t="s">
        <v>1724</v>
      </c>
      <c r="C511" s="117" t="s">
        <v>1746</v>
      </c>
      <c r="D511" s="117" t="s">
        <v>1747</v>
      </c>
      <c r="E511" s="117" t="s">
        <v>1746</v>
      </c>
      <c r="F511" s="117" t="s">
        <v>1748</v>
      </c>
      <c r="G511" s="117" t="s">
        <v>205</v>
      </c>
      <c r="H511" s="117" t="s">
        <v>1749</v>
      </c>
      <c r="I511" s="117">
        <v>2.0</v>
      </c>
      <c r="J511" s="117">
        <v>1.0</v>
      </c>
      <c r="K511" s="117" t="str">
        <f t="shared" si="1"/>
        <v>Si</v>
      </c>
      <c r="L511" s="118" t="s">
        <v>287</v>
      </c>
      <c r="M511" s="119">
        <v>0.25</v>
      </c>
      <c r="N511" s="120">
        <v>0.0</v>
      </c>
      <c r="O511" s="121">
        <v>91.32</v>
      </c>
      <c r="P511" s="117">
        <v>1.0</v>
      </c>
      <c r="Q511" s="117">
        <f t="shared" si="2"/>
        <v>0</v>
      </c>
      <c r="R511" s="122">
        <f>+(IF(((M511*24)-P511)&lt;0,0,((M511*24)-P511)*'Estimación de pérdidas'!$F$72))*N511</f>
        <v>0</v>
      </c>
      <c r="S511" s="123" t="s">
        <v>272</v>
      </c>
      <c r="T511" s="124" t="s">
        <v>106</v>
      </c>
      <c r="U511" s="124">
        <f t="shared" si="3"/>
        <v>1</v>
      </c>
      <c r="V511" s="124">
        <v>1.0</v>
      </c>
      <c r="W511" s="124"/>
      <c r="X511" s="125">
        <v>2.0</v>
      </c>
      <c r="Y511" s="126"/>
      <c r="Z511" s="125">
        <f t="shared" si="4"/>
        <v>2</v>
      </c>
      <c r="AA511" s="127" t="str">
        <f t="shared" si="5"/>
        <v>Moderado</v>
      </c>
      <c r="AB511" s="128">
        <f t="shared" si="6"/>
        <v>12</v>
      </c>
      <c r="AC511" s="129">
        <f t="shared" si="7"/>
        <v>0.1752712184</v>
      </c>
      <c r="AD511" s="131"/>
    </row>
    <row r="512" ht="14.25" hidden="1" customHeight="1">
      <c r="A512" s="116" t="s">
        <v>847</v>
      </c>
      <c r="B512" s="117" t="s">
        <v>1724</v>
      </c>
      <c r="C512" s="117" t="s">
        <v>1746</v>
      </c>
      <c r="D512" s="117" t="s">
        <v>1750</v>
      </c>
      <c r="E512" s="117" t="s">
        <v>1746</v>
      </c>
      <c r="F512" s="117" t="s">
        <v>1748</v>
      </c>
      <c r="G512" s="117" t="s">
        <v>205</v>
      </c>
      <c r="H512" s="117" t="s">
        <v>1749</v>
      </c>
      <c r="I512" s="117">
        <v>2.0</v>
      </c>
      <c r="J512" s="117">
        <v>1.0</v>
      </c>
      <c r="K512" s="117" t="str">
        <f t="shared" si="1"/>
        <v>Si</v>
      </c>
      <c r="L512" s="118" t="s">
        <v>287</v>
      </c>
      <c r="M512" s="119">
        <v>0.25</v>
      </c>
      <c r="N512" s="120">
        <v>0.0</v>
      </c>
      <c r="O512" s="121">
        <v>91.32</v>
      </c>
      <c r="P512" s="117">
        <v>1.0</v>
      </c>
      <c r="Q512" s="117">
        <f t="shared" si="2"/>
        <v>0</v>
      </c>
      <c r="R512" s="122">
        <f>+(IF(((M512*24)-P512)&lt;0,0,((M512*24)-P512)*'Estimación de pérdidas'!$F$72))*N512</f>
        <v>0</v>
      </c>
      <c r="S512" s="123" t="s">
        <v>272</v>
      </c>
      <c r="T512" s="124" t="s">
        <v>106</v>
      </c>
      <c r="U512" s="124">
        <f t="shared" si="3"/>
        <v>1</v>
      </c>
      <c r="V512" s="124">
        <v>1.0</v>
      </c>
      <c r="W512" s="124"/>
      <c r="X512" s="125">
        <v>2.0</v>
      </c>
      <c r="Y512" s="126"/>
      <c r="Z512" s="125">
        <f t="shared" si="4"/>
        <v>2</v>
      </c>
      <c r="AA512" s="127" t="str">
        <f t="shared" si="5"/>
        <v>Moderado</v>
      </c>
      <c r="AB512" s="128">
        <f t="shared" si="6"/>
        <v>12</v>
      </c>
      <c r="AC512" s="129">
        <f t="shared" si="7"/>
        <v>0.1752712184</v>
      </c>
      <c r="AD512" s="131"/>
    </row>
    <row r="513" ht="14.25" hidden="1" customHeight="1">
      <c r="A513" s="116" t="s">
        <v>847</v>
      </c>
      <c r="B513" s="117" t="s">
        <v>1724</v>
      </c>
      <c r="C513" s="117" t="s">
        <v>1751</v>
      </c>
      <c r="D513" s="117" t="s">
        <v>1752</v>
      </c>
      <c r="E513" s="117" t="s">
        <v>1751</v>
      </c>
      <c r="F513" s="117" t="s">
        <v>1753</v>
      </c>
      <c r="G513" s="117" t="s">
        <v>205</v>
      </c>
      <c r="H513" s="117" t="s">
        <v>491</v>
      </c>
      <c r="I513" s="117">
        <v>1.0</v>
      </c>
      <c r="J513" s="117">
        <v>1.0</v>
      </c>
      <c r="K513" s="117" t="str">
        <f t="shared" si="1"/>
        <v>No</v>
      </c>
      <c r="L513" s="118" t="s">
        <v>116</v>
      </c>
      <c r="M513" s="119">
        <v>0.25</v>
      </c>
      <c r="N513" s="120">
        <v>1.0</v>
      </c>
      <c r="O513" s="121">
        <v>21.0</v>
      </c>
      <c r="P513" s="117">
        <v>36.0</v>
      </c>
      <c r="Q513" s="117">
        <f t="shared" si="2"/>
        <v>0</v>
      </c>
      <c r="R513" s="122">
        <f>+(IF(((M513*24)-P513)&lt;0,0,((M513*24)-P513)*'Estimación de pérdidas'!$F$72))*N513</f>
        <v>0</v>
      </c>
      <c r="S513" s="123" t="s">
        <v>117</v>
      </c>
      <c r="T513" s="124" t="s">
        <v>106</v>
      </c>
      <c r="U513" s="124">
        <f t="shared" si="3"/>
        <v>1</v>
      </c>
      <c r="V513" s="124">
        <v>1.0</v>
      </c>
      <c r="W513" s="124"/>
      <c r="X513" s="125"/>
      <c r="Y513" s="126"/>
      <c r="Z513" s="125">
        <f t="shared" si="4"/>
        <v>1</v>
      </c>
      <c r="AA513" s="127" t="str">
        <f t="shared" si="5"/>
        <v>Bajo</v>
      </c>
      <c r="AB513" s="128">
        <f t="shared" si="6"/>
        <v>7</v>
      </c>
      <c r="AC513" s="129">
        <f t="shared" si="7"/>
        <v>0.1011928851</v>
      </c>
    </row>
    <row r="514" ht="14.25" hidden="1" customHeight="1">
      <c r="A514" s="116" t="s">
        <v>847</v>
      </c>
      <c r="B514" s="117" t="s">
        <v>1724</v>
      </c>
      <c r="C514" s="117" t="s">
        <v>1754</v>
      </c>
      <c r="D514" s="117" t="s">
        <v>1755</v>
      </c>
      <c r="E514" s="117" t="s">
        <v>1754</v>
      </c>
      <c r="F514" s="117" t="s">
        <v>1756</v>
      </c>
      <c r="G514" s="117" t="s">
        <v>205</v>
      </c>
      <c r="H514" s="117" t="s">
        <v>491</v>
      </c>
      <c r="I514" s="117">
        <v>1.0</v>
      </c>
      <c r="J514" s="117">
        <v>1.0</v>
      </c>
      <c r="K514" s="117" t="str">
        <f t="shared" si="1"/>
        <v>No</v>
      </c>
      <c r="L514" s="118" t="s">
        <v>116</v>
      </c>
      <c r="M514" s="119">
        <v>0.25</v>
      </c>
      <c r="N514" s="120">
        <v>1.0</v>
      </c>
      <c r="O514" s="121">
        <v>47.65</v>
      </c>
      <c r="P514" s="117">
        <v>12.0</v>
      </c>
      <c r="Q514" s="117">
        <f t="shared" si="2"/>
        <v>0</v>
      </c>
      <c r="R514" s="122">
        <f>+(IF(((M514*24)-P514)&lt;0,0,((M514*24)-P514)*'Estimación de pérdidas'!$F$72))*N514</f>
        <v>0</v>
      </c>
      <c r="S514" s="123" t="s">
        <v>117</v>
      </c>
      <c r="T514" s="124" t="s">
        <v>106</v>
      </c>
      <c r="U514" s="124">
        <f t="shared" si="3"/>
        <v>1</v>
      </c>
      <c r="V514" s="124">
        <v>2.0</v>
      </c>
      <c r="W514" s="124"/>
      <c r="X514" s="125"/>
      <c r="Y514" s="126"/>
      <c r="Z514" s="125">
        <f t="shared" si="4"/>
        <v>2</v>
      </c>
      <c r="AA514" s="127" t="str">
        <f t="shared" si="5"/>
        <v>Moderado</v>
      </c>
      <c r="AB514" s="128">
        <f t="shared" si="6"/>
        <v>12</v>
      </c>
      <c r="AC514" s="129">
        <f t="shared" si="7"/>
        <v>0.16</v>
      </c>
      <c r="AD514" s="131"/>
    </row>
    <row r="515" ht="14.25" hidden="1" customHeight="1">
      <c r="A515" s="116" t="s">
        <v>847</v>
      </c>
      <c r="B515" s="117" t="s">
        <v>1724</v>
      </c>
      <c r="C515" s="117" t="s">
        <v>1757</v>
      </c>
      <c r="D515" s="117" t="s">
        <v>1758</v>
      </c>
      <c r="E515" s="117" t="s">
        <v>1757</v>
      </c>
      <c r="F515" s="117" t="s">
        <v>1759</v>
      </c>
      <c r="G515" s="117" t="s">
        <v>205</v>
      </c>
      <c r="H515" s="117" t="s">
        <v>1749</v>
      </c>
      <c r="I515" s="117">
        <v>2.0</v>
      </c>
      <c r="J515" s="117">
        <v>1.0</v>
      </c>
      <c r="K515" s="117" t="str">
        <f t="shared" si="1"/>
        <v>Si</v>
      </c>
      <c r="L515" s="118" t="s">
        <v>287</v>
      </c>
      <c r="M515" s="119">
        <v>0.25</v>
      </c>
      <c r="N515" s="120">
        <v>0.0</v>
      </c>
      <c r="O515" s="121">
        <v>91.32</v>
      </c>
      <c r="P515" s="117">
        <v>1.0</v>
      </c>
      <c r="Q515" s="117">
        <f t="shared" si="2"/>
        <v>0</v>
      </c>
      <c r="R515" s="122">
        <f>+(IF(((M515*24)-P515)&lt;0,0,((M515*24)-P515)*'Estimación de pérdidas'!$F$72))*N515</f>
        <v>0</v>
      </c>
      <c r="S515" s="123" t="s">
        <v>272</v>
      </c>
      <c r="T515" s="124" t="s">
        <v>106</v>
      </c>
      <c r="U515" s="124">
        <f t="shared" si="3"/>
        <v>1</v>
      </c>
      <c r="V515" s="124">
        <v>1.0</v>
      </c>
      <c r="W515" s="124"/>
      <c r="X515" s="125">
        <v>2.0</v>
      </c>
      <c r="Y515" s="126"/>
      <c r="Z515" s="125">
        <f t="shared" si="4"/>
        <v>2</v>
      </c>
      <c r="AA515" s="127" t="str">
        <f t="shared" si="5"/>
        <v>Moderado</v>
      </c>
      <c r="AB515" s="128">
        <f t="shared" si="6"/>
        <v>12</v>
      </c>
      <c r="AC515" s="129">
        <f t="shared" si="7"/>
        <v>0.1752712184</v>
      </c>
      <c r="AD515" s="131"/>
    </row>
    <row r="516" ht="14.25" hidden="1" customHeight="1">
      <c r="A516" s="116" t="s">
        <v>847</v>
      </c>
      <c r="B516" s="117" t="s">
        <v>1724</v>
      </c>
      <c r="C516" s="117" t="s">
        <v>1757</v>
      </c>
      <c r="D516" s="117" t="s">
        <v>1760</v>
      </c>
      <c r="E516" s="117" t="s">
        <v>1757</v>
      </c>
      <c r="F516" s="117" t="s">
        <v>1759</v>
      </c>
      <c r="G516" s="117" t="s">
        <v>205</v>
      </c>
      <c r="H516" s="117" t="s">
        <v>1749</v>
      </c>
      <c r="I516" s="117">
        <v>2.0</v>
      </c>
      <c r="J516" s="117">
        <v>1.0</v>
      </c>
      <c r="K516" s="117" t="str">
        <f t="shared" si="1"/>
        <v>Si</v>
      </c>
      <c r="L516" s="118" t="s">
        <v>287</v>
      </c>
      <c r="M516" s="119">
        <v>0.25</v>
      </c>
      <c r="N516" s="120">
        <v>0.0</v>
      </c>
      <c r="O516" s="121">
        <v>91.32</v>
      </c>
      <c r="P516" s="117">
        <v>1.0</v>
      </c>
      <c r="Q516" s="117">
        <f t="shared" si="2"/>
        <v>0</v>
      </c>
      <c r="R516" s="122">
        <f>+(IF(((M516*24)-P516)&lt;0,0,((M516*24)-P516)*'Estimación de pérdidas'!$F$72))*N516</f>
        <v>0</v>
      </c>
      <c r="S516" s="123" t="s">
        <v>272</v>
      </c>
      <c r="T516" s="124" t="s">
        <v>106</v>
      </c>
      <c r="U516" s="124">
        <f t="shared" si="3"/>
        <v>1</v>
      </c>
      <c r="V516" s="124">
        <v>1.0</v>
      </c>
      <c r="W516" s="124"/>
      <c r="X516" s="125">
        <v>2.0</v>
      </c>
      <c r="Y516" s="126"/>
      <c r="Z516" s="125">
        <f t="shared" si="4"/>
        <v>2</v>
      </c>
      <c r="AA516" s="127" t="str">
        <f t="shared" si="5"/>
        <v>Moderado</v>
      </c>
      <c r="AB516" s="128">
        <f t="shared" si="6"/>
        <v>12</v>
      </c>
      <c r="AC516" s="129">
        <f t="shared" si="7"/>
        <v>0.1752712184</v>
      </c>
      <c r="AD516" s="131"/>
    </row>
    <row r="517" ht="14.25" hidden="1" customHeight="1">
      <c r="A517" s="116" t="s">
        <v>847</v>
      </c>
      <c r="B517" s="117" t="s">
        <v>1724</v>
      </c>
      <c r="C517" s="117" t="s">
        <v>1761</v>
      </c>
      <c r="D517" s="117" t="s">
        <v>1762</v>
      </c>
      <c r="E517" s="117" t="s">
        <v>1761</v>
      </c>
      <c r="F517" s="117" t="s">
        <v>1763</v>
      </c>
      <c r="G517" s="117" t="s">
        <v>205</v>
      </c>
      <c r="H517" s="117" t="s">
        <v>895</v>
      </c>
      <c r="I517" s="117">
        <v>1.0</v>
      </c>
      <c r="J517" s="117">
        <v>1.0</v>
      </c>
      <c r="K517" s="117" t="str">
        <f t="shared" si="1"/>
        <v>No</v>
      </c>
      <c r="L517" s="118" t="s">
        <v>116</v>
      </c>
      <c r="M517" s="119">
        <v>0.33</v>
      </c>
      <c r="N517" s="120">
        <v>0.0</v>
      </c>
      <c r="O517" s="121"/>
      <c r="P517" s="117">
        <v>0.0</v>
      </c>
      <c r="Q517" s="117">
        <f t="shared" si="2"/>
        <v>0</v>
      </c>
      <c r="R517" s="122">
        <f>+(IF(((M517*24)-P517)&lt;0,0,((M517*24)-P517)*'Estimación de pérdidas'!$F$72))*N517</f>
        <v>0</v>
      </c>
      <c r="S517" s="123" t="s">
        <v>117</v>
      </c>
      <c r="T517" s="124" t="s">
        <v>119</v>
      </c>
      <c r="U517" s="124">
        <f t="shared" si="3"/>
        <v>1</v>
      </c>
      <c r="V517" s="124">
        <v>1.0</v>
      </c>
      <c r="W517" s="124">
        <v>1.0</v>
      </c>
      <c r="X517" s="125"/>
      <c r="Y517" s="126"/>
      <c r="Z517" s="125">
        <f t="shared" si="4"/>
        <v>1</v>
      </c>
      <c r="AA517" s="127" t="str">
        <f t="shared" si="5"/>
        <v>Bajo</v>
      </c>
      <c r="AB517" s="128">
        <f t="shared" si="6"/>
        <v>4</v>
      </c>
      <c r="AC517" s="129">
        <f t="shared" si="7"/>
        <v>0.09295160031</v>
      </c>
    </row>
    <row r="518" ht="14.25" hidden="1" customHeight="1">
      <c r="A518" s="116" t="s">
        <v>847</v>
      </c>
      <c r="B518" s="117" t="s">
        <v>1724</v>
      </c>
      <c r="C518" s="117" t="s">
        <v>1764</v>
      </c>
      <c r="D518" s="117" t="s">
        <v>1765</v>
      </c>
      <c r="E518" s="117" t="s">
        <v>1766</v>
      </c>
      <c r="F518" s="117" t="s">
        <v>1767</v>
      </c>
      <c r="G518" s="117" t="s">
        <v>205</v>
      </c>
      <c r="H518" s="117" t="s">
        <v>1749</v>
      </c>
      <c r="I518" s="117">
        <v>1.0</v>
      </c>
      <c r="J518" s="117">
        <v>1.0</v>
      </c>
      <c r="K518" s="117" t="str">
        <f t="shared" si="1"/>
        <v>No</v>
      </c>
      <c r="L518" s="118" t="s">
        <v>116</v>
      </c>
      <c r="M518" s="119">
        <v>0.25</v>
      </c>
      <c r="N518" s="120">
        <v>0.0</v>
      </c>
      <c r="O518" s="121">
        <v>32.64178766973281</v>
      </c>
      <c r="P518" s="117">
        <v>15.086070959264127</v>
      </c>
      <c r="Q518" s="117">
        <f t="shared" si="2"/>
        <v>0</v>
      </c>
      <c r="R518" s="122">
        <f>+(IF(((M518*24)-P518)&lt;0,0,((M518*24)-P518)*'Estimación de pérdidas'!$F$72))*N518</f>
        <v>0</v>
      </c>
      <c r="S518" s="123" t="s">
        <v>272</v>
      </c>
      <c r="T518" s="124" t="s">
        <v>106</v>
      </c>
      <c r="U518" s="124">
        <f t="shared" si="3"/>
        <v>1</v>
      </c>
      <c r="V518" s="124">
        <v>1.0</v>
      </c>
      <c r="W518" s="124"/>
      <c r="X518" s="125">
        <v>2.0</v>
      </c>
      <c r="Y518" s="126"/>
      <c r="Z518" s="125">
        <f t="shared" si="4"/>
        <v>2</v>
      </c>
      <c r="AA518" s="127" t="str">
        <f t="shared" si="5"/>
        <v>Moderado</v>
      </c>
      <c r="AB518" s="128">
        <f t="shared" si="6"/>
        <v>12</v>
      </c>
      <c r="AC518" s="129">
        <f t="shared" si="7"/>
        <v>0.1752712184</v>
      </c>
      <c r="AD518" s="131"/>
    </row>
    <row r="519" ht="14.25" hidden="1" customHeight="1">
      <c r="A519" s="116" t="s">
        <v>847</v>
      </c>
      <c r="B519" s="117" t="s">
        <v>1724</v>
      </c>
      <c r="C519" s="117" t="s">
        <v>1768</v>
      </c>
      <c r="D519" s="117" t="s">
        <v>1769</v>
      </c>
      <c r="E519" s="117" t="s">
        <v>1768</v>
      </c>
      <c r="F519" s="117" t="s">
        <v>1770</v>
      </c>
      <c r="G519" s="117" t="s">
        <v>1771</v>
      </c>
      <c r="H519" s="117" t="s">
        <v>1772</v>
      </c>
      <c r="I519" s="117">
        <v>1.0</v>
      </c>
      <c r="J519" s="117">
        <v>1.0</v>
      </c>
      <c r="K519" s="117" t="str">
        <f t="shared" si="1"/>
        <v>No</v>
      </c>
      <c r="L519" s="118" t="s">
        <v>116</v>
      </c>
      <c r="M519" s="119">
        <v>0.5</v>
      </c>
      <c r="N519" s="120">
        <v>0.0</v>
      </c>
      <c r="O519" s="121"/>
      <c r="P519" s="117">
        <v>0.0</v>
      </c>
      <c r="Q519" s="117">
        <f t="shared" si="2"/>
        <v>0</v>
      </c>
      <c r="R519" s="122">
        <f>+(IF(((M519*24)-P519)&lt;0,0,((M519*24)-P519)*'Estimación de pérdidas'!$F$72))*N519</f>
        <v>0</v>
      </c>
      <c r="S519" s="123" t="s">
        <v>272</v>
      </c>
      <c r="T519" s="124" t="s">
        <v>119</v>
      </c>
      <c r="U519" s="124">
        <f t="shared" si="3"/>
        <v>1</v>
      </c>
      <c r="V519" s="124">
        <v>1.0</v>
      </c>
      <c r="W519" s="124"/>
      <c r="X519" s="125">
        <v>2.0</v>
      </c>
      <c r="Y519" s="126"/>
      <c r="Z519" s="125">
        <f t="shared" si="4"/>
        <v>2</v>
      </c>
      <c r="AA519" s="127" t="str">
        <f t="shared" si="5"/>
        <v>Moderado</v>
      </c>
      <c r="AB519" s="128">
        <f t="shared" si="6"/>
        <v>8</v>
      </c>
      <c r="AC519" s="129">
        <f t="shared" si="7"/>
        <v>0.1314534138</v>
      </c>
      <c r="AD519" s="131"/>
    </row>
    <row r="520" ht="14.25" hidden="1" customHeight="1">
      <c r="A520" s="116" t="s">
        <v>403</v>
      </c>
      <c r="B520" s="117" t="s">
        <v>1724</v>
      </c>
      <c r="C520" s="117" t="s">
        <v>761</v>
      </c>
      <c r="D520" s="117" t="s">
        <v>1773</v>
      </c>
      <c r="E520" s="117" t="s">
        <v>526</v>
      </c>
      <c r="F520" s="117" t="s">
        <v>763</v>
      </c>
      <c r="G520" s="117" t="s">
        <v>408</v>
      </c>
      <c r="H520" s="117" t="s">
        <v>764</v>
      </c>
      <c r="I520" s="117">
        <v>1.0</v>
      </c>
      <c r="J520" s="117">
        <v>1.0</v>
      </c>
      <c r="K520" s="117" t="str">
        <f t="shared" si="1"/>
        <v>No</v>
      </c>
      <c r="L520" s="118" t="s">
        <v>116</v>
      </c>
      <c r="M520" s="119">
        <v>0.3333333333333333</v>
      </c>
      <c r="N520" s="120">
        <v>0.0</v>
      </c>
      <c r="O520" s="121"/>
      <c r="P520" s="117">
        <v>0.0</v>
      </c>
      <c r="Q520" s="117">
        <f t="shared" si="2"/>
        <v>0</v>
      </c>
      <c r="R520" s="122">
        <f>+(IF(((M520*24)-P520)&lt;0,0,((M520*24)-P520)*'Estimación de pérdidas'!$F$72))*N520</f>
        <v>0</v>
      </c>
      <c r="S520" s="123" t="s">
        <v>272</v>
      </c>
      <c r="T520" s="124" t="s">
        <v>106</v>
      </c>
      <c r="U520" s="124">
        <f t="shared" si="3"/>
        <v>1</v>
      </c>
      <c r="V520" s="124">
        <v>1.0</v>
      </c>
      <c r="W520" s="124">
        <v>4.0</v>
      </c>
      <c r="X520" s="125"/>
      <c r="Y520" s="126"/>
      <c r="Z520" s="125">
        <f t="shared" si="4"/>
        <v>4</v>
      </c>
      <c r="AA520" s="127" t="str">
        <f t="shared" si="5"/>
        <v>Alto</v>
      </c>
      <c r="AB520" s="128">
        <f t="shared" si="6"/>
        <v>22</v>
      </c>
      <c r="AC520" s="129">
        <f t="shared" si="7"/>
        <v>0.3035786554</v>
      </c>
      <c r="AD520" s="130"/>
    </row>
    <row r="521" ht="14.25" hidden="1" customHeight="1">
      <c r="A521" s="116" t="s">
        <v>403</v>
      </c>
      <c r="B521" s="117" t="s">
        <v>1724</v>
      </c>
      <c r="C521" s="117" t="s">
        <v>761</v>
      </c>
      <c r="D521" s="117" t="s">
        <v>1774</v>
      </c>
      <c r="E521" s="117" t="s">
        <v>526</v>
      </c>
      <c r="F521" s="117" t="s">
        <v>763</v>
      </c>
      <c r="G521" s="117" t="s">
        <v>408</v>
      </c>
      <c r="H521" s="117" t="s">
        <v>764</v>
      </c>
      <c r="I521" s="117">
        <v>1.0</v>
      </c>
      <c r="J521" s="117">
        <v>1.0</v>
      </c>
      <c r="K521" s="117" t="str">
        <f t="shared" si="1"/>
        <v>No</v>
      </c>
      <c r="L521" s="118" t="s">
        <v>116</v>
      </c>
      <c r="M521" s="119">
        <v>0.3333333333333333</v>
      </c>
      <c r="N521" s="120">
        <v>0.0</v>
      </c>
      <c r="O521" s="121"/>
      <c r="P521" s="117">
        <v>0.0</v>
      </c>
      <c r="Q521" s="117">
        <f t="shared" si="2"/>
        <v>0</v>
      </c>
      <c r="R521" s="122">
        <f>+(IF(((M521*24)-P521)&lt;0,0,((M521*24)-P521)*'Estimación de pérdidas'!$F$72))*N521</f>
        <v>0</v>
      </c>
      <c r="S521" s="123" t="s">
        <v>272</v>
      </c>
      <c r="T521" s="124" t="s">
        <v>106</v>
      </c>
      <c r="U521" s="124">
        <f t="shared" si="3"/>
        <v>1</v>
      </c>
      <c r="V521" s="124">
        <v>1.0</v>
      </c>
      <c r="W521" s="124">
        <v>4.0</v>
      </c>
      <c r="X521" s="125"/>
      <c r="Y521" s="126"/>
      <c r="Z521" s="125">
        <f t="shared" si="4"/>
        <v>4</v>
      </c>
      <c r="AA521" s="127" t="str">
        <f t="shared" si="5"/>
        <v>Alto</v>
      </c>
      <c r="AB521" s="128">
        <f t="shared" si="6"/>
        <v>22</v>
      </c>
      <c r="AC521" s="129">
        <f t="shared" si="7"/>
        <v>0.3035786554</v>
      </c>
      <c r="AD521" s="130"/>
    </row>
    <row r="522" ht="14.25" hidden="1" customHeight="1">
      <c r="A522" s="116" t="s">
        <v>847</v>
      </c>
      <c r="B522" s="117" t="s">
        <v>1724</v>
      </c>
      <c r="C522" s="117" t="s">
        <v>1775</v>
      </c>
      <c r="D522" s="117" t="s">
        <v>1776</v>
      </c>
      <c r="E522" s="117" t="s">
        <v>1775</v>
      </c>
      <c r="F522" s="117" t="s">
        <v>1777</v>
      </c>
      <c r="G522" s="117" t="s">
        <v>531</v>
      </c>
      <c r="H522" s="117" t="s">
        <v>623</v>
      </c>
      <c r="I522" s="117">
        <v>1.0</v>
      </c>
      <c r="J522" s="117">
        <v>1.0</v>
      </c>
      <c r="K522" s="117" t="str">
        <f t="shared" si="1"/>
        <v>No</v>
      </c>
      <c r="L522" s="118" t="s">
        <v>116</v>
      </c>
      <c r="M522" s="119">
        <v>0.3333333333333333</v>
      </c>
      <c r="N522" s="120">
        <v>1.0</v>
      </c>
      <c r="O522" s="121">
        <v>33.0</v>
      </c>
      <c r="P522" s="117">
        <v>12.0</v>
      </c>
      <c r="Q522" s="117">
        <f t="shared" si="2"/>
        <v>0</v>
      </c>
      <c r="R522" s="122">
        <f>+(IF(((M522*24)-P522)&lt;0,0,((M522*24)-P522)*'Estimación de pérdidas'!$F$72))*N522</f>
        <v>0</v>
      </c>
      <c r="S522" s="123" t="s">
        <v>117</v>
      </c>
      <c r="T522" s="124" t="s">
        <v>119</v>
      </c>
      <c r="U522" s="124">
        <f t="shared" si="3"/>
        <v>1</v>
      </c>
      <c r="V522" s="124">
        <v>2.0</v>
      </c>
      <c r="W522" s="124"/>
      <c r="X522" s="125"/>
      <c r="Y522" s="126"/>
      <c r="Z522" s="125">
        <f t="shared" si="4"/>
        <v>2</v>
      </c>
      <c r="AA522" s="127" t="str">
        <f t="shared" si="5"/>
        <v>Moderado</v>
      </c>
      <c r="AB522" s="128">
        <f t="shared" si="6"/>
        <v>8</v>
      </c>
      <c r="AC522" s="129">
        <f t="shared" si="7"/>
        <v>0.12</v>
      </c>
      <c r="AD522" s="131"/>
    </row>
    <row r="523" ht="14.25" hidden="1" customHeight="1">
      <c r="A523" s="116" t="s">
        <v>847</v>
      </c>
      <c r="B523" s="117" t="s">
        <v>1724</v>
      </c>
      <c r="C523" s="117" t="s">
        <v>1778</v>
      </c>
      <c r="D523" s="117" t="s">
        <v>1779</v>
      </c>
      <c r="E523" s="117" t="s">
        <v>1778</v>
      </c>
      <c r="F523" s="117" t="s">
        <v>1780</v>
      </c>
      <c r="G523" s="117" t="s">
        <v>531</v>
      </c>
      <c r="H523" s="117" t="s">
        <v>623</v>
      </c>
      <c r="I523" s="117">
        <v>1.0</v>
      </c>
      <c r="J523" s="117">
        <v>1.0</v>
      </c>
      <c r="K523" s="117" t="str">
        <f t="shared" si="1"/>
        <v>No</v>
      </c>
      <c r="L523" s="118" t="s">
        <v>116</v>
      </c>
      <c r="M523" s="119">
        <v>0.3333333333333333</v>
      </c>
      <c r="N523" s="120">
        <v>1.0</v>
      </c>
      <c r="O523" s="121">
        <v>21.0</v>
      </c>
      <c r="P523" s="117">
        <v>36.0</v>
      </c>
      <c r="Q523" s="117">
        <f t="shared" si="2"/>
        <v>0</v>
      </c>
      <c r="R523" s="122">
        <f>+(IF(((M523*24)-P523)&lt;0,0,((M523*24)-P523)*'Estimación de pérdidas'!$F$72))*N523</f>
        <v>0</v>
      </c>
      <c r="S523" s="123" t="s">
        <v>117</v>
      </c>
      <c r="T523" s="124" t="s">
        <v>119</v>
      </c>
      <c r="U523" s="124">
        <f t="shared" si="3"/>
        <v>1</v>
      </c>
      <c r="V523" s="124">
        <v>2.0</v>
      </c>
      <c r="W523" s="124"/>
      <c r="X523" s="125"/>
      <c r="Y523" s="126"/>
      <c r="Z523" s="125">
        <f t="shared" si="4"/>
        <v>2</v>
      </c>
      <c r="AA523" s="127" t="str">
        <f t="shared" si="5"/>
        <v>Moderado</v>
      </c>
      <c r="AB523" s="128">
        <f t="shared" si="6"/>
        <v>8</v>
      </c>
      <c r="AC523" s="129">
        <f t="shared" si="7"/>
        <v>0.12</v>
      </c>
      <c r="AD523" s="131"/>
    </row>
    <row r="524" ht="14.25" hidden="1" customHeight="1">
      <c r="A524" s="116" t="s">
        <v>847</v>
      </c>
      <c r="B524" s="117" t="s">
        <v>1724</v>
      </c>
      <c r="C524" s="117" t="s">
        <v>1781</v>
      </c>
      <c r="D524" s="117" t="s">
        <v>1782</v>
      </c>
      <c r="E524" s="117" t="s">
        <v>1781</v>
      </c>
      <c r="F524" s="117" t="s">
        <v>1783</v>
      </c>
      <c r="G524" s="117" t="s">
        <v>211</v>
      </c>
      <c r="H524" s="117" t="s">
        <v>806</v>
      </c>
      <c r="I524" s="117">
        <v>1.0</v>
      </c>
      <c r="J524" s="117">
        <v>1.0</v>
      </c>
      <c r="K524" s="117" t="str">
        <f t="shared" si="1"/>
        <v>No</v>
      </c>
      <c r="L524" s="118" t="s">
        <v>116</v>
      </c>
      <c r="M524" s="119">
        <v>0.3333333333333333</v>
      </c>
      <c r="N524" s="120">
        <v>1.0</v>
      </c>
      <c r="O524" s="121">
        <v>33.0</v>
      </c>
      <c r="P524" s="117">
        <v>12.0</v>
      </c>
      <c r="Q524" s="117">
        <f t="shared" si="2"/>
        <v>0</v>
      </c>
      <c r="R524" s="122">
        <f>+(IF(((M524*24)-P524)&lt;0,0,((M524*24)-P524)*'Estimación de pérdidas'!$F$72))*N524</f>
        <v>0</v>
      </c>
      <c r="S524" s="123" t="s">
        <v>272</v>
      </c>
      <c r="T524" s="124" t="s">
        <v>132</v>
      </c>
      <c r="U524" s="124">
        <f t="shared" si="3"/>
        <v>1</v>
      </c>
      <c r="V524" s="124">
        <v>1.0</v>
      </c>
      <c r="W524" s="124"/>
      <c r="X524" s="125">
        <v>2.0</v>
      </c>
      <c r="Y524" s="126"/>
      <c r="Z524" s="125">
        <f t="shared" si="4"/>
        <v>2</v>
      </c>
      <c r="AA524" s="127" t="str">
        <f t="shared" si="5"/>
        <v>Bajo</v>
      </c>
      <c r="AB524" s="128">
        <f t="shared" si="6"/>
        <v>3</v>
      </c>
      <c r="AC524" s="129">
        <f t="shared" si="7"/>
        <v>0.0438178046</v>
      </c>
    </row>
    <row r="525" ht="14.25" hidden="1" customHeight="1">
      <c r="A525" s="116" t="s">
        <v>847</v>
      </c>
      <c r="B525" s="117" t="s">
        <v>1724</v>
      </c>
      <c r="C525" s="117" t="s">
        <v>1784</v>
      </c>
      <c r="D525" s="117" t="s">
        <v>1785</v>
      </c>
      <c r="E525" s="117" t="s">
        <v>1784</v>
      </c>
      <c r="F525" s="117" t="s">
        <v>1786</v>
      </c>
      <c r="G525" s="117" t="s">
        <v>211</v>
      </c>
      <c r="H525" s="117" t="s">
        <v>212</v>
      </c>
      <c r="I525" s="117">
        <v>1.0</v>
      </c>
      <c r="J525" s="117">
        <v>1.0</v>
      </c>
      <c r="K525" s="117" t="str">
        <f t="shared" si="1"/>
        <v>No</v>
      </c>
      <c r="L525" s="118" t="s">
        <v>116</v>
      </c>
      <c r="M525" s="119">
        <v>0.3333333333333333</v>
      </c>
      <c r="N525" s="120">
        <v>1.0</v>
      </c>
      <c r="O525" s="121">
        <v>21.0</v>
      </c>
      <c r="P525" s="117">
        <v>36.0</v>
      </c>
      <c r="Q525" s="117">
        <f t="shared" si="2"/>
        <v>0</v>
      </c>
      <c r="R525" s="122">
        <f>+(IF(((M525*24)-P525)&lt;0,0,((M525*24)-P525)*'Estimación de pérdidas'!$F$72))*N525</f>
        <v>0</v>
      </c>
      <c r="S525" s="123" t="s">
        <v>117</v>
      </c>
      <c r="T525" s="124" t="s">
        <v>132</v>
      </c>
      <c r="U525" s="124">
        <f t="shared" si="3"/>
        <v>1</v>
      </c>
      <c r="V525" s="124">
        <v>1.0</v>
      </c>
      <c r="W525" s="124"/>
      <c r="X525" s="125"/>
      <c r="Y525" s="126"/>
      <c r="Z525" s="125">
        <f t="shared" si="4"/>
        <v>1</v>
      </c>
      <c r="AA525" s="127" t="str">
        <f t="shared" si="5"/>
        <v>Bajo</v>
      </c>
      <c r="AB525" s="128">
        <f t="shared" si="6"/>
        <v>1</v>
      </c>
      <c r="AC525" s="129">
        <f t="shared" si="7"/>
        <v>0.02529822128</v>
      </c>
    </row>
    <row r="526" ht="14.25" hidden="1" customHeight="1">
      <c r="A526" s="116" t="s">
        <v>1787</v>
      </c>
      <c r="B526" s="117" t="s">
        <v>1788</v>
      </c>
      <c r="C526" s="117" t="s">
        <v>1789</v>
      </c>
      <c r="D526" s="117" t="s">
        <v>1790</v>
      </c>
      <c r="E526" s="117" t="s">
        <v>1789</v>
      </c>
      <c r="F526" s="117" t="s">
        <v>1791</v>
      </c>
      <c r="G526" s="117" t="s">
        <v>551</v>
      </c>
      <c r="H526" s="117" t="s">
        <v>552</v>
      </c>
      <c r="I526" s="117">
        <v>1.0</v>
      </c>
      <c r="J526" s="117">
        <v>1.0</v>
      </c>
      <c r="K526" s="117" t="str">
        <f t="shared" si="1"/>
        <v>No</v>
      </c>
      <c r="L526" s="118" t="s">
        <v>116</v>
      </c>
      <c r="M526" s="119">
        <v>0.3333333333333333</v>
      </c>
      <c r="N526" s="120">
        <v>1.0</v>
      </c>
      <c r="O526" s="121">
        <v>1.0</v>
      </c>
      <c r="P526" s="117">
        <v>72.0</v>
      </c>
      <c r="Q526" s="117">
        <f t="shared" si="2"/>
        <v>0</v>
      </c>
      <c r="R526" s="122">
        <f>+(IF(((M526*24)-P526)&lt;0,0,((M526*24)-P526)*'Estimación de pérdidas'!$F$72))*N526</f>
        <v>0</v>
      </c>
      <c r="S526" s="123" t="s">
        <v>117</v>
      </c>
      <c r="T526" s="124" t="s">
        <v>119</v>
      </c>
      <c r="U526" s="124">
        <f t="shared" si="3"/>
        <v>1</v>
      </c>
      <c r="V526" s="124">
        <v>1.0</v>
      </c>
      <c r="W526" s="124"/>
      <c r="X526" s="125"/>
      <c r="Y526" s="126"/>
      <c r="Z526" s="125">
        <f t="shared" si="4"/>
        <v>1</v>
      </c>
      <c r="AA526" s="127" t="str">
        <f t="shared" si="5"/>
        <v>Bajo</v>
      </c>
      <c r="AB526" s="128">
        <f t="shared" si="6"/>
        <v>4</v>
      </c>
      <c r="AC526" s="129">
        <f t="shared" si="7"/>
        <v>0.07589466384</v>
      </c>
    </row>
    <row r="527" ht="14.25" hidden="1" customHeight="1">
      <c r="A527" s="116" t="s">
        <v>1787</v>
      </c>
      <c r="B527" s="117" t="s">
        <v>1788</v>
      </c>
      <c r="C527" s="117" t="s">
        <v>1792</v>
      </c>
      <c r="D527" s="117" t="s">
        <v>1793</v>
      </c>
      <c r="E527" s="117" t="s">
        <v>1794</v>
      </c>
      <c r="F527" s="117" t="s">
        <v>1795</v>
      </c>
      <c r="G527" s="117" t="s">
        <v>171</v>
      </c>
      <c r="H527" s="117" t="s">
        <v>172</v>
      </c>
      <c r="I527" s="117">
        <v>1.0</v>
      </c>
      <c r="J527" s="117">
        <v>1.0</v>
      </c>
      <c r="K527" s="117" t="str">
        <f t="shared" si="1"/>
        <v>No</v>
      </c>
      <c r="L527" s="118" t="s">
        <v>116</v>
      </c>
      <c r="M527" s="119">
        <v>0.3333333333333333</v>
      </c>
      <c r="N527" s="120">
        <v>0.0</v>
      </c>
      <c r="O527" s="121"/>
      <c r="P527" s="117">
        <v>0.0</v>
      </c>
      <c r="Q527" s="117">
        <f t="shared" si="2"/>
        <v>0</v>
      </c>
      <c r="R527" s="122">
        <f>+(IF(((M527*24)-P527)&lt;0,0,((M527*24)-P527)*'Estimación de pérdidas'!$F$72))*N527</f>
        <v>0</v>
      </c>
      <c r="S527" s="123" t="s">
        <v>117</v>
      </c>
      <c r="T527" s="124" t="s">
        <v>119</v>
      </c>
      <c r="U527" s="124">
        <f t="shared" si="3"/>
        <v>1</v>
      </c>
      <c r="V527" s="124">
        <v>1.0</v>
      </c>
      <c r="W527" s="124"/>
      <c r="X527" s="125"/>
      <c r="Y527" s="126"/>
      <c r="Z527" s="125">
        <f t="shared" si="4"/>
        <v>1</v>
      </c>
      <c r="AA527" s="127" t="str">
        <f t="shared" si="5"/>
        <v>Bajo</v>
      </c>
      <c r="AB527" s="128">
        <f t="shared" si="6"/>
        <v>4</v>
      </c>
      <c r="AC527" s="129">
        <f t="shared" si="7"/>
        <v>0.07589466384</v>
      </c>
    </row>
    <row r="528" ht="14.25" hidden="1" customHeight="1">
      <c r="A528" s="116" t="s">
        <v>1787</v>
      </c>
      <c r="B528" s="117" t="s">
        <v>1788</v>
      </c>
      <c r="C528" s="117" t="s">
        <v>1796</v>
      </c>
      <c r="D528" s="117" t="s">
        <v>1797</v>
      </c>
      <c r="E528" s="117" t="s">
        <v>1796</v>
      </c>
      <c r="F528" s="117" t="s">
        <v>1798</v>
      </c>
      <c r="G528" s="117" t="s">
        <v>171</v>
      </c>
      <c r="H528" s="117" t="s">
        <v>172</v>
      </c>
      <c r="I528" s="117">
        <v>1.0</v>
      </c>
      <c r="J528" s="117">
        <v>1.0</v>
      </c>
      <c r="K528" s="117" t="str">
        <f t="shared" si="1"/>
        <v>No</v>
      </c>
      <c r="L528" s="118" t="s">
        <v>116</v>
      </c>
      <c r="M528" s="119">
        <v>0.3333333333333333</v>
      </c>
      <c r="N528" s="120">
        <v>0.0</v>
      </c>
      <c r="O528" s="121"/>
      <c r="P528" s="117">
        <v>0.0</v>
      </c>
      <c r="Q528" s="117">
        <f t="shared" si="2"/>
        <v>0</v>
      </c>
      <c r="R528" s="122">
        <f>+(IF(((M528*24)-P528)&lt;0,0,((M528*24)-P528)*'Estimación de pérdidas'!$F$72))*N528</f>
        <v>0</v>
      </c>
      <c r="S528" s="123" t="s">
        <v>117</v>
      </c>
      <c r="T528" s="124" t="s">
        <v>119</v>
      </c>
      <c r="U528" s="124">
        <f t="shared" si="3"/>
        <v>1</v>
      </c>
      <c r="V528" s="124">
        <v>1.0</v>
      </c>
      <c r="W528" s="124"/>
      <c r="X528" s="125"/>
      <c r="Y528" s="126"/>
      <c r="Z528" s="125">
        <f t="shared" si="4"/>
        <v>1</v>
      </c>
      <c r="AA528" s="127" t="str">
        <f t="shared" si="5"/>
        <v>Bajo</v>
      </c>
      <c r="AB528" s="128">
        <f t="shared" si="6"/>
        <v>4</v>
      </c>
      <c r="AC528" s="129">
        <f t="shared" si="7"/>
        <v>0.07589466384</v>
      </c>
    </row>
    <row r="529" ht="14.25" hidden="1" customHeight="1">
      <c r="A529" s="116" t="s">
        <v>1787</v>
      </c>
      <c r="B529" s="117" t="s">
        <v>1788</v>
      </c>
      <c r="C529" s="117" t="s">
        <v>1799</v>
      </c>
      <c r="D529" s="117" t="s">
        <v>1800</v>
      </c>
      <c r="E529" s="117" t="s">
        <v>1799</v>
      </c>
      <c r="F529" s="117" t="s">
        <v>1801</v>
      </c>
      <c r="G529" s="117" t="s">
        <v>205</v>
      </c>
      <c r="H529" s="117" t="s">
        <v>1749</v>
      </c>
      <c r="I529" s="117">
        <v>1.0</v>
      </c>
      <c r="J529" s="117">
        <v>1.0</v>
      </c>
      <c r="K529" s="117" t="str">
        <f t="shared" si="1"/>
        <v>No</v>
      </c>
      <c r="L529" s="118" t="s">
        <v>116</v>
      </c>
      <c r="M529" s="119">
        <v>0.25</v>
      </c>
      <c r="N529" s="120">
        <v>1.0</v>
      </c>
      <c r="O529" s="121">
        <v>1.0</v>
      </c>
      <c r="P529" s="117">
        <v>72.0</v>
      </c>
      <c r="Q529" s="117">
        <f t="shared" si="2"/>
        <v>0</v>
      </c>
      <c r="R529" s="122">
        <f>+(IF(((M529*24)-P529)&lt;0,0,((M529*24)-P529)*'Estimación de pérdidas'!$F$72))*N529</f>
        <v>0</v>
      </c>
      <c r="S529" s="123" t="s">
        <v>272</v>
      </c>
      <c r="T529" s="124" t="s">
        <v>118</v>
      </c>
      <c r="U529" s="124">
        <f t="shared" si="3"/>
        <v>1</v>
      </c>
      <c r="V529" s="124">
        <v>1.0</v>
      </c>
      <c r="W529" s="124"/>
      <c r="X529" s="125">
        <v>3.0</v>
      </c>
      <c r="Y529" s="126"/>
      <c r="Z529" s="125">
        <f t="shared" si="4"/>
        <v>3</v>
      </c>
      <c r="AA529" s="127" t="str">
        <f t="shared" si="5"/>
        <v>Moderado</v>
      </c>
      <c r="AB529" s="128">
        <f t="shared" si="6"/>
        <v>9</v>
      </c>
      <c r="AC529" s="129">
        <f t="shared" si="7"/>
        <v>0.1186591758</v>
      </c>
    </row>
    <row r="530" ht="14.25" hidden="1" customHeight="1">
      <c r="A530" s="116" t="s">
        <v>1787</v>
      </c>
      <c r="B530" s="117" t="s">
        <v>1788</v>
      </c>
      <c r="C530" s="117" t="s">
        <v>1802</v>
      </c>
      <c r="D530" s="117" t="s">
        <v>1803</v>
      </c>
      <c r="E530" s="117" t="s">
        <v>1802</v>
      </c>
      <c r="F530" s="117" t="s">
        <v>1804</v>
      </c>
      <c r="G530" s="117" t="s">
        <v>205</v>
      </c>
      <c r="H530" s="117" t="s">
        <v>729</v>
      </c>
      <c r="I530" s="117">
        <v>1.0</v>
      </c>
      <c r="J530" s="117">
        <v>1.0</v>
      </c>
      <c r="K530" s="117" t="str">
        <f t="shared" si="1"/>
        <v>No</v>
      </c>
      <c r="L530" s="118" t="s">
        <v>116</v>
      </c>
      <c r="M530" s="119">
        <v>0.25</v>
      </c>
      <c r="N530" s="120">
        <v>1.0</v>
      </c>
      <c r="O530" s="121">
        <v>1.0</v>
      </c>
      <c r="P530" s="117">
        <v>72.0</v>
      </c>
      <c r="Q530" s="117">
        <f t="shared" si="2"/>
        <v>0</v>
      </c>
      <c r="R530" s="122">
        <f>+(IF(((M530*24)-P530)&lt;0,0,((M530*24)-P530)*'Estimación de pérdidas'!$F$72))*N530</f>
        <v>0</v>
      </c>
      <c r="S530" s="123" t="s">
        <v>117</v>
      </c>
      <c r="T530" s="124" t="s">
        <v>106</v>
      </c>
      <c r="U530" s="124">
        <f t="shared" si="3"/>
        <v>1</v>
      </c>
      <c r="V530" s="124">
        <v>1.0</v>
      </c>
      <c r="W530" s="124"/>
      <c r="X530" s="125"/>
      <c r="Y530" s="126"/>
      <c r="Z530" s="125">
        <f t="shared" si="4"/>
        <v>1</v>
      </c>
      <c r="AA530" s="127" t="str">
        <f t="shared" si="5"/>
        <v>Bajo</v>
      </c>
      <c r="AB530" s="128">
        <f t="shared" si="6"/>
        <v>7</v>
      </c>
      <c r="AC530" s="129">
        <f t="shared" si="7"/>
        <v>0.1011928851</v>
      </c>
    </row>
    <row r="531" ht="14.25" hidden="1" customHeight="1">
      <c r="A531" s="116" t="s">
        <v>1787</v>
      </c>
      <c r="B531" s="117" t="s">
        <v>1788</v>
      </c>
      <c r="C531" s="117" t="s">
        <v>1805</v>
      </c>
      <c r="D531" s="117" t="s">
        <v>1806</v>
      </c>
      <c r="E531" s="117" t="s">
        <v>1807</v>
      </c>
      <c r="F531" s="117" t="s">
        <v>1808</v>
      </c>
      <c r="G531" s="117" t="s">
        <v>205</v>
      </c>
      <c r="H531" s="117" t="s">
        <v>1809</v>
      </c>
      <c r="I531" s="117">
        <v>1.0</v>
      </c>
      <c r="J531" s="117">
        <v>1.0</v>
      </c>
      <c r="K531" s="117" t="str">
        <f t="shared" si="1"/>
        <v>No</v>
      </c>
      <c r="L531" s="118" t="s">
        <v>116</v>
      </c>
      <c r="M531" s="119">
        <v>0.25</v>
      </c>
      <c r="N531" s="120">
        <v>1.0</v>
      </c>
      <c r="O531" s="121">
        <v>1.0</v>
      </c>
      <c r="P531" s="117">
        <v>72.0</v>
      </c>
      <c r="Q531" s="117">
        <f t="shared" si="2"/>
        <v>0</v>
      </c>
      <c r="R531" s="122">
        <f>+(IF(((M531*24)-P531)&lt;0,0,((M531*24)-P531)*'Estimación de pérdidas'!$F$72))*N531</f>
        <v>0</v>
      </c>
      <c r="S531" s="123" t="s">
        <v>272</v>
      </c>
      <c r="T531" s="124" t="s">
        <v>118</v>
      </c>
      <c r="U531" s="124">
        <f t="shared" si="3"/>
        <v>1</v>
      </c>
      <c r="V531" s="124">
        <v>2.0</v>
      </c>
      <c r="W531" s="124"/>
      <c r="X531" s="125">
        <v>3.0</v>
      </c>
      <c r="Y531" s="126"/>
      <c r="Z531" s="125">
        <f t="shared" si="4"/>
        <v>3</v>
      </c>
      <c r="AA531" s="127" t="str">
        <f t="shared" si="5"/>
        <v>Moderado</v>
      </c>
      <c r="AB531" s="128">
        <f t="shared" si="6"/>
        <v>9</v>
      </c>
      <c r="AC531" s="129">
        <f t="shared" si="7"/>
        <v>0.1338656042</v>
      </c>
    </row>
    <row r="532" ht="14.25" hidden="1" customHeight="1">
      <c r="A532" s="116" t="s">
        <v>1787</v>
      </c>
      <c r="B532" s="117" t="s">
        <v>1788</v>
      </c>
      <c r="C532" s="117" t="s">
        <v>1810</v>
      </c>
      <c r="D532" s="117" t="s">
        <v>1811</v>
      </c>
      <c r="E532" s="117" t="s">
        <v>1810</v>
      </c>
      <c r="F532" s="117" t="s">
        <v>1812</v>
      </c>
      <c r="G532" s="117" t="s">
        <v>205</v>
      </c>
      <c r="H532" s="117" t="s">
        <v>1749</v>
      </c>
      <c r="I532" s="117">
        <v>1.0</v>
      </c>
      <c r="J532" s="117">
        <v>1.0</v>
      </c>
      <c r="K532" s="117" t="str">
        <f t="shared" si="1"/>
        <v>No</v>
      </c>
      <c r="L532" s="118" t="s">
        <v>116</v>
      </c>
      <c r="M532" s="119">
        <v>0.25</v>
      </c>
      <c r="N532" s="120">
        <v>1.0</v>
      </c>
      <c r="O532" s="121">
        <v>1.0</v>
      </c>
      <c r="P532" s="117">
        <v>72.0</v>
      </c>
      <c r="Q532" s="117">
        <f t="shared" si="2"/>
        <v>0</v>
      </c>
      <c r="R532" s="122">
        <f>+(IF(((M532*24)-P532)&lt;0,0,((M532*24)-P532)*'Estimación de pérdidas'!$F$72))*N532</f>
        <v>0</v>
      </c>
      <c r="S532" s="123" t="s">
        <v>272</v>
      </c>
      <c r="T532" s="124" t="s">
        <v>118</v>
      </c>
      <c r="U532" s="124">
        <f t="shared" si="3"/>
        <v>1</v>
      </c>
      <c r="V532" s="124">
        <v>2.0</v>
      </c>
      <c r="W532" s="124"/>
      <c r="X532" s="125">
        <v>3.0</v>
      </c>
      <c r="Y532" s="126"/>
      <c r="Z532" s="125">
        <f t="shared" si="4"/>
        <v>3</v>
      </c>
      <c r="AA532" s="127" t="str">
        <f t="shared" si="5"/>
        <v>Moderado</v>
      </c>
      <c r="AB532" s="128">
        <f t="shared" si="6"/>
        <v>9</v>
      </c>
      <c r="AC532" s="129">
        <f t="shared" si="7"/>
        <v>0.1338656042</v>
      </c>
    </row>
    <row r="533" ht="14.25" hidden="1" customHeight="1">
      <c r="A533" s="116" t="s">
        <v>1787</v>
      </c>
      <c r="B533" s="117" t="s">
        <v>1788</v>
      </c>
      <c r="C533" s="117" t="s">
        <v>1813</v>
      </c>
      <c r="D533" s="117" t="s">
        <v>1814</v>
      </c>
      <c r="E533" s="117" t="s">
        <v>1815</v>
      </c>
      <c r="F533" s="117" t="s">
        <v>1816</v>
      </c>
      <c r="G533" s="117" t="s">
        <v>205</v>
      </c>
      <c r="H533" s="117" t="s">
        <v>1749</v>
      </c>
      <c r="I533" s="117">
        <v>1.0</v>
      </c>
      <c r="J533" s="117">
        <v>1.0</v>
      </c>
      <c r="K533" s="117" t="str">
        <f t="shared" si="1"/>
        <v>No</v>
      </c>
      <c r="L533" s="118" t="s">
        <v>116</v>
      </c>
      <c r="M533" s="119">
        <v>0.25</v>
      </c>
      <c r="N533" s="120">
        <v>1.0</v>
      </c>
      <c r="O533" s="121">
        <v>1.0</v>
      </c>
      <c r="P533" s="117">
        <v>72.0</v>
      </c>
      <c r="Q533" s="117">
        <f t="shared" si="2"/>
        <v>0</v>
      </c>
      <c r="R533" s="122">
        <f>+(IF(((M533*24)-P533)&lt;0,0,((M533*24)-P533)*'Estimación de pérdidas'!$F$72))*N533</f>
        <v>0</v>
      </c>
      <c r="S533" s="123" t="s">
        <v>272</v>
      </c>
      <c r="T533" s="124" t="s">
        <v>118</v>
      </c>
      <c r="U533" s="124">
        <f t="shared" si="3"/>
        <v>1</v>
      </c>
      <c r="V533" s="124">
        <v>1.0</v>
      </c>
      <c r="W533" s="124"/>
      <c r="X533" s="125">
        <v>3.0</v>
      </c>
      <c r="Y533" s="126"/>
      <c r="Z533" s="125">
        <f t="shared" si="4"/>
        <v>3</v>
      </c>
      <c r="AA533" s="127" t="str">
        <f t="shared" si="5"/>
        <v>Moderado</v>
      </c>
      <c r="AB533" s="128">
        <f t="shared" si="6"/>
        <v>9</v>
      </c>
      <c r="AC533" s="129">
        <f t="shared" si="7"/>
        <v>0.1186591758</v>
      </c>
    </row>
    <row r="534" ht="14.25" hidden="1" customHeight="1">
      <c r="A534" s="116" t="s">
        <v>1787</v>
      </c>
      <c r="B534" s="117" t="s">
        <v>1788</v>
      </c>
      <c r="C534" s="117" t="s">
        <v>1817</v>
      </c>
      <c r="D534" s="117" t="s">
        <v>1818</v>
      </c>
      <c r="E534" s="117" t="s">
        <v>1817</v>
      </c>
      <c r="F534" s="117" t="s">
        <v>1819</v>
      </c>
      <c r="G534" s="117" t="s">
        <v>211</v>
      </c>
      <c r="H534" s="117" t="s">
        <v>1030</v>
      </c>
      <c r="I534" s="117">
        <v>1.0</v>
      </c>
      <c r="J534" s="117">
        <v>1.0</v>
      </c>
      <c r="K534" s="117" t="str">
        <f t="shared" si="1"/>
        <v>No</v>
      </c>
      <c r="L534" s="118" t="s">
        <v>116</v>
      </c>
      <c r="M534" s="119">
        <v>0.3333333333333333</v>
      </c>
      <c r="N534" s="120">
        <v>1.0</v>
      </c>
      <c r="O534" s="121">
        <v>1.0</v>
      </c>
      <c r="P534" s="117">
        <v>72.0</v>
      </c>
      <c r="Q534" s="117">
        <f t="shared" si="2"/>
        <v>0</v>
      </c>
      <c r="R534" s="122">
        <f>+(IF(((M534*24)-P534)&lt;0,0,((M534*24)-P534)*'Estimación de pérdidas'!$F$72))*N534</f>
        <v>0</v>
      </c>
      <c r="S534" s="123" t="s">
        <v>272</v>
      </c>
      <c r="T534" s="124" t="s">
        <v>132</v>
      </c>
      <c r="U534" s="124">
        <f t="shared" si="3"/>
        <v>1</v>
      </c>
      <c r="V534" s="124">
        <v>1.0</v>
      </c>
      <c r="W534" s="124"/>
      <c r="X534" s="125">
        <v>2.0</v>
      </c>
      <c r="Y534" s="126"/>
      <c r="Z534" s="125">
        <f t="shared" si="4"/>
        <v>2</v>
      </c>
      <c r="AA534" s="127" t="str">
        <f t="shared" si="5"/>
        <v>Bajo</v>
      </c>
      <c r="AB534" s="128">
        <f t="shared" si="6"/>
        <v>3</v>
      </c>
      <c r="AC534" s="129">
        <f t="shared" si="7"/>
        <v>0.0438178046</v>
      </c>
    </row>
    <row r="535" ht="14.25" hidden="1" customHeight="1">
      <c r="A535" s="116" t="s">
        <v>403</v>
      </c>
      <c r="B535" s="117" t="s">
        <v>1820</v>
      </c>
      <c r="C535" s="117" t="s">
        <v>1821</v>
      </c>
      <c r="D535" s="117" t="s">
        <v>1822</v>
      </c>
      <c r="E535" s="117" t="s">
        <v>1821</v>
      </c>
      <c r="F535" s="117" t="s">
        <v>1823</v>
      </c>
      <c r="G535" s="117" t="s">
        <v>205</v>
      </c>
      <c r="H535" s="117" t="s">
        <v>1824</v>
      </c>
      <c r="I535" s="117">
        <v>1.0</v>
      </c>
      <c r="J535" s="117">
        <v>1.0</v>
      </c>
      <c r="K535" s="117" t="str">
        <f t="shared" si="1"/>
        <v>No</v>
      </c>
      <c r="L535" s="118" t="s">
        <v>116</v>
      </c>
      <c r="M535" s="119">
        <v>0.25</v>
      </c>
      <c r="N535" s="120">
        <v>0.0</v>
      </c>
      <c r="O535" s="121"/>
      <c r="P535" s="117">
        <v>0.0</v>
      </c>
      <c r="Q535" s="117">
        <f t="shared" si="2"/>
        <v>0</v>
      </c>
      <c r="R535" s="122">
        <f>+(IF(((M535*24)-P535)&lt;0,0,((M535*24)-P535)*'Estimación de pérdidas'!$F$72))*N535</f>
        <v>0</v>
      </c>
      <c r="S535" s="123" t="s">
        <v>272</v>
      </c>
      <c r="T535" s="124" t="s">
        <v>106</v>
      </c>
      <c r="U535" s="124">
        <f t="shared" si="3"/>
        <v>1</v>
      </c>
      <c r="V535" s="124">
        <v>1.0</v>
      </c>
      <c r="W535" s="124">
        <v>4.0</v>
      </c>
      <c r="X535" s="125"/>
      <c r="Y535" s="126"/>
      <c r="Z535" s="125">
        <f t="shared" si="4"/>
        <v>4</v>
      </c>
      <c r="AA535" s="127" t="str">
        <f t="shared" si="5"/>
        <v>Alto</v>
      </c>
      <c r="AB535" s="128">
        <f t="shared" si="6"/>
        <v>22</v>
      </c>
      <c r="AC535" s="129">
        <f t="shared" si="7"/>
        <v>0.3035786554</v>
      </c>
      <c r="AD535" s="130"/>
    </row>
    <row r="536" ht="14.25" hidden="1" customHeight="1">
      <c r="A536" s="116" t="s">
        <v>1820</v>
      </c>
      <c r="B536" s="117" t="s">
        <v>1820</v>
      </c>
      <c r="C536" s="117" t="s">
        <v>1825</v>
      </c>
      <c r="D536" s="117" t="s">
        <v>1826</v>
      </c>
      <c r="E536" s="117" t="s">
        <v>1825</v>
      </c>
      <c r="F536" s="117" t="s">
        <v>1827</v>
      </c>
      <c r="G536" s="117" t="s">
        <v>205</v>
      </c>
      <c r="H536" s="117" t="s">
        <v>1749</v>
      </c>
      <c r="I536" s="117">
        <v>1.0</v>
      </c>
      <c r="J536" s="117">
        <v>1.0</v>
      </c>
      <c r="K536" s="117" t="str">
        <f t="shared" si="1"/>
        <v>No</v>
      </c>
      <c r="L536" s="118" t="s">
        <v>116</v>
      </c>
      <c r="M536" s="119">
        <v>0.25</v>
      </c>
      <c r="N536" s="120">
        <v>0.0</v>
      </c>
      <c r="O536" s="121">
        <v>34.22742060884802</v>
      </c>
      <c r="P536" s="124">
        <v>14.705519053876476</v>
      </c>
      <c r="Q536" s="117">
        <f t="shared" si="2"/>
        <v>0</v>
      </c>
      <c r="R536" s="122">
        <f>+(IF(((M536*24)-P536)&lt;0,0,((M536*24)-P536)*'Estimación de pérdidas'!$F$72))*N536</f>
        <v>0</v>
      </c>
      <c r="S536" s="123" t="s">
        <v>272</v>
      </c>
      <c r="T536" s="124" t="s">
        <v>106</v>
      </c>
      <c r="U536" s="124">
        <f t="shared" si="3"/>
        <v>1</v>
      </c>
      <c r="V536" s="124">
        <v>2.0</v>
      </c>
      <c r="W536" s="124"/>
      <c r="X536" s="125">
        <v>2.0</v>
      </c>
      <c r="Y536" s="126"/>
      <c r="Z536" s="125">
        <f t="shared" si="4"/>
        <v>2</v>
      </c>
      <c r="AA536" s="127" t="str">
        <f t="shared" si="5"/>
        <v>Moderado</v>
      </c>
      <c r="AB536" s="128">
        <f t="shared" si="6"/>
        <v>12</v>
      </c>
      <c r="AC536" s="129">
        <f t="shared" si="7"/>
        <v>0.2146625258</v>
      </c>
      <c r="AD536" s="131"/>
    </row>
    <row r="537" ht="14.25" hidden="1" customHeight="1">
      <c r="A537" s="116" t="s">
        <v>1820</v>
      </c>
      <c r="B537" s="117" t="s">
        <v>1820</v>
      </c>
      <c r="C537" s="117" t="s">
        <v>1828</v>
      </c>
      <c r="D537" s="117" t="s">
        <v>1829</v>
      </c>
      <c r="E537" s="117" t="s">
        <v>1828</v>
      </c>
      <c r="F537" s="117" t="s">
        <v>1830</v>
      </c>
      <c r="G537" s="117" t="s">
        <v>205</v>
      </c>
      <c r="H537" s="117" t="s">
        <v>1749</v>
      </c>
      <c r="I537" s="117">
        <v>1.0</v>
      </c>
      <c r="J537" s="117">
        <v>1.0</v>
      </c>
      <c r="K537" s="117" t="str">
        <f t="shared" si="1"/>
        <v>No</v>
      </c>
      <c r="L537" s="118" t="s">
        <v>116</v>
      </c>
      <c r="M537" s="119">
        <v>0.3333333333333333</v>
      </c>
      <c r="N537" s="120">
        <v>0.0</v>
      </c>
      <c r="O537" s="121">
        <v>12.5</v>
      </c>
      <c r="P537" s="124">
        <v>18.902299605781863</v>
      </c>
      <c r="Q537" s="117">
        <f t="shared" si="2"/>
        <v>0</v>
      </c>
      <c r="R537" s="122">
        <f>+(IF(((M537*24)-P537)&lt;0,0,((M537*24)-P537)*'Estimación de pérdidas'!$F$72))*N537</f>
        <v>0</v>
      </c>
      <c r="S537" s="123" t="s">
        <v>272</v>
      </c>
      <c r="T537" s="124" t="s">
        <v>106</v>
      </c>
      <c r="U537" s="124">
        <f t="shared" si="3"/>
        <v>1</v>
      </c>
      <c r="V537" s="124">
        <v>1.0</v>
      </c>
      <c r="W537" s="124"/>
      <c r="X537" s="125">
        <v>2.0</v>
      </c>
      <c r="Y537" s="126"/>
      <c r="Z537" s="125">
        <f t="shared" si="4"/>
        <v>2</v>
      </c>
      <c r="AA537" s="127" t="str">
        <f t="shared" si="5"/>
        <v>Moderado</v>
      </c>
      <c r="AB537" s="128">
        <f t="shared" si="6"/>
        <v>12</v>
      </c>
      <c r="AC537" s="129">
        <f t="shared" si="7"/>
        <v>0.1752712184</v>
      </c>
      <c r="AD537" s="131"/>
    </row>
    <row r="538" ht="14.25" hidden="1" customHeight="1">
      <c r="A538" s="116" t="s">
        <v>1820</v>
      </c>
      <c r="B538" s="117" t="s">
        <v>1820</v>
      </c>
      <c r="C538" s="117" t="s">
        <v>1831</v>
      </c>
      <c r="D538" s="117" t="s">
        <v>1832</v>
      </c>
      <c r="E538" s="117" t="s">
        <v>1831</v>
      </c>
      <c r="F538" s="117" t="s">
        <v>1833</v>
      </c>
      <c r="G538" s="117" t="s">
        <v>205</v>
      </c>
      <c r="H538" s="117" t="s">
        <v>895</v>
      </c>
      <c r="I538" s="117">
        <v>1.0</v>
      </c>
      <c r="J538" s="117">
        <v>1.0</v>
      </c>
      <c r="K538" s="117" t="str">
        <f t="shared" si="1"/>
        <v>No</v>
      </c>
      <c r="L538" s="118" t="s">
        <v>116</v>
      </c>
      <c r="M538" s="119">
        <v>0.3333333333333333</v>
      </c>
      <c r="N538" s="120">
        <v>1.0</v>
      </c>
      <c r="O538" s="121">
        <v>47.65</v>
      </c>
      <c r="P538" s="117">
        <v>12.0</v>
      </c>
      <c r="Q538" s="117">
        <f t="shared" si="2"/>
        <v>0</v>
      </c>
      <c r="R538" s="122">
        <f>+(IF(((M538*24)-P538)&lt;0,0,((M538*24)-P538)*'Estimación de pérdidas'!$F$72))*N538</f>
        <v>0</v>
      </c>
      <c r="S538" s="123" t="s">
        <v>117</v>
      </c>
      <c r="T538" s="124" t="s">
        <v>106</v>
      </c>
      <c r="U538" s="124">
        <f t="shared" si="3"/>
        <v>1</v>
      </c>
      <c r="V538" s="124">
        <v>1.0</v>
      </c>
      <c r="W538" s="124">
        <v>2.0</v>
      </c>
      <c r="X538" s="125"/>
      <c r="Y538" s="126"/>
      <c r="Z538" s="125">
        <f t="shared" si="4"/>
        <v>2</v>
      </c>
      <c r="AA538" s="127" t="str">
        <f t="shared" si="5"/>
        <v>Moderado</v>
      </c>
      <c r="AB538" s="128">
        <f t="shared" si="6"/>
        <v>12</v>
      </c>
      <c r="AC538" s="129">
        <f t="shared" si="7"/>
        <v>0.1752712184</v>
      </c>
      <c r="AD538" s="131"/>
    </row>
    <row r="539" ht="14.25" hidden="1" customHeight="1">
      <c r="A539" s="116" t="s">
        <v>1820</v>
      </c>
      <c r="B539" s="117" t="s">
        <v>1820</v>
      </c>
      <c r="C539" s="117" t="s">
        <v>1834</v>
      </c>
      <c r="D539" s="117" t="s">
        <v>1835</v>
      </c>
      <c r="E539" s="117" t="s">
        <v>1836</v>
      </c>
      <c r="F539" s="117" t="s">
        <v>1837</v>
      </c>
      <c r="G539" s="117" t="s">
        <v>205</v>
      </c>
      <c r="H539" s="117" t="s">
        <v>491</v>
      </c>
      <c r="I539" s="117">
        <v>1.0</v>
      </c>
      <c r="J539" s="117">
        <v>1.0</v>
      </c>
      <c r="K539" s="117" t="str">
        <f t="shared" si="1"/>
        <v>No</v>
      </c>
      <c r="L539" s="118" t="s">
        <v>116</v>
      </c>
      <c r="M539" s="119">
        <v>0.25</v>
      </c>
      <c r="N539" s="120">
        <v>1.0</v>
      </c>
      <c r="O539" s="121">
        <v>20.1</v>
      </c>
      <c r="P539" s="117">
        <v>19.2</v>
      </c>
      <c r="Q539" s="117">
        <f t="shared" si="2"/>
        <v>0</v>
      </c>
      <c r="R539" s="122">
        <f>+(IF(((M539*24)-P539)&lt;0,0,((M539*24)-P539)*'Estimación de pérdidas'!$F$72))*N539</f>
        <v>0</v>
      </c>
      <c r="S539" s="123" t="s">
        <v>117</v>
      </c>
      <c r="T539" s="124" t="s">
        <v>106</v>
      </c>
      <c r="U539" s="124">
        <f t="shared" si="3"/>
        <v>1</v>
      </c>
      <c r="V539" s="124">
        <v>1.0</v>
      </c>
      <c r="W539" s="124"/>
      <c r="X539" s="125"/>
      <c r="Y539" s="126"/>
      <c r="Z539" s="125">
        <f t="shared" si="4"/>
        <v>1</v>
      </c>
      <c r="AA539" s="127" t="str">
        <f t="shared" si="5"/>
        <v>Bajo</v>
      </c>
      <c r="AB539" s="128">
        <f t="shared" si="6"/>
        <v>7</v>
      </c>
      <c r="AC539" s="129">
        <f t="shared" si="7"/>
        <v>0.1011928851</v>
      </c>
    </row>
    <row r="540" ht="14.25" hidden="1" customHeight="1">
      <c r="A540" s="116" t="s">
        <v>1820</v>
      </c>
      <c r="B540" s="117" t="s">
        <v>1820</v>
      </c>
      <c r="C540" s="117" t="s">
        <v>1831</v>
      </c>
      <c r="D540" s="117" t="s">
        <v>1838</v>
      </c>
      <c r="E540" s="117" t="s">
        <v>1839</v>
      </c>
      <c r="F540" s="117" t="s">
        <v>1840</v>
      </c>
      <c r="G540" s="117" t="s">
        <v>205</v>
      </c>
      <c r="H540" s="117" t="s">
        <v>1841</v>
      </c>
      <c r="I540" s="117">
        <v>1.0</v>
      </c>
      <c r="J540" s="117">
        <v>1.0</v>
      </c>
      <c r="K540" s="117" t="str">
        <f t="shared" si="1"/>
        <v>No</v>
      </c>
      <c r="L540" s="118" t="s">
        <v>116</v>
      </c>
      <c r="M540" s="119">
        <v>0.25</v>
      </c>
      <c r="N540" s="120">
        <v>1.0</v>
      </c>
      <c r="O540" s="121">
        <v>91.33375000000001</v>
      </c>
      <c r="P540" s="117">
        <v>1.0</v>
      </c>
      <c r="Q540" s="117">
        <f t="shared" si="2"/>
        <v>5</v>
      </c>
      <c r="R540" s="122">
        <f>+(IF(((M540*24)-P540)&lt;0,0,((M540*24)-P540)*'Estimación de pérdidas'!$F$72))*N540</f>
        <v>288390.3746</v>
      </c>
      <c r="S540" s="123" t="s">
        <v>117</v>
      </c>
      <c r="T540" s="124" t="s">
        <v>106</v>
      </c>
      <c r="U540" s="124">
        <f t="shared" si="3"/>
        <v>3</v>
      </c>
      <c r="V540" s="124">
        <v>1.0</v>
      </c>
      <c r="W540" s="124">
        <v>2.0</v>
      </c>
      <c r="X540" s="125"/>
      <c r="Y540" s="126"/>
      <c r="Z540" s="125">
        <f t="shared" si="4"/>
        <v>3</v>
      </c>
      <c r="AA540" s="127" t="str">
        <f t="shared" si="5"/>
        <v>Moderado</v>
      </c>
      <c r="AB540" s="128">
        <f t="shared" si="6"/>
        <v>17</v>
      </c>
      <c r="AC540" s="129">
        <f t="shared" si="7"/>
        <v>0.2677312085</v>
      </c>
      <c r="AD540" s="131"/>
    </row>
    <row r="541" ht="14.25" hidden="1" customHeight="1">
      <c r="A541" s="116" t="s">
        <v>403</v>
      </c>
      <c r="B541" s="117" t="s">
        <v>1820</v>
      </c>
      <c r="C541" s="117" t="s">
        <v>406</v>
      </c>
      <c r="D541" s="117" t="s">
        <v>1842</v>
      </c>
      <c r="E541" s="117" t="s">
        <v>526</v>
      </c>
      <c r="F541" s="117" t="s">
        <v>907</v>
      </c>
      <c r="G541" s="117" t="s">
        <v>408</v>
      </c>
      <c r="H541" s="117" t="s">
        <v>908</v>
      </c>
      <c r="I541" s="117">
        <v>1.0</v>
      </c>
      <c r="J541" s="117">
        <v>1.0</v>
      </c>
      <c r="K541" s="117" t="str">
        <f t="shared" si="1"/>
        <v>No</v>
      </c>
      <c r="L541" s="118" t="s">
        <v>116</v>
      </c>
      <c r="M541" s="119">
        <v>0.3333333333333333</v>
      </c>
      <c r="N541" s="120">
        <v>0.0</v>
      </c>
      <c r="O541" s="121"/>
      <c r="P541" s="117">
        <v>0.0</v>
      </c>
      <c r="Q541" s="117">
        <f t="shared" si="2"/>
        <v>0</v>
      </c>
      <c r="R541" s="122">
        <f>+(IF(((M541*24)-P541)&lt;0,0,((M541*24)-P541)*'Estimación de pérdidas'!$F$72))*N541</f>
        <v>0</v>
      </c>
      <c r="S541" s="123" t="s">
        <v>272</v>
      </c>
      <c r="T541" s="124" t="s">
        <v>106</v>
      </c>
      <c r="U541" s="124">
        <f t="shared" si="3"/>
        <v>1</v>
      </c>
      <c r="V541" s="124">
        <v>1.0</v>
      </c>
      <c r="W541" s="124">
        <v>4.0</v>
      </c>
      <c r="X541" s="125"/>
      <c r="Y541" s="126"/>
      <c r="Z541" s="125">
        <f t="shared" si="4"/>
        <v>4</v>
      </c>
      <c r="AA541" s="127" t="str">
        <f t="shared" si="5"/>
        <v>Alto</v>
      </c>
      <c r="AB541" s="128">
        <f t="shared" si="6"/>
        <v>22</v>
      </c>
      <c r="AC541" s="129">
        <f t="shared" si="7"/>
        <v>0.3035786554</v>
      </c>
      <c r="AD541" s="130"/>
    </row>
    <row r="542" ht="14.25" hidden="1" customHeight="1">
      <c r="A542" s="116" t="s">
        <v>1820</v>
      </c>
      <c r="B542" s="117" t="s">
        <v>1820</v>
      </c>
      <c r="C542" s="117" t="s">
        <v>1843</v>
      </c>
      <c r="D542" s="117" t="s">
        <v>1844</v>
      </c>
      <c r="E542" s="117" t="s">
        <v>1843</v>
      </c>
      <c r="F542" s="117" t="s">
        <v>1845</v>
      </c>
      <c r="G542" s="117" t="s">
        <v>211</v>
      </c>
      <c r="H542" s="117" t="s">
        <v>1846</v>
      </c>
      <c r="I542" s="117">
        <v>1.0</v>
      </c>
      <c r="J542" s="117">
        <v>1.0</v>
      </c>
      <c r="K542" s="117" t="str">
        <f t="shared" si="1"/>
        <v>No</v>
      </c>
      <c r="L542" s="118" t="s">
        <v>116</v>
      </c>
      <c r="M542" s="119">
        <v>0.3333333333333333</v>
      </c>
      <c r="N542" s="120">
        <v>0.0</v>
      </c>
      <c r="O542" s="121"/>
      <c r="P542" s="117">
        <v>0.0</v>
      </c>
      <c r="Q542" s="117">
        <f t="shared" si="2"/>
        <v>0</v>
      </c>
      <c r="R542" s="122">
        <f>+(IF(((M542*24)-P542)&lt;0,0,((M542*24)-P542)*'Estimación de pérdidas'!$F$72))*N542</f>
        <v>0</v>
      </c>
      <c r="S542" s="123" t="s">
        <v>117</v>
      </c>
      <c r="T542" s="124" t="s">
        <v>132</v>
      </c>
      <c r="U542" s="124">
        <f t="shared" si="3"/>
        <v>1</v>
      </c>
      <c r="V542" s="124">
        <v>1.0</v>
      </c>
      <c r="W542" s="124">
        <v>2.0</v>
      </c>
      <c r="X542" s="125"/>
      <c r="Y542" s="126"/>
      <c r="Z542" s="125">
        <f t="shared" si="4"/>
        <v>2</v>
      </c>
      <c r="AA542" s="127" t="str">
        <f t="shared" si="5"/>
        <v>Bajo</v>
      </c>
      <c r="AB542" s="128">
        <f t="shared" si="6"/>
        <v>3</v>
      </c>
      <c r="AC542" s="129">
        <f t="shared" si="7"/>
        <v>0.0438178046</v>
      </c>
    </row>
    <row r="543" ht="14.25" hidden="1" customHeight="1">
      <c r="A543" s="116" t="s">
        <v>1820</v>
      </c>
      <c r="B543" s="117" t="s">
        <v>1820</v>
      </c>
      <c r="C543" s="117" t="s">
        <v>1847</v>
      </c>
      <c r="D543" s="117" t="s">
        <v>1848</v>
      </c>
      <c r="E543" s="117" t="s">
        <v>1847</v>
      </c>
      <c r="F543" s="117" t="s">
        <v>1849</v>
      </c>
      <c r="G543" s="117" t="s">
        <v>211</v>
      </c>
      <c r="H543" s="117" t="s">
        <v>212</v>
      </c>
      <c r="I543" s="117">
        <v>1.0</v>
      </c>
      <c r="J543" s="117">
        <v>1.0</v>
      </c>
      <c r="K543" s="117" t="str">
        <f t="shared" si="1"/>
        <v>No</v>
      </c>
      <c r="L543" s="118" t="s">
        <v>116</v>
      </c>
      <c r="M543" s="119">
        <v>1.0</v>
      </c>
      <c r="N543" s="120">
        <v>0.0</v>
      </c>
      <c r="O543" s="121">
        <v>91.32</v>
      </c>
      <c r="P543" s="117">
        <v>1.0</v>
      </c>
      <c r="Q543" s="117">
        <f t="shared" si="2"/>
        <v>0</v>
      </c>
      <c r="R543" s="122">
        <f>+(IF(((M543*24)-P543)&lt;0,0,((M543*24)-P543)*'Estimación de pérdidas'!$F$72))*N543</f>
        <v>0</v>
      </c>
      <c r="S543" s="123" t="s">
        <v>117</v>
      </c>
      <c r="T543" s="124" t="s">
        <v>132</v>
      </c>
      <c r="U543" s="124">
        <f t="shared" si="3"/>
        <v>1</v>
      </c>
      <c r="V543" s="124">
        <v>1.0</v>
      </c>
      <c r="W543" s="124"/>
      <c r="X543" s="125"/>
      <c r="Y543" s="126"/>
      <c r="Z543" s="125">
        <f t="shared" si="4"/>
        <v>1</v>
      </c>
      <c r="AA543" s="127" t="str">
        <f t="shared" si="5"/>
        <v>Bajo</v>
      </c>
      <c r="AB543" s="128">
        <f t="shared" si="6"/>
        <v>1</v>
      </c>
      <c r="AC543" s="129">
        <f t="shared" si="7"/>
        <v>0.02529822128</v>
      </c>
    </row>
    <row r="544" ht="14.25" hidden="1" customHeight="1">
      <c r="A544" s="116" t="s">
        <v>1820</v>
      </c>
      <c r="B544" s="117" t="s">
        <v>1820</v>
      </c>
      <c r="C544" s="117" t="s">
        <v>1850</v>
      </c>
      <c r="D544" s="117" t="s">
        <v>1851</v>
      </c>
      <c r="E544" s="117" t="s">
        <v>1850</v>
      </c>
      <c r="F544" s="117" t="s">
        <v>1852</v>
      </c>
      <c r="G544" s="117" t="s">
        <v>211</v>
      </c>
      <c r="H544" s="117" t="s">
        <v>1853</v>
      </c>
      <c r="I544" s="117">
        <v>1.0</v>
      </c>
      <c r="J544" s="117">
        <v>1.0</v>
      </c>
      <c r="K544" s="117" t="str">
        <f t="shared" si="1"/>
        <v>No</v>
      </c>
      <c r="L544" s="118" t="s">
        <v>116</v>
      </c>
      <c r="M544" s="119">
        <v>1.0</v>
      </c>
      <c r="N544" s="120">
        <v>1.0</v>
      </c>
      <c r="O544" s="121">
        <v>51.7</v>
      </c>
      <c r="P544" s="117">
        <v>11.6</v>
      </c>
      <c r="Q544" s="117">
        <f t="shared" si="2"/>
        <v>12.4</v>
      </c>
      <c r="R544" s="122">
        <f>+(IF(((M544*24)-P544)&lt;0,0,((M544*24)-P544)*'Estimación de pérdidas'!$F$72))*N544</f>
        <v>715208.1289</v>
      </c>
      <c r="S544" s="123" t="s">
        <v>117</v>
      </c>
      <c r="T544" s="124" t="s">
        <v>132</v>
      </c>
      <c r="U544" s="124">
        <f t="shared" si="3"/>
        <v>4</v>
      </c>
      <c r="V544" s="124">
        <v>5.0</v>
      </c>
      <c r="W544" s="124">
        <v>3.0</v>
      </c>
      <c r="X544" s="125"/>
      <c r="Y544" s="126"/>
      <c r="Z544" s="125">
        <f t="shared" si="4"/>
        <v>5</v>
      </c>
      <c r="AA544" s="127" t="str">
        <f t="shared" si="5"/>
        <v>Moderado</v>
      </c>
      <c r="AB544" s="128">
        <f t="shared" si="6"/>
        <v>15</v>
      </c>
      <c r="AC544" s="129">
        <f t="shared" si="7"/>
        <v>0.1264911064</v>
      </c>
      <c r="AD544" s="131"/>
    </row>
    <row r="545" ht="14.25" hidden="1" customHeight="1">
      <c r="A545" s="116" t="s">
        <v>1820</v>
      </c>
      <c r="B545" s="117" t="s">
        <v>1820</v>
      </c>
      <c r="C545" s="117" t="s">
        <v>1854</v>
      </c>
      <c r="D545" s="117" t="s">
        <v>1855</v>
      </c>
      <c r="E545" s="117" t="s">
        <v>1854</v>
      </c>
      <c r="F545" s="117" t="s">
        <v>1856</v>
      </c>
      <c r="G545" s="117" t="s">
        <v>211</v>
      </c>
      <c r="H545" s="117" t="s">
        <v>1846</v>
      </c>
      <c r="I545" s="117">
        <v>1.0</v>
      </c>
      <c r="J545" s="117">
        <v>1.0</v>
      </c>
      <c r="K545" s="117" t="str">
        <f t="shared" si="1"/>
        <v>No</v>
      </c>
      <c r="L545" s="118" t="s">
        <v>116</v>
      </c>
      <c r="M545" s="119">
        <v>0.5</v>
      </c>
      <c r="N545" s="120">
        <v>1.0</v>
      </c>
      <c r="O545" s="121">
        <v>91.32</v>
      </c>
      <c r="P545" s="117">
        <v>12.0</v>
      </c>
      <c r="Q545" s="117">
        <f t="shared" si="2"/>
        <v>0</v>
      </c>
      <c r="R545" s="122">
        <f>+(IF(((M545*24)-P545)&lt;0,0,((M545*24)-P545)*'Estimación de pérdidas'!$F$72))*N545</f>
        <v>0</v>
      </c>
      <c r="S545" s="123" t="s">
        <v>272</v>
      </c>
      <c r="T545" s="124" t="s">
        <v>132</v>
      </c>
      <c r="U545" s="124">
        <f t="shared" si="3"/>
        <v>1</v>
      </c>
      <c r="V545" s="124">
        <v>2.0</v>
      </c>
      <c r="W545" s="124">
        <v>2.0</v>
      </c>
      <c r="X545" s="125"/>
      <c r="Y545" s="126"/>
      <c r="Z545" s="125">
        <f t="shared" si="4"/>
        <v>2</v>
      </c>
      <c r="AA545" s="127" t="str">
        <f t="shared" si="5"/>
        <v>Bajo</v>
      </c>
      <c r="AB545" s="128">
        <f t="shared" si="6"/>
        <v>3</v>
      </c>
      <c r="AC545" s="129">
        <f t="shared" si="7"/>
        <v>0.05366563146</v>
      </c>
    </row>
    <row r="546" ht="14.25" hidden="1" customHeight="1">
      <c r="A546" s="116" t="s">
        <v>1820</v>
      </c>
      <c r="B546" s="117" t="s">
        <v>1820</v>
      </c>
      <c r="C546" s="117" t="s">
        <v>1857</v>
      </c>
      <c r="D546" s="117" t="s">
        <v>1858</v>
      </c>
      <c r="E546" s="117" t="s">
        <v>1857</v>
      </c>
      <c r="F546" s="117" t="s">
        <v>1859</v>
      </c>
      <c r="G546" s="117" t="s">
        <v>211</v>
      </c>
      <c r="H546" s="117" t="s">
        <v>1853</v>
      </c>
      <c r="I546" s="117">
        <v>1.0</v>
      </c>
      <c r="J546" s="117">
        <v>1.0</v>
      </c>
      <c r="K546" s="117" t="str">
        <f t="shared" si="1"/>
        <v>No</v>
      </c>
      <c r="L546" s="118" t="s">
        <v>116</v>
      </c>
      <c r="M546" s="119">
        <v>1.0</v>
      </c>
      <c r="N546" s="120">
        <v>1.0</v>
      </c>
      <c r="O546" s="121">
        <v>91.32</v>
      </c>
      <c r="P546" s="117">
        <v>1.0</v>
      </c>
      <c r="Q546" s="117">
        <f t="shared" si="2"/>
        <v>23</v>
      </c>
      <c r="R546" s="122">
        <f>+(IF(((M546*24)-P546)&lt;0,0,((M546*24)-P546)*'Estimación de pérdidas'!$F$72))*N546</f>
        <v>1326595.723</v>
      </c>
      <c r="S546" s="123" t="s">
        <v>272</v>
      </c>
      <c r="T546" s="124" t="s">
        <v>132</v>
      </c>
      <c r="U546" s="124">
        <f t="shared" si="3"/>
        <v>5</v>
      </c>
      <c r="V546" s="124">
        <v>5.0</v>
      </c>
      <c r="W546" s="124">
        <v>3.0</v>
      </c>
      <c r="X546" s="125"/>
      <c r="Y546" s="126"/>
      <c r="Z546" s="125">
        <f t="shared" si="4"/>
        <v>5</v>
      </c>
      <c r="AA546" s="127" t="str">
        <f t="shared" si="5"/>
        <v>Moderado</v>
      </c>
      <c r="AB546" s="128">
        <f t="shared" si="6"/>
        <v>15</v>
      </c>
      <c r="AC546" s="129">
        <f t="shared" si="7"/>
        <v>0.1374045123</v>
      </c>
      <c r="AD546" s="131"/>
    </row>
    <row r="547" ht="14.25" hidden="1" customHeight="1">
      <c r="A547" s="116" t="s">
        <v>1820</v>
      </c>
      <c r="B547" s="117" t="s">
        <v>1820</v>
      </c>
      <c r="C547" s="117" t="s">
        <v>1860</v>
      </c>
      <c r="D547" s="117" t="s">
        <v>1861</v>
      </c>
      <c r="E547" s="117" t="s">
        <v>1860</v>
      </c>
      <c r="F547" s="117" t="s">
        <v>1862</v>
      </c>
      <c r="G547" s="117" t="s">
        <v>211</v>
      </c>
      <c r="H547" s="117" t="s">
        <v>1863</v>
      </c>
      <c r="I547" s="117">
        <v>1.0</v>
      </c>
      <c r="J547" s="117">
        <v>1.0</v>
      </c>
      <c r="K547" s="117" t="str">
        <f t="shared" si="1"/>
        <v>No</v>
      </c>
      <c r="L547" s="118" t="s">
        <v>116</v>
      </c>
      <c r="M547" s="119">
        <v>1.0</v>
      </c>
      <c r="N547" s="120">
        <v>0.0</v>
      </c>
      <c r="O547" s="121">
        <v>91.32</v>
      </c>
      <c r="P547" s="117">
        <v>1.0</v>
      </c>
      <c r="Q547" s="117">
        <f t="shared" si="2"/>
        <v>0</v>
      </c>
      <c r="R547" s="122">
        <f>+(IF(((M547*24)-P547)&lt;0,0,((M547*24)-P547)*'Estimación de pérdidas'!$F$72))*N547</f>
        <v>0</v>
      </c>
      <c r="S547" s="123" t="s">
        <v>272</v>
      </c>
      <c r="T547" s="124" t="s">
        <v>132</v>
      </c>
      <c r="U547" s="124">
        <f t="shared" si="3"/>
        <v>1</v>
      </c>
      <c r="V547" s="124">
        <v>1.0</v>
      </c>
      <c r="W547" s="124">
        <v>4.0</v>
      </c>
      <c r="X547" s="125"/>
      <c r="Y547" s="126"/>
      <c r="Z547" s="125">
        <f t="shared" si="4"/>
        <v>4</v>
      </c>
      <c r="AA547" s="127" t="str">
        <f t="shared" si="5"/>
        <v>Moderado</v>
      </c>
      <c r="AB547" s="128">
        <f t="shared" si="6"/>
        <v>10</v>
      </c>
      <c r="AC547" s="129">
        <f t="shared" si="7"/>
        <v>0.07589466384</v>
      </c>
      <c r="AD547" s="130"/>
    </row>
    <row r="548" ht="14.25" hidden="1" customHeight="1">
      <c r="A548" s="116" t="s">
        <v>1820</v>
      </c>
      <c r="B548" s="117" t="s">
        <v>1820</v>
      </c>
      <c r="C548" s="117" t="s">
        <v>1864</v>
      </c>
      <c r="D548" s="117" t="s">
        <v>1865</v>
      </c>
      <c r="E548" s="117" t="s">
        <v>1866</v>
      </c>
      <c r="F548" s="117" t="s">
        <v>1867</v>
      </c>
      <c r="G548" s="117" t="s">
        <v>1868</v>
      </c>
      <c r="H548" s="117" t="s">
        <v>1869</v>
      </c>
      <c r="I548" s="117">
        <v>1.0</v>
      </c>
      <c r="J548" s="117">
        <v>1.0</v>
      </c>
      <c r="K548" s="117" t="str">
        <f t="shared" si="1"/>
        <v>No</v>
      </c>
      <c r="L548" s="118" t="s">
        <v>116</v>
      </c>
      <c r="M548" s="119">
        <v>1.0</v>
      </c>
      <c r="N548" s="120">
        <v>1.0</v>
      </c>
      <c r="O548" s="121">
        <v>91.32</v>
      </c>
      <c r="P548" s="117">
        <v>12.0</v>
      </c>
      <c r="Q548" s="117">
        <f t="shared" si="2"/>
        <v>12</v>
      </c>
      <c r="R548" s="122">
        <f>+(IF(((M548*24)-P548)&lt;0,0,((M548*24)-P548)*'Estimación de pérdidas'!$F$72))*N548</f>
        <v>692136.899</v>
      </c>
      <c r="S548" s="123" t="s">
        <v>272</v>
      </c>
      <c r="T548" s="124" t="s">
        <v>118</v>
      </c>
      <c r="U548" s="124">
        <f t="shared" si="3"/>
        <v>4</v>
      </c>
      <c r="V548" s="124">
        <v>1.0</v>
      </c>
      <c r="W548" s="124">
        <v>2.0</v>
      </c>
      <c r="X548" s="125"/>
      <c r="Y548" s="126"/>
      <c r="Z548" s="125">
        <f t="shared" si="4"/>
        <v>4</v>
      </c>
      <c r="AA548" s="127" t="str">
        <f t="shared" si="5"/>
        <v>Moderado</v>
      </c>
      <c r="AB548" s="128">
        <f t="shared" si="6"/>
        <v>14</v>
      </c>
      <c r="AC548" s="129">
        <f t="shared" si="7"/>
        <v>0.1639512123</v>
      </c>
      <c r="AD548" s="130"/>
    </row>
    <row r="549" ht="14.25" hidden="1" customHeight="1">
      <c r="A549" s="116" t="s">
        <v>1820</v>
      </c>
      <c r="B549" s="117" t="s">
        <v>1820</v>
      </c>
      <c r="C549" s="117" t="s">
        <v>1870</v>
      </c>
      <c r="D549" s="117" t="s">
        <v>1871</v>
      </c>
      <c r="E549" s="117" t="s">
        <v>1872</v>
      </c>
      <c r="F549" s="117" t="s">
        <v>1873</v>
      </c>
      <c r="G549" s="117" t="s">
        <v>1868</v>
      </c>
      <c r="H549" s="117" t="s">
        <v>1874</v>
      </c>
      <c r="I549" s="117">
        <v>1.0</v>
      </c>
      <c r="J549" s="117">
        <v>1.0</v>
      </c>
      <c r="K549" s="117" t="str">
        <f t="shared" si="1"/>
        <v>No</v>
      </c>
      <c r="L549" s="118" t="s">
        <v>116</v>
      </c>
      <c r="M549" s="119">
        <v>0.25</v>
      </c>
      <c r="N549" s="120">
        <v>0.0</v>
      </c>
      <c r="O549" s="121"/>
      <c r="P549" s="117">
        <v>0.0</v>
      </c>
      <c r="Q549" s="117">
        <f t="shared" si="2"/>
        <v>0</v>
      </c>
      <c r="R549" s="122">
        <f>+(IF(((M549*24)-P549)&lt;0,0,((M549*24)-P549)*'Estimación de pérdidas'!$F$72))*N549</f>
        <v>0</v>
      </c>
      <c r="S549" s="123" t="s">
        <v>117</v>
      </c>
      <c r="T549" s="124" t="s">
        <v>119</v>
      </c>
      <c r="U549" s="124">
        <f t="shared" si="3"/>
        <v>1</v>
      </c>
      <c r="V549" s="124">
        <v>1.0</v>
      </c>
      <c r="W549" s="124">
        <v>2.0</v>
      </c>
      <c r="X549" s="125"/>
      <c r="Y549" s="126"/>
      <c r="Z549" s="125">
        <f t="shared" si="4"/>
        <v>2</v>
      </c>
      <c r="AA549" s="127" t="str">
        <f t="shared" si="5"/>
        <v>Moderado</v>
      </c>
      <c r="AB549" s="128">
        <f t="shared" si="6"/>
        <v>8</v>
      </c>
      <c r="AC549" s="129">
        <f t="shared" si="7"/>
        <v>0.1314534138</v>
      </c>
      <c r="AD549" s="131"/>
    </row>
    <row r="550" ht="14.25" hidden="1" customHeight="1">
      <c r="A550" s="116" t="s">
        <v>1820</v>
      </c>
      <c r="B550" s="117" t="s">
        <v>1820</v>
      </c>
      <c r="C550" s="117" t="s">
        <v>1875</v>
      </c>
      <c r="D550" s="117" t="s">
        <v>1876</v>
      </c>
      <c r="E550" s="117" t="s">
        <v>1877</v>
      </c>
      <c r="F550" s="117" t="s">
        <v>1878</v>
      </c>
      <c r="G550" s="117" t="s">
        <v>1879</v>
      </c>
      <c r="H550" s="117" t="s">
        <v>1880</v>
      </c>
      <c r="I550" s="117">
        <v>1.0</v>
      </c>
      <c r="J550" s="117">
        <v>1.0</v>
      </c>
      <c r="K550" s="117" t="str">
        <f t="shared" si="1"/>
        <v>No</v>
      </c>
      <c r="L550" s="118" t="s">
        <v>116</v>
      </c>
      <c r="M550" s="119">
        <v>0.3333333333333333</v>
      </c>
      <c r="N550" s="120">
        <v>0.0</v>
      </c>
      <c r="O550" s="121"/>
      <c r="P550" s="117">
        <v>0.0</v>
      </c>
      <c r="Q550" s="117">
        <f t="shared" si="2"/>
        <v>0</v>
      </c>
      <c r="R550" s="122">
        <f>+(IF(((M550*24)-P550)&lt;0,0,((M550*24)-P550)*'Estimación de pérdidas'!$F$72))*N550</f>
        <v>0</v>
      </c>
      <c r="S550" s="123" t="s">
        <v>117</v>
      </c>
      <c r="T550" s="124" t="s">
        <v>106</v>
      </c>
      <c r="U550" s="124">
        <f t="shared" si="3"/>
        <v>1</v>
      </c>
      <c r="V550" s="124">
        <v>1.0</v>
      </c>
      <c r="W550" s="124">
        <v>2.0</v>
      </c>
      <c r="X550" s="125"/>
      <c r="Y550" s="126"/>
      <c r="Z550" s="125">
        <f t="shared" si="4"/>
        <v>2</v>
      </c>
      <c r="AA550" s="127" t="str">
        <f t="shared" si="5"/>
        <v>Moderado</v>
      </c>
      <c r="AB550" s="128">
        <f t="shared" si="6"/>
        <v>12</v>
      </c>
      <c r="AC550" s="129">
        <f t="shared" si="7"/>
        <v>0.1752712184</v>
      </c>
      <c r="AD550" s="131"/>
    </row>
    <row r="551" ht="14.25" hidden="1" customHeight="1">
      <c r="A551" s="116" t="s">
        <v>1881</v>
      </c>
      <c r="B551" s="117" t="s">
        <v>1881</v>
      </c>
      <c r="C551" s="117" t="s">
        <v>1882</v>
      </c>
      <c r="D551" s="117" t="s">
        <v>1883</v>
      </c>
      <c r="E551" s="117" t="s">
        <v>1884</v>
      </c>
      <c r="F551" s="117" t="s">
        <v>1885</v>
      </c>
      <c r="G551" s="117" t="s">
        <v>114</v>
      </c>
      <c r="H551" s="117" t="s">
        <v>1886</v>
      </c>
      <c r="I551" s="117">
        <v>1.0</v>
      </c>
      <c r="J551" s="117">
        <v>1.0</v>
      </c>
      <c r="K551" s="117" t="str">
        <f t="shared" si="1"/>
        <v>No</v>
      </c>
      <c r="L551" s="118" t="s">
        <v>116</v>
      </c>
      <c r="M551" s="119">
        <v>0.5</v>
      </c>
      <c r="N551" s="120">
        <v>0.0</v>
      </c>
      <c r="O551" s="121">
        <v>91.32</v>
      </c>
      <c r="P551" s="117">
        <v>1.0</v>
      </c>
      <c r="Q551" s="117">
        <f t="shared" si="2"/>
        <v>0</v>
      </c>
      <c r="R551" s="122">
        <f>+(IF(((M551*24)-P551)&lt;0,0,((M551*24)-P551)*'Estimación de pérdidas'!$F$72))*N551</f>
        <v>0</v>
      </c>
      <c r="S551" s="123" t="s">
        <v>117</v>
      </c>
      <c r="T551" s="124" t="s">
        <v>118</v>
      </c>
      <c r="U551" s="124">
        <f t="shared" si="3"/>
        <v>1</v>
      </c>
      <c r="V551" s="124">
        <v>2.0</v>
      </c>
      <c r="W551" s="124"/>
      <c r="X551" s="125"/>
      <c r="Y551" s="126"/>
      <c r="Z551" s="125">
        <f t="shared" si="4"/>
        <v>2</v>
      </c>
      <c r="AA551" s="127" t="str">
        <f t="shared" si="5"/>
        <v>Bajo</v>
      </c>
      <c r="AB551" s="128">
        <f t="shared" si="6"/>
        <v>5</v>
      </c>
      <c r="AC551" s="129">
        <f t="shared" si="7"/>
        <v>0.08</v>
      </c>
    </row>
    <row r="552" ht="14.25" hidden="1" customHeight="1">
      <c r="A552" s="116" t="s">
        <v>1881</v>
      </c>
      <c r="B552" s="117" t="s">
        <v>1881</v>
      </c>
      <c r="C552" s="117" t="s">
        <v>1887</v>
      </c>
      <c r="D552" s="117" t="s">
        <v>1888</v>
      </c>
      <c r="E552" s="117" t="s">
        <v>1889</v>
      </c>
      <c r="F552" s="117" t="s">
        <v>1890</v>
      </c>
      <c r="G552" s="117" t="s">
        <v>114</v>
      </c>
      <c r="H552" s="117" t="s">
        <v>1419</v>
      </c>
      <c r="I552" s="117">
        <v>1.0</v>
      </c>
      <c r="J552" s="117">
        <v>1.0</v>
      </c>
      <c r="K552" s="117" t="str">
        <f t="shared" si="1"/>
        <v>No</v>
      </c>
      <c r="L552" s="118" t="s">
        <v>116</v>
      </c>
      <c r="M552" s="119">
        <v>0.5</v>
      </c>
      <c r="N552" s="120">
        <v>0.5</v>
      </c>
      <c r="O552" s="121">
        <v>91.32</v>
      </c>
      <c r="P552" s="117">
        <v>1.0</v>
      </c>
      <c r="Q552" s="117">
        <f t="shared" si="2"/>
        <v>5.5</v>
      </c>
      <c r="R552" s="122">
        <f>+(IF(((M552*24)-P552)&lt;0,0,((M552*24)-P552)*'Estimación de pérdidas'!$F$72))*N552</f>
        <v>317229.412</v>
      </c>
      <c r="S552" s="123" t="s">
        <v>117</v>
      </c>
      <c r="T552" s="124" t="s">
        <v>118</v>
      </c>
      <c r="U552" s="124">
        <f t="shared" si="3"/>
        <v>3</v>
      </c>
      <c r="V552" s="124">
        <v>2.0</v>
      </c>
      <c r="W552" s="124"/>
      <c r="X552" s="125"/>
      <c r="Y552" s="126"/>
      <c r="Z552" s="125">
        <f t="shared" si="4"/>
        <v>3</v>
      </c>
      <c r="AA552" s="127" t="str">
        <f t="shared" si="5"/>
        <v>Moderado</v>
      </c>
      <c r="AB552" s="128">
        <f t="shared" si="6"/>
        <v>9</v>
      </c>
      <c r="AC552" s="129">
        <f t="shared" si="7"/>
        <v>0.128996124</v>
      </c>
      <c r="AD552" s="131"/>
    </row>
    <row r="553" ht="14.25" hidden="1" customHeight="1">
      <c r="A553" s="116" t="s">
        <v>539</v>
      </c>
      <c r="B553" s="117" t="s">
        <v>540</v>
      </c>
      <c r="C553" s="117" t="s">
        <v>541</v>
      </c>
      <c r="D553" s="117" t="s">
        <v>1891</v>
      </c>
      <c r="E553" s="117" t="s">
        <v>543</v>
      </c>
      <c r="F553" s="117" t="s">
        <v>1892</v>
      </c>
      <c r="G553" s="117" t="s">
        <v>545</v>
      </c>
      <c r="H553" s="117" t="s">
        <v>1893</v>
      </c>
      <c r="I553" s="117">
        <v>1.0</v>
      </c>
      <c r="J553" s="117">
        <v>1.0</v>
      </c>
      <c r="K553" s="117" t="str">
        <f t="shared" si="1"/>
        <v>No</v>
      </c>
      <c r="L553" s="118" t="s">
        <v>116</v>
      </c>
      <c r="M553" s="119">
        <v>0.3333333333333333</v>
      </c>
      <c r="N553" s="120">
        <v>1.0</v>
      </c>
      <c r="O553" s="121">
        <v>91.32</v>
      </c>
      <c r="P553" s="117">
        <v>1.0</v>
      </c>
      <c r="Q553" s="117">
        <f t="shared" si="2"/>
        <v>7</v>
      </c>
      <c r="R553" s="122">
        <f>+(IF(((M553*24)-P553)&lt;0,0,((M553*24)-P553)*'Estimación de pérdidas'!$F$72))*N553</f>
        <v>403746.5244</v>
      </c>
      <c r="S553" s="123" t="s">
        <v>117</v>
      </c>
      <c r="T553" s="124" t="s">
        <v>119</v>
      </c>
      <c r="U553" s="124">
        <f t="shared" si="3"/>
        <v>3</v>
      </c>
      <c r="V553" s="124">
        <v>1.0</v>
      </c>
      <c r="W553" s="124"/>
      <c r="X553" s="125"/>
      <c r="Y553" s="126"/>
      <c r="Z553" s="125">
        <f t="shared" si="4"/>
        <v>3</v>
      </c>
      <c r="AA553" s="127" t="str">
        <f t="shared" si="5"/>
        <v>Moderado</v>
      </c>
      <c r="AB553" s="128">
        <f t="shared" si="6"/>
        <v>13</v>
      </c>
      <c r="AC553" s="129">
        <f t="shared" si="7"/>
        <v>0.1697056275</v>
      </c>
      <c r="AD553" s="131"/>
    </row>
    <row r="554" ht="14.25" hidden="1" customHeight="1">
      <c r="A554" s="116" t="s">
        <v>1894</v>
      </c>
      <c r="B554" s="117" t="s">
        <v>1894</v>
      </c>
      <c r="C554" s="117" t="s">
        <v>1895</v>
      </c>
      <c r="D554" s="117" t="s">
        <v>1896</v>
      </c>
      <c r="E554" s="117" t="s">
        <v>1897</v>
      </c>
      <c r="F554" s="117" t="s">
        <v>1898</v>
      </c>
      <c r="G554" s="117" t="s">
        <v>592</v>
      </c>
      <c r="H554" s="117" t="s">
        <v>593</v>
      </c>
      <c r="I554" s="117">
        <v>1.0</v>
      </c>
      <c r="J554" s="117">
        <v>1.0</v>
      </c>
      <c r="K554" s="117" t="str">
        <f t="shared" si="1"/>
        <v>No</v>
      </c>
      <c r="L554" s="118" t="s">
        <v>116</v>
      </c>
      <c r="M554" s="119">
        <v>0.16666666666666666</v>
      </c>
      <c r="N554" s="120">
        <v>0.0</v>
      </c>
      <c r="O554" s="121">
        <v>91.32</v>
      </c>
      <c r="P554" s="117">
        <v>1.0</v>
      </c>
      <c r="Q554" s="117">
        <f t="shared" si="2"/>
        <v>0</v>
      </c>
      <c r="R554" s="122">
        <f>+(IF(((M554*24)-P554)&lt;0,0,((M554*24)-P554)*'Estimación de pérdidas'!$F$72))*N554</f>
        <v>0</v>
      </c>
      <c r="S554" s="123" t="s">
        <v>117</v>
      </c>
      <c r="T554" s="124" t="s">
        <v>119</v>
      </c>
      <c r="U554" s="124">
        <f t="shared" si="3"/>
        <v>1</v>
      </c>
      <c r="V554" s="124">
        <v>1.0</v>
      </c>
      <c r="W554" s="124"/>
      <c r="X554" s="125"/>
      <c r="Y554" s="126"/>
      <c r="Z554" s="125">
        <f t="shared" si="4"/>
        <v>1</v>
      </c>
      <c r="AA554" s="127" t="str">
        <f t="shared" si="5"/>
        <v>Bajo</v>
      </c>
      <c r="AB554" s="128">
        <f t="shared" si="6"/>
        <v>4</v>
      </c>
      <c r="AC554" s="129">
        <f t="shared" si="7"/>
        <v>0.07589466384</v>
      </c>
    </row>
    <row r="555" ht="14.25" hidden="1" customHeight="1">
      <c r="A555" s="116" t="s">
        <v>1345</v>
      </c>
      <c r="B555" s="117" t="s">
        <v>1414</v>
      </c>
      <c r="C555" s="117" t="s">
        <v>1899</v>
      </c>
      <c r="D555" s="117" t="s">
        <v>1900</v>
      </c>
      <c r="E555" s="117" t="s">
        <v>1901</v>
      </c>
      <c r="F555" s="117" t="s">
        <v>1902</v>
      </c>
      <c r="G555" s="117" t="s">
        <v>1903</v>
      </c>
      <c r="H555" s="117" t="s">
        <v>1904</v>
      </c>
      <c r="I555" s="117">
        <v>1.0</v>
      </c>
      <c r="J555" s="117">
        <v>1.0</v>
      </c>
      <c r="K555" s="117" t="str">
        <f t="shared" si="1"/>
        <v>No</v>
      </c>
      <c r="L555" s="118" t="s">
        <v>116</v>
      </c>
      <c r="M555" s="119">
        <v>0.5</v>
      </c>
      <c r="N555" s="120">
        <v>1.0</v>
      </c>
      <c r="O555" s="121">
        <v>91.32</v>
      </c>
      <c r="P555" s="117">
        <v>1.0</v>
      </c>
      <c r="Q555" s="117">
        <f t="shared" si="2"/>
        <v>11</v>
      </c>
      <c r="R555" s="122">
        <f>+(IF(((M555*24)-P555)&lt;0,0,((M555*24)-P555)*'Estimación de pérdidas'!$F$72))*N555</f>
        <v>634458.8241</v>
      </c>
      <c r="S555" s="123" t="s">
        <v>117</v>
      </c>
      <c r="T555" s="124" t="s">
        <v>132</v>
      </c>
      <c r="U555" s="124">
        <f t="shared" si="3"/>
        <v>4</v>
      </c>
      <c r="V555" s="124">
        <v>1.0</v>
      </c>
      <c r="W555" s="124"/>
      <c r="X555" s="125"/>
      <c r="Y555" s="126"/>
      <c r="Z555" s="125">
        <f t="shared" si="4"/>
        <v>4</v>
      </c>
      <c r="AA555" s="127" t="str">
        <f t="shared" si="5"/>
        <v>Moderado</v>
      </c>
      <c r="AB555" s="128">
        <f t="shared" si="6"/>
        <v>10</v>
      </c>
      <c r="AC555" s="129">
        <f t="shared" si="7"/>
        <v>0.07375635566</v>
      </c>
      <c r="AD555" s="130"/>
    </row>
    <row r="556" ht="14.25" hidden="1" customHeight="1">
      <c r="A556" s="116" t="s">
        <v>1345</v>
      </c>
      <c r="B556" s="117" t="s">
        <v>1414</v>
      </c>
      <c r="C556" s="117" t="s">
        <v>1899</v>
      </c>
      <c r="D556" s="117" t="s">
        <v>1900</v>
      </c>
      <c r="E556" s="117" t="s">
        <v>1901</v>
      </c>
      <c r="F556" s="117" t="s">
        <v>1902</v>
      </c>
      <c r="G556" s="117" t="s">
        <v>1903</v>
      </c>
      <c r="H556" s="117" t="s">
        <v>1904</v>
      </c>
      <c r="I556" s="117">
        <v>1.0</v>
      </c>
      <c r="J556" s="117">
        <v>1.0</v>
      </c>
      <c r="K556" s="117" t="str">
        <f t="shared" si="1"/>
        <v>No</v>
      </c>
      <c r="L556" s="118" t="s">
        <v>116</v>
      </c>
      <c r="M556" s="119">
        <v>0.5</v>
      </c>
      <c r="N556" s="120">
        <v>1.0</v>
      </c>
      <c r="O556" s="121">
        <v>91.32</v>
      </c>
      <c r="P556" s="117">
        <v>1.0</v>
      </c>
      <c r="Q556" s="117">
        <f t="shared" si="2"/>
        <v>11</v>
      </c>
      <c r="R556" s="122">
        <f>+(IF(((M556*24)-P556)&lt;0,0,((M556*24)-P556)*'Estimación de pérdidas'!$F$72))*N556</f>
        <v>634458.8241</v>
      </c>
      <c r="S556" s="123" t="s">
        <v>117</v>
      </c>
      <c r="T556" s="124" t="s">
        <v>132</v>
      </c>
      <c r="U556" s="124">
        <f t="shared" si="3"/>
        <v>4</v>
      </c>
      <c r="V556" s="124">
        <v>1.0</v>
      </c>
      <c r="W556" s="124"/>
      <c r="X556" s="125"/>
      <c r="Y556" s="126"/>
      <c r="Z556" s="125">
        <f t="shared" si="4"/>
        <v>4</v>
      </c>
      <c r="AA556" s="127" t="str">
        <f t="shared" si="5"/>
        <v>Moderado</v>
      </c>
      <c r="AB556" s="128">
        <f t="shared" si="6"/>
        <v>10</v>
      </c>
      <c r="AC556" s="129">
        <f t="shared" si="7"/>
        <v>0.07375635566</v>
      </c>
      <c r="AD556" s="130"/>
    </row>
    <row r="557" ht="14.25" hidden="1" customHeight="1">
      <c r="A557" s="116" t="s">
        <v>1881</v>
      </c>
      <c r="B557" s="117" t="s">
        <v>1881</v>
      </c>
      <c r="C557" s="117" t="s">
        <v>1905</v>
      </c>
      <c r="D557" s="117" t="s">
        <v>1906</v>
      </c>
      <c r="E557" s="117" t="s">
        <v>1546</v>
      </c>
      <c r="F557" s="117" t="s">
        <v>1907</v>
      </c>
      <c r="G557" s="117" t="s">
        <v>197</v>
      </c>
      <c r="H557" s="117" t="s">
        <v>1548</v>
      </c>
      <c r="I557" s="117">
        <v>3.0</v>
      </c>
      <c r="J557" s="117">
        <v>2.0</v>
      </c>
      <c r="K557" s="117" t="str">
        <f t="shared" si="1"/>
        <v>Si</v>
      </c>
      <c r="L557" s="118" t="s">
        <v>287</v>
      </c>
      <c r="M557" s="119">
        <v>1.0</v>
      </c>
      <c r="N557" s="120">
        <v>0.0</v>
      </c>
      <c r="O557" s="121">
        <v>91.32</v>
      </c>
      <c r="P557" s="117">
        <v>1.0</v>
      </c>
      <c r="Q557" s="117">
        <f t="shared" si="2"/>
        <v>0</v>
      </c>
      <c r="R557" s="122">
        <f>+(IF(((M557*24)-P557)&lt;0,0,((M557*24)-P557)*'Estimación de pérdidas'!$F$72))*N557</f>
        <v>0</v>
      </c>
      <c r="S557" s="123" t="s">
        <v>117</v>
      </c>
      <c r="T557" s="124" t="s">
        <v>119</v>
      </c>
      <c r="U557" s="124">
        <f t="shared" si="3"/>
        <v>1</v>
      </c>
      <c r="V557" s="124">
        <v>2.0</v>
      </c>
      <c r="W557" s="124"/>
      <c r="X557" s="125"/>
      <c r="Y557" s="126"/>
      <c r="Z557" s="125">
        <f t="shared" si="4"/>
        <v>2</v>
      </c>
      <c r="AA557" s="127" t="str">
        <f t="shared" si="5"/>
        <v>Moderado</v>
      </c>
      <c r="AB557" s="128">
        <f t="shared" si="6"/>
        <v>8</v>
      </c>
      <c r="AC557" s="129">
        <f t="shared" si="7"/>
        <v>0.12</v>
      </c>
      <c r="AD557" s="131"/>
    </row>
    <row r="558" ht="14.25" hidden="1" customHeight="1">
      <c r="A558" s="116" t="s">
        <v>1881</v>
      </c>
      <c r="B558" s="117" t="s">
        <v>1881</v>
      </c>
      <c r="C558" s="117" t="s">
        <v>1905</v>
      </c>
      <c r="D558" s="117" t="s">
        <v>1908</v>
      </c>
      <c r="E558" s="117" t="s">
        <v>1909</v>
      </c>
      <c r="F558" s="117" t="s">
        <v>1907</v>
      </c>
      <c r="G558" s="117" t="s">
        <v>197</v>
      </c>
      <c r="H558" s="117" t="s">
        <v>1548</v>
      </c>
      <c r="I558" s="117">
        <v>3.0</v>
      </c>
      <c r="J558" s="117">
        <v>2.0</v>
      </c>
      <c r="K558" s="117" t="str">
        <f t="shared" si="1"/>
        <v>Si</v>
      </c>
      <c r="L558" s="118" t="s">
        <v>287</v>
      </c>
      <c r="M558" s="119">
        <v>1.0</v>
      </c>
      <c r="N558" s="120">
        <v>0.0</v>
      </c>
      <c r="O558" s="121">
        <v>91.32</v>
      </c>
      <c r="P558" s="117">
        <v>1.0</v>
      </c>
      <c r="Q558" s="117">
        <f t="shared" si="2"/>
        <v>0</v>
      </c>
      <c r="R558" s="122">
        <f>+(IF(((M558*24)-P558)&lt;0,0,((M558*24)-P558)*'Estimación de pérdidas'!$F$72))*N558</f>
        <v>0</v>
      </c>
      <c r="S558" s="123" t="s">
        <v>117</v>
      </c>
      <c r="T558" s="124" t="s">
        <v>119</v>
      </c>
      <c r="U558" s="124">
        <f t="shared" si="3"/>
        <v>1</v>
      </c>
      <c r="V558" s="124">
        <v>2.0</v>
      </c>
      <c r="W558" s="124"/>
      <c r="X558" s="125"/>
      <c r="Y558" s="126"/>
      <c r="Z558" s="125">
        <f t="shared" si="4"/>
        <v>2</v>
      </c>
      <c r="AA558" s="127" t="str">
        <f t="shared" si="5"/>
        <v>Moderado</v>
      </c>
      <c r="AB558" s="128">
        <f t="shared" si="6"/>
        <v>8</v>
      </c>
      <c r="AC558" s="129">
        <f t="shared" si="7"/>
        <v>0.12</v>
      </c>
      <c r="AD558" s="131"/>
    </row>
    <row r="559" ht="14.25" hidden="1" customHeight="1">
      <c r="A559" s="116" t="s">
        <v>1881</v>
      </c>
      <c r="B559" s="117" t="s">
        <v>1881</v>
      </c>
      <c r="C559" s="117" t="s">
        <v>1910</v>
      </c>
      <c r="D559" s="117" t="s">
        <v>1911</v>
      </c>
      <c r="E559" s="117" t="s">
        <v>1912</v>
      </c>
      <c r="F559" s="117" t="s">
        <v>1913</v>
      </c>
      <c r="G559" s="117" t="s">
        <v>1914</v>
      </c>
      <c r="H559" s="117" t="s">
        <v>1915</v>
      </c>
      <c r="I559" s="117">
        <v>1.0</v>
      </c>
      <c r="J559" s="117">
        <v>1.0</v>
      </c>
      <c r="K559" s="117" t="str">
        <f t="shared" si="1"/>
        <v>No</v>
      </c>
      <c r="L559" s="118" t="s">
        <v>116</v>
      </c>
      <c r="M559" s="119">
        <v>0.3333333333333333</v>
      </c>
      <c r="N559" s="120">
        <v>0.5</v>
      </c>
      <c r="O559" s="121">
        <v>91.32</v>
      </c>
      <c r="P559" s="117">
        <v>1.0</v>
      </c>
      <c r="Q559" s="117">
        <f t="shared" si="2"/>
        <v>3.5</v>
      </c>
      <c r="R559" s="122">
        <f>+(IF(((M559*24)-P559)&lt;0,0,((M559*24)-P559)*'Estimación de pérdidas'!$F$72))*N559</f>
        <v>201873.2622</v>
      </c>
      <c r="S559" s="123" t="s">
        <v>117</v>
      </c>
      <c r="T559" s="124" t="s">
        <v>119</v>
      </c>
      <c r="U559" s="124">
        <f t="shared" si="3"/>
        <v>3</v>
      </c>
      <c r="V559" s="124">
        <v>2.0</v>
      </c>
      <c r="W559" s="124"/>
      <c r="X559" s="125"/>
      <c r="Y559" s="126"/>
      <c r="Z559" s="125">
        <f t="shared" si="4"/>
        <v>3</v>
      </c>
      <c r="AA559" s="127" t="str">
        <f t="shared" si="5"/>
        <v>Moderado</v>
      </c>
      <c r="AB559" s="128">
        <f t="shared" si="6"/>
        <v>13</v>
      </c>
      <c r="AC559" s="129">
        <f t="shared" si="7"/>
        <v>0.193494186</v>
      </c>
      <c r="AD559" s="131"/>
    </row>
    <row r="560" ht="14.25" hidden="1" customHeight="1">
      <c r="A560" s="116" t="s">
        <v>403</v>
      </c>
      <c r="B560" s="117" t="s">
        <v>1916</v>
      </c>
      <c r="C560" s="117" t="s">
        <v>1917</v>
      </c>
      <c r="D560" s="117" t="s">
        <v>1918</v>
      </c>
      <c r="E560" s="117" t="s">
        <v>1919</v>
      </c>
      <c r="F560" s="117" t="s">
        <v>1920</v>
      </c>
      <c r="G560" s="117" t="s">
        <v>1921</v>
      </c>
      <c r="H560" s="117" t="s">
        <v>1922</v>
      </c>
      <c r="I560" s="117">
        <v>1.0</v>
      </c>
      <c r="J560" s="117">
        <v>1.0</v>
      </c>
      <c r="K560" s="117" t="str">
        <f t="shared" si="1"/>
        <v>No</v>
      </c>
      <c r="L560" s="118" t="s">
        <v>116</v>
      </c>
      <c r="M560" s="119">
        <v>0.3333333333333333</v>
      </c>
      <c r="N560" s="120">
        <v>0.0</v>
      </c>
      <c r="O560" s="121">
        <v>91.32</v>
      </c>
      <c r="P560" s="117">
        <v>1.0</v>
      </c>
      <c r="Q560" s="117">
        <f t="shared" si="2"/>
        <v>0</v>
      </c>
      <c r="R560" s="122">
        <f>+(IF(((M560*24)-P560)&lt;0,0,((M560*24)-P560)*'Estimación de pérdidas'!$F$72))*N560</f>
        <v>0</v>
      </c>
      <c r="S560" s="123" t="s">
        <v>272</v>
      </c>
      <c r="T560" s="124" t="s">
        <v>118</v>
      </c>
      <c r="U560" s="124">
        <f t="shared" si="3"/>
        <v>1</v>
      </c>
      <c r="V560" s="124">
        <v>1.0</v>
      </c>
      <c r="W560" s="124">
        <v>5.0</v>
      </c>
      <c r="X560" s="125"/>
      <c r="Y560" s="126"/>
      <c r="Z560" s="125">
        <f t="shared" si="4"/>
        <v>5</v>
      </c>
      <c r="AA560" s="127" t="str">
        <f t="shared" si="5"/>
        <v>Alto</v>
      </c>
      <c r="AB560" s="128">
        <f t="shared" si="6"/>
        <v>19</v>
      </c>
      <c r="AC560" s="129">
        <f t="shared" si="7"/>
        <v>0.1859032006</v>
      </c>
      <c r="AD560" s="130"/>
    </row>
    <row r="561" ht="14.25" hidden="1" customHeight="1">
      <c r="A561" s="116" t="s">
        <v>403</v>
      </c>
      <c r="B561" s="117" t="s">
        <v>1916</v>
      </c>
      <c r="C561" s="117" t="s">
        <v>1923</v>
      </c>
      <c r="D561" s="117" t="s">
        <v>1924</v>
      </c>
      <c r="E561" s="117" t="s">
        <v>1925</v>
      </c>
      <c r="F561" s="117" t="s">
        <v>1926</v>
      </c>
      <c r="G561" s="117" t="s">
        <v>1921</v>
      </c>
      <c r="H561" s="117" t="s">
        <v>1922</v>
      </c>
      <c r="I561" s="117">
        <v>1.0</v>
      </c>
      <c r="J561" s="117">
        <v>1.0</v>
      </c>
      <c r="K561" s="117" t="str">
        <f t="shared" si="1"/>
        <v>No</v>
      </c>
      <c r="L561" s="118" t="s">
        <v>116</v>
      </c>
      <c r="M561" s="119">
        <v>0.3333333333333333</v>
      </c>
      <c r="N561" s="120">
        <v>0.0</v>
      </c>
      <c r="O561" s="121">
        <v>91.32</v>
      </c>
      <c r="P561" s="117">
        <v>1.0</v>
      </c>
      <c r="Q561" s="117">
        <f t="shared" si="2"/>
        <v>0</v>
      </c>
      <c r="R561" s="122">
        <f>+(IF(((M561*24)-P561)&lt;0,0,((M561*24)-P561)*'Estimación de pérdidas'!$F$72))*N561</f>
        <v>0</v>
      </c>
      <c r="S561" s="123" t="s">
        <v>272</v>
      </c>
      <c r="T561" s="124" t="s">
        <v>118</v>
      </c>
      <c r="U561" s="124">
        <f t="shared" si="3"/>
        <v>1</v>
      </c>
      <c r="V561" s="124">
        <v>1.0</v>
      </c>
      <c r="W561" s="124">
        <v>5.0</v>
      </c>
      <c r="X561" s="125"/>
      <c r="Y561" s="126"/>
      <c r="Z561" s="125">
        <f t="shared" si="4"/>
        <v>5</v>
      </c>
      <c r="AA561" s="127" t="str">
        <f t="shared" si="5"/>
        <v>Alto</v>
      </c>
      <c r="AB561" s="128">
        <f t="shared" si="6"/>
        <v>19</v>
      </c>
      <c r="AC561" s="129">
        <f t="shared" si="7"/>
        <v>0.1859032006</v>
      </c>
      <c r="AD561" s="130"/>
    </row>
    <row r="562" ht="14.25" hidden="1" customHeight="1">
      <c r="A562" s="116" t="s">
        <v>1927</v>
      </c>
      <c r="B562" s="117" t="s">
        <v>1927</v>
      </c>
      <c r="C562" s="117" t="s">
        <v>1928</v>
      </c>
      <c r="D562" s="117" t="s">
        <v>1929</v>
      </c>
      <c r="E562" s="117" t="s">
        <v>1928</v>
      </c>
      <c r="F562" s="117" t="s">
        <v>1930</v>
      </c>
      <c r="G562" s="117" t="s">
        <v>188</v>
      </c>
      <c r="H562" s="117" t="s">
        <v>606</v>
      </c>
      <c r="I562" s="117">
        <v>1.0</v>
      </c>
      <c r="J562" s="117">
        <v>1.0</v>
      </c>
      <c r="K562" s="117" t="str">
        <f t="shared" si="1"/>
        <v>No</v>
      </c>
      <c r="L562" s="118" t="s">
        <v>116</v>
      </c>
      <c r="M562" s="119">
        <v>0.5</v>
      </c>
      <c r="N562" s="120">
        <v>0.0</v>
      </c>
      <c r="O562" s="121">
        <v>91.32</v>
      </c>
      <c r="P562" s="117">
        <v>1.0</v>
      </c>
      <c r="Q562" s="117">
        <f t="shared" si="2"/>
        <v>0</v>
      </c>
      <c r="R562" s="122">
        <f>+(IF(((M562*24)-P562)&lt;0,0,((M562*24)-P562)*'Estimación de pérdidas'!$F$72))*N562</f>
        <v>0</v>
      </c>
      <c r="S562" s="123" t="s">
        <v>117</v>
      </c>
      <c r="T562" s="124" t="s">
        <v>118</v>
      </c>
      <c r="U562" s="124">
        <f t="shared" si="3"/>
        <v>1</v>
      </c>
      <c r="V562" s="124">
        <v>2.0</v>
      </c>
      <c r="W562" s="124">
        <v>4.0</v>
      </c>
      <c r="X562" s="125"/>
      <c r="Y562" s="126"/>
      <c r="Z562" s="125">
        <f t="shared" si="4"/>
        <v>4</v>
      </c>
      <c r="AA562" s="127" t="str">
        <f t="shared" si="5"/>
        <v>Moderado</v>
      </c>
      <c r="AB562" s="128">
        <f t="shared" si="6"/>
        <v>14</v>
      </c>
      <c r="AC562" s="129">
        <f t="shared" si="7"/>
        <v>0.1639512123</v>
      </c>
      <c r="AD562" s="130"/>
    </row>
    <row r="563" ht="14.25" hidden="1" customHeight="1">
      <c r="A563" s="116" t="s">
        <v>1894</v>
      </c>
      <c r="B563" s="117" t="s">
        <v>1894</v>
      </c>
      <c r="C563" s="117" t="s">
        <v>1931</v>
      </c>
      <c r="D563" s="117" t="s">
        <v>1932</v>
      </c>
      <c r="E563" s="117" t="s">
        <v>1933</v>
      </c>
      <c r="F563" s="117" t="s">
        <v>1934</v>
      </c>
      <c r="G563" s="117" t="s">
        <v>188</v>
      </c>
      <c r="H563" s="117" t="s">
        <v>606</v>
      </c>
      <c r="I563" s="117">
        <v>1.0</v>
      </c>
      <c r="J563" s="117">
        <v>1.0</v>
      </c>
      <c r="K563" s="117" t="str">
        <f t="shared" si="1"/>
        <v>No</v>
      </c>
      <c r="L563" s="118" t="s">
        <v>116</v>
      </c>
      <c r="M563" s="119">
        <v>0.5</v>
      </c>
      <c r="N563" s="120">
        <v>0.0</v>
      </c>
      <c r="O563" s="121"/>
      <c r="P563" s="117">
        <v>0.0</v>
      </c>
      <c r="Q563" s="117">
        <f t="shared" si="2"/>
        <v>0</v>
      </c>
      <c r="R563" s="122">
        <f>+(IF(((M563*24)-P563)&lt;0,0,((M563*24)-P563)*'Estimación de pérdidas'!$F$72))*N563</f>
        <v>0</v>
      </c>
      <c r="S563" s="123" t="s">
        <v>117</v>
      </c>
      <c r="T563" s="124" t="s">
        <v>118</v>
      </c>
      <c r="U563" s="124">
        <f t="shared" si="3"/>
        <v>1</v>
      </c>
      <c r="V563" s="124">
        <v>2.0</v>
      </c>
      <c r="W563" s="124">
        <v>4.0</v>
      </c>
      <c r="X563" s="125"/>
      <c r="Y563" s="126"/>
      <c r="Z563" s="125">
        <f t="shared" si="4"/>
        <v>4</v>
      </c>
      <c r="AA563" s="127" t="str">
        <f t="shared" si="5"/>
        <v>Moderado</v>
      </c>
      <c r="AB563" s="128">
        <f t="shared" si="6"/>
        <v>14</v>
      </c>
      <c r="AC563" s="129">
        <f t="shared" si="7"/>
        <v>0.1639512123</v>
      </c>
      <c r="AD563" s="130"/>
    </row>
    <row r="564" ht="14.25" hidden="1" customHeight="1">
      <c r="A564" s="116" t="s">
        <v>1894</v>
      </c>
      <c r="B564" s="117" t="s">
        <v>1894</v>
      </c>
      <c r="C564" s="117" t="s">
        <v>1935</v>
      </c>
      <c r="D564" s="117" t="s">
        <v>1936</v>
      </c>
      <c r="E564" s="117" t="s">
        <v>1935</v>
      </c>
      <c r="F564" s="117" t="s">
        <v>1937</v>
      </c>
      <c r="G564" s="117" t="s">
        <v>205</v>
      </c>
      <c r="H564" s="117" t="s">
        <v>491</v>
      </c>
      <c r="I564" s="117">
        <v>1.0</v>
      </c>
      <c r="J564" s="117">
        <v>1.0</v>
      </c>
      <c r="K564" s="117" t="str">
        <f t="shared" si="1"/>
        <v>No</v>
      </c>
      <c r="L564" s="118" t="s">
        <v>116</v>
      </c>
      <c r="M564" s="119">
        <v>2.0</v>
      </c>
      <c r="N564" s="120">
        <v>0.0</v>
      </c>
      <c r="O564" s="121">
        <v>91.33375000000001</v>
      </c>
      <c r="P564" s="117">
        <v>1.0</v>
      </c>
      <c r="Q564" s="117">
        <f t="shared" si="2"/>
        <v>0</v>
      </c>
      <c r="R564" s="122">
        <f>+(IF(((M564*24)-P564)&lt;0,0,((M564*24)-P564)*'Estimación de pérdidas'!$F$72))*N564</f>
        <v>0</v>
      </c>
      <c r="S564" s="123" t="s">
        <v>117</v>
      </c>
      <c r="T564" s="124" t="s">
        <v>119</v>
      </c>
      <c r="U564" s="124">
        <f t="shared" si="3"/>
        <v>1</v>
      </c>
      <c r="V564" s="124">
        <v>2.0</v>
      </c>
      <c r="W564" s="124"/>
      <c r="X564" s="125"/>
      <c r="Y564" s="126"/>
      <c r="Z564" s="125">
        <f t="shared" si="4"/>
        <v>2</v>
      </c>
      <c r="AA564" s="127" t="str">
        <f t="shared" si="5"/>
        <v>Moderado</v>
      </c>
      <c r="AB564" s="128">
        <f t="shared" si="6"/>
        <v>8</v>
      </c>
      <c r="AC564" s="129">
        <f t="shared" si="7"/>
        <v>0.12</v>
      </c>
      <c r="AD564" s="131"/>
    </row>
    <row r="565" ht="14.25" hidden="1" customHeight="1">
      <c r="A565" s="116" t="s">
        <v>1894</v>
      </c>
      <c r="B565" s="117" t="s">
        <v>1894</v>
      </c>
      <c r="C565" s="117" t="s">
        <v>1938</v>
      </c>
      <c r="D565" s="117" t="s">
        <v>1939</v>
      </c>
      <c r="E565" s="117" t="s">
        <v>1938</v>
      </c>
      <c r="F565" s="117" t="s">
        <v>1940</v>
      </c>
      <c r="G565" s="117" t="s">
        <v>205</v>
      </c>
      <c r="H565" s="117" t="s">
        <v>491</v>
      </c>
      <c r="I565" s="117">
        <v>3.0</v>
      </c>
      <c r="J565" s="117">
        <v>2.0</v>
      </c>
      <c r="K565" s="117" t="str">
        <f t="shared" si="1"/>
        <v>Si</v>
      </c>
      <c r="L565" s="118" t="s">
        <v>287</v>
      </c>
      <c r="M565" s="119">
        <v>0.25</v>
      </c>
      <c r="N565" s="120">
        <v>0.0</v>
      </c>
      <c r="O565" s="121">
        <v>91.32</v>
      </c>
      <c r="P565" s="117">
        <v>1.0</v>
      </c>
      <c r="Q565" s="117">
        <f t="shared" si="2"/>
        <v>0</v>
      </c>
      <c r="R565" s="122">
        <f>+(IF(((M565*24)-P565)&lt;0,0,((M565*24)-P565)*'Estimación de pérdidas'!$F$72))*N565</f>
        <v>0</v>
      </c>
      <c r="S565" s="123" t="s">
        <v>117</v>
      </c>
      <c r="T565" s="124" t="s">
        <v>106</v>
      </c>
      <c r="U565" s="124">
        <f t="shared" si="3"/>
        <v>1</v>
      </c>
      <c r="V565" s="124">
        <v>2.0</v>
      </c>
      <c r="W565" s="124"/>
      <c r="X565" s="125"/>
      <c r="Y565" s="126"/>
      <c r="Z565" s="125">
        <f t="shared" si="4"/>
        <v>2</v>
      </c>
      <c r="AA565" s="127" t="str">
        <f t="shared" si="5"/>
        <v>Moderado</v>
      </c>
      <c r="AB565" s="128">
        <f t="shared" si="6"/>
        <v>12</v>
      </c>
      <c r="AC565" s="129">
        <f t="shared" si="7"/>
        <v>0.16</v>
      </c>
      <c r="AD565" s="131"/>
    </row>
    <row r="566" ht="14.25" hidden="1" customHeight="1">
      <c r="A566" s="116" t="s">
        <v>1894</v>
      </c>
      <c r="B566" s="117" t="s">
        <v>1894</v>
      </c>
      <c r="C566" s="117" t="s">
        <v>1938</v>
      </c>
      <c r="D566" s="117" t="s">
        <v>1941</v>
      </c>
      <c r="E566" s="117" t="s">
        <v>1938</v>
      </c>
      <c r="F566" s="117" t="s">
        <v>1940</v>
      </c>
      <c r="G566" s="117" t="s">
        <v>205</v>
      </c>
      <c r="H566" s="117" t="s">
        <v>491</v>
      </c>
      <c r="I566" s="117">
        <v>3.0</v>
      </c>
      <c r="J566" s="117">
        <v>2.0</v>
      </c>
      <c r="K566" s="117" t="str">
        <f t="shared" si="1"/>
        <v>Si</v>
      </c>
      <c r="L566" s="118" t="s">
        <v>287</v>
      </c>
      <c r="M566" s="119">
        <v>0.25</v>
      </c>
      <c r="N566" s="120">
        <v>0.0</v>
      </c>
      <c r="O566" s="121">
        <v>91.32</v>
      </c>
      <c r="P566" s="117">
        <v>1.0</v>
      </c>
      <c r="Q566" s="117">
        <f t="shared" si="2"/>
        <v>0</v>
      </c>
      <c r="R566" s="122">
        <f>+(IF(((M566*24)-P566)&lt;0,0,((M566*24)-P566)*'Estimación de pérdidas'!$F$72))*N566</f>
        <v>0</v>
      </c>
      <c r="S566" s="123" t="s">
        <v>117</v>
      </c>
      <c r="T566" s="124" t="s">
        <v>106</v>
      </c>
      <c r="U566" s="124">
        <f t="shared" si="3"/>
        <v>1</v>
      </c>
      <c r="V566" s="124">
        <v>2.0</v>
      </c>
      <c r="W566" s="124"/>
      <c r="X566" s="125"/>
      <c r="Y566" s="126"/>
      <c r="Z566" s="125">
        <f t="shared" si="4"/>
        <v>2</v>
      </c>
      <c r="AA566" s="127" t="str">
        <f t="shared" si="5"/>
        <v>Moderado</v>
      </c>
      <c r="AB566" s="128">
        <f t="shared" si="6"/>
        <v>12</v>
      </c>
      <c r="AC566" s="129">
        <f t="shared" si="7"/>
        <v>0.16</v>
      </c>
      <c r="AD566" s="131"/>
    </row>
    <row r="567" ht="14.25" hidden="1" customHeight="1">
      <c r="A567" s="116" t="s">
        <v>1894</v>
      </c>
      <c r="B567" s="117" t="s">
        <v>1894</v>
      </c>
      <c r="C567" s="117" t="s">
        <v>1942</v>
      </c>
      <c r="D567" s="117" t="s">
        <v>1943</v>
      </c>
      <c r="E567" s="117" t="s">
        <v>1942</v>
      </c>
      <c r="F567" s="117" t="s">
        <v>1944</v>
      </c>
      <c r="G567" s="117" t="s">
        <v>205</v>
      </c>
      <c r="H567" s="117" t="s">
        <v>729</v>
      </c>
      <c r="I567" s="117">
        <v>1.0</v>
      </c>
      <c r="J567" s="117">
        <v>1.0</v>
      </c>
      <c r="K567" s="117" t="str">
        <f t="shared" si="1"/>
        <v>No</v>
      </c>
      <c r="L567" s="118" t="s">
        <v>116</v>
      </c>
      <c r="M567" s="119">
        <v>0.25</v>
      </c>
      <c r="N567" s="120">
        <v>0.0</v>
      </c>
      <c r="O567" s="121"/>
      <c r="P567" s="117">
        <v>0.0</v>
      </c>
      <c r="Q567" s="117">
        <f t="shared" si="2"/>
        <v>0</v>
      </c>
      <c r="R567" s="122">
        <f>+(IF(((M567*24)-P567)&lt;0,0,((M567*24)-P567)*'Estimación de pérdidas'!$F$72))*N567</f>
        <v>0</v>
      </c>
      <c r="S567" s="123" t="s">
        <v>117</v>
      </c>
      <c r="T567" s="124" t="s">
        <v>106</v>
      </c>
      <c r="U567" s="124">
        <f t="shared" si="3"/>
        <v>1</v>
      </c>
      <c r="V567" s="124">
        <v>1.0</v>
      </c>
      <c r="W567" s="124"/>
      <c r="X567" s="125"/>
      <c r="Y567" s="126"/>
      <c r="Z567" s="125">
        <f t="shared" si="4"/>
        <v>1</v>
      </c>
      <c r="AA567" s="127" t="str">
        <f t="shared" si="5"/>
        <v>Bajo</v>
      </c>
      <c r="AB567" s="128">
        <f t="shared" si="6"/>
        <v>7</v>
      </c>
      <c r="AC567" s="129">
        <f t="shared" si="7"/>
        <v>0.1011928851</v>
      </c>
    </row>
    <row r="568" ht="14.25" hidden="1" customHeight="1">
      <c r="A568" s="116" t="s">
        <v>1894</v>
      </c>
      <c r="B568" s="117" t="s">
        <v>1894</v>
      </c>
      <c r="C568" s="117" t="s">
        <v>1935</v>
      </c>
      <c r="D568" s="117" t="s">
        <v>1945</v>
      </c>
      <c r="E568" s="117" t="s">
        <v>1935</v>
      </c>
      <c r="F568" s="117" t="s">
        <v>1946</v>
      </c>
      <c r="G568" s="117" t="s">
        <v>205</v>
      </c>
      <c r="H568" s="117" t="s">
        <v>491</v>
      </c>
      <c r="I568" s="117">
        <v>1.0</v>
      </c>
      <c r="J568" s="117">
        <v>1.0</v>
      </c>
      <c r="K568" s="117" t="str">
        <f t="shared" si="1"/>
        <v>No</v>
      </c>
      <c r="L568" s="118" t="s">
        <v>116</v>
      </c>
      <c r="M568" s="119">
        <v>2.0</v>
      </c>
      <c r="N568" s="120">
        <v>0.0</v>
      </c>
      <c r="O568" s="121">
        <v>91.33375000000001</v>
      </c>
      <c r="P568" s="117">
        <v>1.0</v>
      </c>
      <c r="Q568" s="117">
        <f t="shared" si="2"/>
        <v>0</v>
      </c>
      <c r="R568" s="122">
        <f>+(IF(((M568*24)-P568)&lt;0,0,((M568*24)-P568)*'Estimación de pérdidas'!$F$72))*N568</f>
        <v>0</v>
      </c>
      <c r="S568" s="123" t="s">
        <v>117</v>
      </c>
      <c r="T568" s="124" t="s">
        <v>119</v>
      </c>
      <c r="U568" s="124">
        <f t="shared" si="3"/>
        <v>1</v>
      </c>
      <c r="V568" s="124">
        <v>1.0</v>
      </c>
      <c r="W568" s="124"/>
      <c r="X568" s="125"/>
      <c r="Y568" s="126"/>
      <c r="Z568" s="125">
        <f t="shared" si="4"/>
        <v>1</v>
      </c>
      <c r="AA568" s="127" t="str">
        <f t="shared" si="5"/>
        <v>Bajo</v>
      </c>
      <c r="AB568" s="128">
        <f t="shared" si="6"/>
        <v>4</v>
      </c>
      <c r="AC568" s="129">
        <f t="shared" si="7"/>
        <v>0.07589466384</v>
      </c>
    </row>
    <row r="569" ht="14.25" hidden="1" customHeight="1">
      <c r="A569" s="116" t="s">
        <v>1894</v>
      </c>
      <c r="B569" s="117" t="s">
        <v>1894</v>
      </c>
      <c r="C569" s="117" t="s">
        <v>1938</v>
      </c>
      <c r="D569" s="117" t="s">
        <v>1947</v>
      </c>
      <c r="E569" s="117" t="s">
        <v>1938</v>
      </c>
      <c r="F569" s="117" t="s">
        <v>1940</v>
      </c>
      <c r="G569" s="117" t="s">
        <v>205</v>
      </c>
      <c r="H569" s="117" t="s">
        <v>491</v>
      </c>
      <c r="I569" s="117">
        <v>3.0</v>
      </c>
      <c r="J569" s="117">
        <v>2.0</v>
      </c>
      <c r="K569" s="117" t="str">
        <f t="shared" si="1"/>
        <v>Si</v>
      </c>
      <c r="L569" s="118" t="s">
        <v>287</v>
      </c>
      <c r="M569" s="119">
        <v>0.25</v>
      </c>
      <c r="N569" s="120">
        <v>0.0</v>
      </c>
      <c r="O569" s="121">
        <v>91.32</v>
      </c>
      <c r="P569" s="117">
        <v>1.0</v>
      </c>
      <c r="Q569" s="117">
        <f t="shared" si="2"/>
        <v>0</v>
      </c>
      <c r="R569" s="122">
        <f>+(IF(((M569*24)-P569)&lt;0,0,((M569*24)-P569)*'Estimación de pérdidas'!$F$72))*N569</f>
        <v>0</v>
      </c>
      <c r="S569" s="123" t="s">
        <v>117</v>
      </c>
      <c r="T569" s="124" t="s">
        <v>106</v>
      </c>
      <c r="U569" s="124">
        <f t="shared" si="3"/>
        <v>1</v>
      </c>
      <c r="V569" s="124">
        <v>2.0</v>
      </c>
      <c r="W569" s="124"/>
      <c r="X569" s="125"/>
      <c r="Y569" s="126"/>
      <c r="Z569" s="125">
        <f t="shared" si="4"/>
        <v>2</v>
      </c>
      <c r="AA569" s="127" t="str">
        <f t="shared" si="5"/>
        <v>Moderado</v>
      </c>
      <c r="AB569" s="128">
        <f t="shared" si="6"/>
        <v>12</v>
      </c>
      <c r="AC569" s="129">
        <f t="shared" si="7"/>
        <v>0.16</v>
      </c>
      <c r="AD569" s="131"/>
    </row>
    <row r="570" ht="14.25" hidden="1" customHeight="1">
      <c r="A570" s="116" t="s">
        <v>1894</v>
      </c>
      <c r="B570" s="117" t="s">
        <v>1894</v>
      </c>
      <c r="C570" s="117" t="s">
        <v>1850</v>
      </c>
      <c r="D570" s="117" t="s">
        <v>1948</v>
      </c>
      <c r="E570" s="117" t="s">
        <v>1850</v>
      </c>
      <c r="F570" s="117" t="s">
        <v>1949</v>
      </c>
      <c r="G570" s="117" t="s">
        <v>211</v>
      </c>
      <c r="H570" s="117" t="s">
        <v>831</v>
      </c>
      <c r="I570" s="117">
        <v>1.0</v>
      </c>
      <c r="J570" s="117">
        <v>1.0</v>
      </c>
      <c r="K570" s="117" t="str">
        <f t="shared" si="1"/>
        <v>No</v>
      </c>
      <c r="L570" s="118" t="s">
        <v>116</v>
      </c>
      <c r="M570" s="119">
        <v>1.0</v>
      </c>
      <c r="N570" s="120">
        <v>1.0</v>
      </c>
      <c r="O570" s="121">
        <v>91.32</v>
      </c>
      <c r="P570" s="117">
        <v>16.0</v>
      </c>
      <c r="Q570" s="117">
        <f t="shared" si="2"/>
        <v>8</v>
      </c>
      <c r="R570" s="122">
        <f>+(IF(((M570*24)-P570)&lt;0,0,((M570*24)-P570)*'Estimación de pérdidas'!$F$72))*N570</f>
        <v>461424.5993</v>
      </c>
      <c r="S570" s="123" t="s">
        <v>117</v>
      </c>
      <c r="T570" s="124" t="s">
        <v>132</v>
      </c>
      <c r="U570" s="124">
        <f t="shared" si="3"/>
        <v>3</v>
      </c>
      <c r="V570" s="124">
        <v>1.0</v>
      </c>
      <c r="W570" s="124"/>
      <c r="X570" s="125"/>
      <c r="Y570" s="126"/>
      <c r="Z570" s="125">
        <f t="shared" si="4"/>
        <v>3</v>
      </c>
      <c r="AA570" s="127" t="str">
        <f t="shared" si="5"/>
        <v>Bajo</v>
      </c>
      <c r="AB570" s="128">
        <f t="shared" si="6"/>
        <v>6</v>
      </c>
      <c r="AC570" s="129">
        <f t="shared" si="7"/>
        <v>0.05656854249</v>
      </c>
    </row>
    <row r="571" ht="14.25" hidden="1" customHeight="1">
      <c r="A571" s="116" t="s">
        <v>1950</v>
      </c>
      <c r="B571" s="117" t="s">
        <v>1950</v>
      </c>
      <c r="C571" s="117" t="s">
        <v>1951</v>
      </c>
      <c r="D571" s="117" t="s">
        <v>1952</v>
      </c>
      <c r="E571" s="117" t="s">
        <v>1953</v>
      </c>
      <c r="F571" s="117" t="s">
        <v>1951</v>
      </c>
      <c r="G571" s="117" t="s">
        <v>1954</v>
      </c>
      <c r="H571" s="117" t="s">
        <v>1955</v>
      </c>
      <c r="I571" s="117">
        <v>1.0</v>
      </c>
      <c r="J571" s="117">
        <v>1.0</v>
      </c>
      <c r="K571" s="117" t="str">
        <f t="shared" si="1"/>
        <v>No</v>
      </c>
      <c r="L571" s="118" t="s">
        <v>116</v>
      </c>
      <c r="M571" s="119">
        <v>90.0</v>
      </c>
      <c r="N571" s="120">
        <v>0.0</v>
      </c>
      <c r="O571" s="121"/>
      <c r="P571" s="117">
        <v>0.0</v>
      </c>
      <c r="Q571" s="117">
        <f t="shared" si="2"/>
        <v>0</v>
      </c>
      <c r="R571" s="122">
        <f>+(IF(((M571*24)-P571)&lt;0,0,((M571*24)-P571)*'Estimación de pérdidas'!$F$72))*N571</f>
        <v>0</v>
      </c>
      <c r="S571" s="123" t="s">
        <v>117</v>
      </c>
      <c r="T571" s="124" t="s">
        <v>118</v>
      </c>
      <c r="U571" s="124">
        <f t="shared" si="3"/>
        <v>1</v>
      </c>
      <c r="V571" s="124">
        <v>2.0</v>
      </c>
      <c r="W571" s="124"/>
      <c r="X571" s="125"/>
      <c r="Y571" s="126"/>
      <c r="Z571" s="125">
        <f t="shared" si="4"/>
        <v>2</v>
      </c>
      <c r="AA571" s="127" t="str">
        <f t="shared" si="5"/>
        <v>Bajo</v>
      </c>
      <c r="AB571" s="128">
        <f t="shared" si="6"/>
        <v>5</v>
      </c>
      <c r="AC571" s="129">
        <f t="shared" si="7"/>
        <v>0.08</v>
      </c>
    </row>
    <row r="572" ht="14.25" hidden="1" customHeight="1">
      <c r="A572" s="116" t="s">
        <v>1950</v>
      </c>
      <c r="B572" s="117" t="s">
        <v>1950</v>
      </c>
      <c r="C572" s="117" t="s">
        <v>1956</v>
      </c>
      <c r="D572" s="117" t="s">
        <v>1957</v>
      </c>
      <c r="E572" s="117" t="s">
        <v>1958</v>
      </c>
      <c r="F572" s="117" t="s">
        <v>1956</v>
      </c>
      <c r="G572" s="117" t="s">
        <v>1954</v>
      </c>
      <c r="H572" s="117" t="s">
        <v>1955</v>
      </c>
      <c r="I572" s="117">
        <v>1.0</v>
      </c>
      <c r="J572" s="117">
        <v>1.0</v>
      </c>
      <c r="K572" s="117" t="str">
        <f t="shared" si="1"/>
        <v>No</v>
      </c>
      <c r="L572" s="118" t="s">
        <v>116</v>
      </c>
      <c r="M572" s="119">
        <v>90.0</v>
      </c>
      <c r="N572" s="120">
        <v>0.0</v>
      </c>
      <c r="O572" s="121"/>
      <c r="P572" s="117">
        <v>0.0</v>
      </c>
      <c r="Q572" s="117">
        <f t="shared" si="2"/>
        <v>0</v>
      </c>
      <c r="R572" s="122">
        <f>+(IF(((M572*24)-P572)&lt;0,0,((M572*24)-P572)*'Estimación de pérdidas'!$F$72))*N572</f>
        <v>0</v>
      </c>
      <c r="S572" s="123" t="s">
        <v>117</v>
      </c>
      <c r="T572" s="124" t="s">
        <v>118</v>
      </c>
      <c r="U572" s="124">
        <f t="shared" si="3"/>
        <v>1</v>
      </c>
      <c r="V572" s="124">
        <v>2.0</v>
      </c>
      <c r="W572" s="124"/>
      <c r="X572" s="125"/>
      <c r="Y572" s="126"/>
      <c r="Z572" s="125">
        <f t="shared" si="4"/>
        <v>2</v>
      </c>
      <c r="AA572" s="127" t="str">
        <f t="shared" si="5"/>
        <v>Bajo</v>
      </c>
      <c r="AB572" s="128">
        <f t="shared" si="6"/>
        <v>5</v>
      </c>
      <c r="AC572" s="129">
        <f t="shared" si="7"/>
        <v>0.08</v>
      </c>
    </row>
    <row r="573" ht="14.25" hidden="1" customHeight="1">
      <c r="A573" s="116" t="s">
        <v>1950</v>
      </c>
      <c r="B573" s="117" t="s">
        <v>1950</v>
      </c>
      <c r="C573" s="117" t="s">
        <v>1959</v>
      </c>
      <c r="D573" s="117" t="s">
        <v>1960</v>
      </c>
      <c r="E573" s="117" t="s">
        <v>1961</v>
      </c>
      <c r="F573" s="117" t="s">
        <v>1959</v>
      </c>
      <c r="G573" s="117" t="s">
        <v>1954</v>
      </c>
      <c r="H573" s="117" t="s">
        <v>1955</v>
      </c>
      <c r="I573" s="117">
        <v>1.0</v>
      </c>
      <c r="J573" s="117">
        <v>1.0</v>
      </c>
      <c r="K573" s="117" t="str">
        <f t="shared" si="1"/>
        <v>No</v>
      </c>
      <c r="L573" s="118" t="s">
        <v>116</v>
      </c>
      <c r="M573" s="119">
        <v>90.0</v>
      </c>
      <c r="N573" s="120">
        <v>0.0</v>
      </c>
      <c r="O573" s="121"/>
      <c r="P573" s="117">
        <v>0.0</v>
      </c>
      <c r="Q573" s="117">
        <f t="shared" si="2"/>
        <v>0</v>
      </c>
      <c r="R573" s="122">
        <f>+(IF(((M573*24)-P573)&lt;0,0,((M573*24)-P573)*'Estimación de pérdidas'!$F$72))*N573</f>
        <v>0</v>
      </c>
      <c r="S573" s="123" t="s">
        <v>117</v>
      </c>
      <c r="T573" s="124" t="s">
        <v>118</v>
      </c>
      <c r="U573" s="124">
        <f t="shared" si="3"/>
        <v>1</v>
      </c>
      <c r="V573" s="124">
        <v>2.0</v>
      </c>
      <c r="W573" s="124"/>
      <c r="X573" s="125"/>
      <c r="Y573" s="126"/>
      <c r="Z573" s="125">
        <f t="shared" si="4"/>
        <v>2</v>
      </c>
      <c r="AA573" s="127" t="str">
        <f t="shared" si="5"/>
        <v>Bajo</v>
      </c>
      <c r="AB573" s="128">
        <f t="shared" si="6"/>
        <v>5</v>
      </c>
      <c r="AC573" s="129">
        <f t="shared" si="7"/>
        <v>0.08</v>
      </c>
    </row>
    <row r="574" ht="14.25" hidden="1" customHeight="1">
      <c r="A574" s="116" t="s">
        <v>1950</v>
      </c>
      <c r="B574" s="117" t="s">
        <v>1950</v>
      </c>
      <c r="C574" s="117" t="s">
        <v>1956</v>
      </c>
      <c r="D574" s="117" t="s">
        <v>1962</v>
      </c>
      <c r="E574" s="117" t="s">
        <v>1958</v>
      </c>
      <c r="F574" s="117" t="s">
        <v>1956</v>
      </c>
      <c r="G574" s="117" t="s">
        <v>1954</v>
      </c>
      <c r="H574" s="117" t="s">
        <v>1955</v>
      </c>
      <c r="I574" s="117">
        <v>1.0</v>
      </c>
      <c r="J574" s="117">
        <v>1.0</v>
      </c>
      <c r="K574" s="117" t="str">
        <f t="shared" si="1"/>
        <v>No</v>
      </c>
      <c r="L574" s="118" t="s">
        <v>116</v>
      </c>
      <c r="M574" s="119">
        <v>90.0</v>
      </c>
      <c r="N574" s="120">
        <v>0.0</v>
      </c>
      <c r="O574" s="121"/>
      <c r="P574" s="117">
        <v>0.0</v>
      </c>
      <c r="Q574" s="117">
        <f t="shared" si="2"/>
        <v>0</v>
      </c>
      <c r="R574" s="122">
        <f>+(IF(((M574*24)-P574)&lt;0,0,((M574*24)-P574)*'Estimación de pérdidas'!$F$72))*N574</f>
        <v>0</v>
      </c>
      <c r="S574" s="123" t="s">
        <v>117</v>
      </c>
      <c r="T574" s="124" t="s">
        <v>118</v>
      </c>
      <c r="U574" s="124">
        <f t="shared" si="3"/>
        <v>1</v>
      </c>
      <c r="V574" s="124">
        <v>2.0</v>
      </c>
      <c r="W574" s="124"/>
      <c r="X574" s="125"/>
      <c r="Y574" s="126"/>
      <c r="Z574" s="125">
        <f t="shared" si="4"/>
        <v>2</v>
      </c>
      <c r="AA574" s="127" t="str">
        <f t="shared" si="5"/>
        <v>Bajo</v>
      </c>
      <c r="AB574" s="128">
        <f t="shared" si="6"/>
        <v>5</v>
      </c>
      <c r="AC574" s="129">
        <f t="shared" si="7"/>
        <v>0.08</v>
      </c>
    </row>
    <row r="575" ht="14.25" hidden="1" customHeight="1">
      <c r="A575" s="116" t="s">
        <v>1950</v>
      </c>
      <c r="B575" s="117" t="s">
        <v>1950</v>
      </c>
      <c r="C575" s="117" t="s">
        <v>1956</v>
      </c>
      <c r="D575" s="117" t="s">
        <v>1963</v>
      </c>
      <c r="E575" s="117" t="s">
        <v>1958</v>
      </c>
      <c r="F575" s="117" t="s">
        <v>1956</v>
      </c>
      <c r="G575" s="117" t="s">
        <v>1954</v>
      </c>
      <c r="H575" s="117" t="s">
        <v>1955</v>
      </c>
      <c r="I575" s="117">
        <v>1.0</v>
      </c>
      <c r="J575" s="117">
        <v>1.0</v>
      </c>
      <c r="K575" s="117" t="str">
        <f t="shared" si="1"/>
        <v>No</v>
      </c>
      <c r="L575" s="118" t="s">
        <v>116</v>
      </c>
      <c r="M575" s="119">
        <v>90.0</v>
      </c>
      <c r="N575" s="120">
        <v>0.0</v>
      </c>
      <c r="O575" s="121"/>
      <c r="P575" s="117">
        <v>0.0</v>
      </c>
      <c r="Q575" s="117">
        <f t="shared" si="2"/>
        <v>0</v>
      </c>
      <c r="R575" s="122">
        <f>+(IF(((M575*24)-P575)&lt;0,0,((M575*24)-P575)*'Estimación de pérdidas'!$F$72))*N575</f>
        <v>0</v>
      </c>
      <c r="S575" s="123" t="s">
        <v>117</v>
      </c>
      <c r="T575" s="124" t="s">
        <v>118</v>
      </c>
      <c r="U575" s="124">
        <f t="shared" si="3"/>
        <v>1</v>
      </c>
      <c r="V575" s="124">
        <v>2.0</v>
      </c>
      <c r="W575" s="124"/>
      <c r="X575" s="125"/>
      <c r="Y575" s="126"/>
      <c r="Z575" s="125">
        <f t="shared" si="4"/>
        <v>2</v>
      </c>
      <c r="AA575" s="127" t="str">
        <f t="shared" si="5"/>
        <v>Bajo</v>
      </c>
      <c r="AB575" s="128">
        <f t="shared" si="6"/>
        <v>5</v>
      </c>
      <c r="AC575" s="129">
        <f t="shared" si="7"/>
        <v>0.08</v>
      </c>
    </row>
    <row r="576" ht="14.25" hidden="1" customHeight="1">
      <c r="A576" s="116" t="s">
        <v>1950</v>
      </c>
      <c r="B576" s="117" t="s">
        <v>1950</v>
      </c>
      <c r="C576" s="117" t="s">
        <v>1964</v>
      </c>
      <c r="D576" s="117" t="s">
        <v>1965</v>
      </c>
      <c r="E576" s="117" t="s">
        <v>1964</v>
      </c>
      <c r="F576" s="117" t="s">
        <v>1964</v>
      </c>
      <c r="G576" s="117" t="s">
        <v>1954</v>
      </c>
      <c r="H576" s="117" t="s">
        <v>1955</v>
      </c>
      <c r="I576" s="117">
        <v>1.0</v>
      </c>
      <c r="J576" s="117">
        <v>1.0</v>
      </c>
      <c r="K576" s="117" t="str">
        <f t="shared" si="1"/>
        <v>No</v>
      </c>
      <c r="L576" s="118" t="s">
        <v>116</v>
      </c>
      <c r="M576" s="119">
        <v>90.0</v>
      </c>
      <c r="N576" s="120">
        <v>0.0</v>
      </c>
      <c r="O576" s="121"/>
      <c r="P576" s="117">
        <v>0.0</v>
      </c>
      <c r="Q576" s="117">
        <f t="shared" si="2"/>
        <v>0</v>
      </c>
      <c r="R576" s="122">
        <f>+(IF(((M576*24)-P576)&lt;0,0,((M576*24)-P576)*'Estimación de pérdidas'!$F$72))*N576</f>
        <v>0</v>
      </c>
      <c r="S576" s="123" t="s">
        <v>117</v>
      </c>
      <c r="T576" s="124" t="s">
        <v>118</v>
      </c>
      <c r="U576" s="124">
        <f t="shared" si="3"/>
        <v>1</v>
      </c>
      <c r="V576" s="124">
        <v>2.0</v>
      </c>
      <c r="W576" s="124"/>
      <c r="X576" s="125"/>
      <c r="Y576" s="126"/>
      <c r="Z576" s="125">
        <f t="shared" si="4"/>
        <v>2</v>
      </c>
      <c r="AA576" s="127" t="str">
        <f t="shared" si="5"/>
        <v>Bajo</v>
      </c>
      <c r="AB576" s="128">
        <f t="shared" si="6"/>
        <v>5</v>
      </c>
      <c r="AC576" s="129">
        <f t="shared" si="7"/>
        <v>0.08</v>
      </c>
    </row>
    <row r="577" ht="14.25" hidden="1" customHeight="1">
      <c r="A577" s="116" t="s">
        <v>1950</v>
      </c>
      <c r="B577" s="117" t="s">
        <v>1950</v>
      </c>
      <c r="C577" s="117" t="s">
        <v>1956</v>
      </c>
      <c r="D577" s="117" t="s">
        <v>1966</v>
      </c>
      <c r="E577" s="117" t="s">
        <v>1958</v>
      </c>
      <c r="F577" s="117" t="s">
        <v>1956</v>
      </c>
      <c r="G577" s="117" t="s">
        <v>1954</v>
      </c>
      <c r="H577" s="117" t="s">
        <v>1955</v>
      </c>
      <c r="I577" s="117">
        <v>1.0</v>
      </c>
      <c r="J577" s="117">
        <v>1.0</v>
      </c>
      <c r="K577" s="117" t="str">
        <f t="shared" si="1"/>
        <v>No</v>
      </c>
      <c r="L577" s="118" t="s">
        <v>116</v>
      </c>
      <c r="M577" s="119">
        <v>90.0</v>
      </c>
      <c r="N577" s="120">
        <v>0.0</v>
      </c>
      <c r="O577" s="121"/>
      <c r="P577" s="117">
        <v>0.0</v>
      </c>
      <c r="Q577" s="117">
        <f t="shared" si="2"/>
        <v>0</v>
      </c>
      <c r="R577" s="122">
        <f>+(IF(((M577*24)-P577)&lt;0,0,((M577*24)-P577)*'Estimación de pérdidas'!$F$72))*N577</f>
        <v>0</v>
      </c>
      <c r="S577" s="123" t="s">
        <v>117</v>
      </c>
      <c r="T577" s="124" t="s">
        <v>118</v>
      </c>
      <c r="U577" s="124">
        <f t="shared" si="3"/>
        <v>1</v>
      </c>
      <c r="V577" s="124">
        <v>2.0</v>
      </c>
      <c r="W577" s="124"/>
      <c r="X577" s="125"/>
      <c r="Y577" s="126"/>
      <c r="Z577" s="125">
        <f t="shared" si="4"/>
        <v>2</v>
      </c>
      <c r="AA577" s="127" t="str">
        <f t="shared" si="5"/>
        <v>Bajo</v>
      </c>
      <c r="AB577" s="128">
        <f t="shared" si="6"/>
        <v>5</v>
      </c>
      <c r="AC577" s="129">
        <f t="shared" si="7"/>
        <v>0.08</v>
      </c>
    </row>
    <row r="578" ht="14.25" hidden="1" customHeight="1">
      <c r="A578" s="116" t="s">
        <v>1950</v>
      </c>
      <c r="B578" s="117" t="s">
        <v>1950</v>
      </c>
      <c r="C578" s="117" t="s">
        <v>1967</v>
      </c>
      <c r="D578" s="117" t="s">
        <v>1968</v>
      </c>
      <c r="E578" s="117" t="s">
        <v>1967</v>
      </c>
      <c r="F578" s="117" t="s">
        <v>1967</v>
      </c>
      <c r="G578" s="117" t="s">
        <v>1954</v>
      </c>
      <c r="H578" s="117" t="s">
        <v>1955</v>
      </c>
      <c r="I578" s="117">
        <v>1.0</v>
      </c>
      <c r="J578" s="117">
        <v>1.0</v>
      </c>
      <c r="K578" s="117" t="str">
        <f t="shared" si="1"/>
        <v>No</v>
      </c>
      <c r="L578" s="118" t="s">
        <v>116</v>
      </c>
      <c r="M578" s="119">
        <v>90.0</v>
      </c>
      <c r="N578" s="120">
        <v>0.0</v>
      </c>
      <c r="O578" s="121"/>
      <c r="P578" s="117">
        <v>0.0</v>
      </c>
      <c r="Q578" s="117">
        <f t="shared" si="2"/>
        <v>0</v>
      </c>
      <c r="R578" s="122">
        <f>+(IF(((M578*24)-P578)&lt;0,0,((M578*24)-P578)*'Estimación de pérdidas'!$F$72))*N578</f>
        <v>0</v>
      </c>
      <c r="S578" s="123" t="s">
        <v>117</v>
      </c>
      <c r="T578" s="124" t="s">
        <v>118</v>
      </c>
      <c r="U578" s="124">
        <f t="shared" si="3"/>
        <v>1</v>
      </c>
      <c r="V578" s="124">
        <v>2.0</v>
      </c>
      <c r="W578" s="124"/>
      <c r="X578" s="125"/>
      <c r="Y578" s="126"/>
      <c r="Z578" s="125">
        <f t="shared" si="4"/>
        <v>2</v>
      </c>
      <c r="AA578" s="127" t="str">
        <f t="shared" si="5"/>
        <v>Bajo</v>
      </c>
      <c r="AB578" s="128">
        <f t="shared" si="6"/>
        <v>5</v>
      </c>
      <c r="AC578" s="129">
        <f t="shared" si="7"/>
        <v>0.08</v>
      </c>
    </row>
    <row r="579" ht="14.25" hidden="1" customHeight="1">
      <c r="A579" s="116" t="s">
        <v>1969</v>
      </c>
      <c r="B579" s="117" t="s">
        <v>1969</v>
      </c>
      <c r="C579" s="117" t="s">
        <v>1970</v>
      </c>
      <c r="D579" s="117" t="s">
        <v>1971</v>
      </c>
      <c r="E579" s="117" t="s">
        <v>1970</v>
      </c>
      <c r="F579" s="117" t="s">
        <v>1972</v>
      </c>
      <c r="G579" s="117" t="s">
        <v>1973</v>
      </c>
      <c r="H579" s="117" t="s">
        <v>1974</v>
      </c>
      <c r="I579" s="117">
        <v>1.0</v>
      </c>
      <c r="J579" s="117">
        <v>1.0</v>
      </c>
      <c r="K579" s="117" t="str">
        <f t="shared" si="1"/>
        <v>No</v>
      </c>
      <c r="L579" s="118" t="s">
        <v>116</v>
      </c>
      <c r="M579" s="119">
        <v>0.5</v>
      </c>
      <c r="N579" s="120">
        <v>0.0</v>
      </c>
      <c r="O579" s="121">
        <v>91.32</v>
      </c>
      <c r="P579" s="117">
        <v>1.0</v>
      </c>
      <c r="Q579" s="117">
        <f t="shared" si="2"/>
        <v>0</v>
      </c>
      <c r="R579" s="122">
        <f>+(IF(((M579*24)-P579)&lt;0,0,((M579*24)-P579)*'Estimación de pérdidas'!$F$72))*N579</f>
        <v>0</v>
      </c>
      <c r="S579" s="123" t="s">
        <v>117</v>
      </c>
      <c r="T579" s="124" t="s">
        <v>119</v>
      </c>
      <c r="U579" s="124">
        <f t="shared" si="3"/>
        <v>1</v>
      </c>
      <c r="V579" s="124">
        <v>2.0</v>
      </c>
      <c r="W579" s="124"/>
      <c r="X579" s="125"/>
      <c r="Y579" s="126"/>
      <c r="Z579" s="125">
        <f t="shared" si="4"/>
        <v>2</v>
      </c>
      <c r="AA579" s="127" t="str">
        <f t="shared" si="5"/>
        <v>Moderado</v>
      </c>
      <c r="AB579" s="128">
        <f t="shared" si="6"/>
        <v>8</v>
      </c>
      <c r="AC579" s="129">
        <f t="shared" si="7"/>
        <v>0.12</v>
      </c>
      <c r="AD579" s="131"/>
    </row>
    <row r="580" ht="14.25" hidden="1" customHeight="1">
      <c r="A580" s="116" t="s">
        <v>1969</v>
      </c>
      <c r="B580" s="117" t="s">
        <v>1969</v>
      </c>
      <c r="C580" s="117" t="s">
        <v>1975</v>
      </c>
      <c r="D580" s="117" t="s">
        <v>1976</v>
      </c>
      <c r="E580" s="117" t="s">
        <v>1975</v>
      </c>
      <c r="F580" s="117" t="s">
        <v>1977</v>
      </c>
      <c r="G580" s="117" t="s">
        <v>1978</v>
      </c>
      <c r="H580" s="117" t="s">
        <v>1979</v>
      </c>
      <c r="I580" s="117">
        <v>1.0</v>
      </c>
      <c r="J580" s="117">
        <v>1.0</v>
      </c>
      <c r="K580" s="117" t="str">
        <f t="shared" si="1"/>
        <v>No</v>
      </c>
      <c r="L580" s="118" t="s">
        <v>116</v>
      </c>
      <c r="M580" s="119">
        <v>1.0</v>
      </c>
      <c r="N580" s="120">
        <v>0.0</v>
      </c>
      <c r="O580" s="121">
        <v>91.32</v>
      </c>
      <c r="P580" s="117">
        <v>1.0</v>
      </c>
      <c r="Q580" s="117">
        <f t="shared" si="2"/>
        <v>0</v>
      </c>
      <c r="R580" s="122">
        <f>+(IF(((M580*24)-P580)&lt;0,0,((M580*24)-P580)*'Estimación de pérdidas'!$F$72))*N580</f>
        <v>0</v>
      </c>
      <c r="S580" s="123" t="s">
        <v>117</v>
      </c>
      <c r="T580" s="124" t="s">
        <v>132</v>
      </c>
      <c r="U580" s="124">
        <f t="shared" si="3"/>
        <v>1</v>
      </c>
      <c r="V580" s="124">
        <v>2.0</v>
      </c>
      <c r="W580" s="124"/>
      <c r="X580" s="125"/>
      <c r="Y580" s="126"/>
      <c r="Z580" s="125">
        <f t="shared" si="4"/>
        <v>2</v>
      </c>
      <c r="AA580" s="127" t="str">
        <f t="shared" si="5"/>
        <v>Bajo</v>
      </c>
      <c r="AB580" s="128">
        <f t="shared" si="6"/>
        <v>3</v>
      </c>
      <c r="AC580" s="129">
        <f t="shared" si="7"/>
        <v>0.04</v>
      </c>
    </row>
    <row r="581" ht="14.25" hidden="1" customHeight="1">
      <c r="A581" s="116" t="s">
        <v>1969</v>
      </c>
      <c r="B581" s="117" t="s">
        <v>1969</v>
      </c>
      <c r="C581" s="117" t="s">
        <v>1980</v>
      </c>
      <c r="D581" s="117" t="s">
        <v>1981</v>
      </c>
      <c r="E581" s="117" t="s">
        <v>1982</v>
      </c>
      <c r="F581" s="117" t="s">
        <v>1983</v>
      </c>
      <c r="G581" s="117" t="s">
        <v>1978</v>
      </c>
      <c r="H581" s="117" t="s">
        <v>1984</v>
      </c>
      <c r="I581" s="117">
        <v>1.0</v>
      </c>
      <c r="J581" s="117">
        <v>1.0</v>
      </c>
      <c r="K581" s="117" t="str">
        <f t="shared" si="1"/>
        <v>No</v>
      </c>
      <c r="L581" s="118" t="s">
        <v>116</v>
      </c>
      <c r="M581" s="119">
        <v>1.0</v>
      </c>
      <c r="N581" s="120">
        <v>1.0</v>
      </c>
      <c r="O581" s="121">
        <v>91.32</v>
      </c>
      <c r="P581" s="117">
        <v>1.0</v>
      </c>
      <c r="Q581" s="117">
        <f t="shared" si="2"/>
        <v>23</v>
      </c>
      <c r="R581" s="122">
        <f>+(IF(((M581*24)-P581)&lt;0,0,((M581*24)-P581)*'Estimación de pérdidas'!$F$72))*N581</f>
        <v>1326595.723</v>
      </c>
      <c r="S581" s="123" t="s">
        <v>117</v>
      </c>
      <c r="T581" s="124" t="s">
        <v>132</v>
      </c>
      <c r="U581" s="124">
        <f t="shared" si="3"/>
        <v>5</v>
      </c>
      <c r="V581" s="124">
        <v>2.0</v>
      </c>
      <c r="W581" s="124"/>
      <c r="X581" s="125"/>
      <c r="Y581" s="126"/>
      <c r="Z581" s="125">
        <f t="shared" si="4"/>
        <v>5</v>
      </c>
      <c r="AA581" s="127" t="str">
        <f t="shared" si="5"/>
        <v>Moderado</v>
      </c>
      <c r="AB581" s="128">
        <f t="shared" si="6"/>
        <v>15</v>
      </c>
      <c r="AC581" s="129">
        <f t="shared" si="7"/>
        <v>0.09633275663</v>
      </c>
      <c r="AD581" s="131"/>
    </row>
    <row r="582" ht="14.25" hidden="1" customHeight="1">
      <c r="A582" s="116" t="s">
        <v>1969</v>
      </c>
      <c r="B582" s="117" t="s">
        <v>1969</v>
      </c>
      <c r="C582" s="117" t="s">
        <v>1985</v>
      </c>
      <c r="D582" s="117" t="s">
        <v>1986</v>
      </c>
      <c r="E582" s="117" t="s">
        <v>1985</v>
      </c>
      <c r="F582" s="117" t="s">
        <v>1987</v>
      </c>
      <c r="G582" s="117" t="s">
        <v>1973</v>
      </c>
      <c r="H582" s="117" t="s">
        <v>1974</v>
      </c>
      <c r="I582" s="117">
        <v>1.0</v>
      </c>
      <c r="J582" s="117">
        <v>1.0</v>
      </c>
      <c r="K582" s="117" t="str">
        <f t="shared" si="1"/>
        <v>No</v>
      </c>
      <c r="L582" s="118" t="s">
        <v>116</v>
      </c>
      <c r="M582" s="119">
        <v>0.5</v>
      </c>
      <c r="N582" s="120">
        <v>0.0</v>
      </c>
      <c r="O582" s="121">
        <v>91.32</v>
      </c>
      <c r="P582" s="117">
        <v>1.0</v>
      </c>
      <c r="Q582" s="117">
        <f t="shared" si="2"/>
        <v>0</v>
      </c>
      <c r="R582" s="122">
        <f>+(IF(((M582*24)-P582)&lt;0,0,((M582*24)-P582)*'Estimación de pérdidas'!$F$72))*N582</f>
        <v>0</v>
      </c>
      <c r="S582" s="123" t="s">
        <v>117</v>
      </c>
      <c r="T582" s="124" t="s">
        <v>119</v>
      </c>
      <c r="U582" s="124">
        <f t="shared" si="3"/>
        <v>1</v>
      </c>
      <c r="V582" s="124">
        <v>1.0</v>
      </c>
      <c r="W582" s="124"/>
      <c r="X582" s="125"/>
      <c r="Y582" s="126"/>
      <c r="Z582" s="125">
        <f t="shared" si="4"/>
        <v>1</v>
      </c>
      <c r="AA582" s="127" t="str">
        <f t="shared" si="5"/>
        <v>Bajo</v>
      </c>
      <c r="AB582" s="128">
        <f t="shared" si="6"/>
        <v>4</v>
      </c>
      <c r="AC582" s="129">
        <f t="shared" si="7"/>
        <v>0.07589466384</v>
      </c>
    </row>
    <row r="583" ht="14.25" hidden="1" customHeight="1">
      <c r="A583" s="116" t="s">
        <v>1969</v>
      </c>
      <c r="B583" s="117" t="s">
        <v>1969</v>
      </c>
      <c r="C583" s="117" t="s">
        <v>1988</v>
      </c>
      <c r="D583" s="117" t="s">
        <v>1989</v>
      </c>
      <c r="E583" s="117" t="s">
        <v>1988</v>
      </c>
      <c r="F583" s="117" t="s">
        <v>1983</v>
      </c>
      <c r="G583" s="117" t="s">
        <v>1978</v>
      </c>
      <c r="H583" s="117" t="s">
        <v>1979</v>
      </c>
      <c r="I583" s="117">
        <v>1.0</v>
      </c>
      <c r="J583" s="117">
        <v>1.0</v>
      </c>
      <c r="K583" s="117" t="str">
        <f t="shared" si="1"/>
        <v>No</v>
      </c>
      <c r="L583" s="118" t="s">
        <v>116</v>
      </c>
      <c r="M583" s="119">
        <v>2.0</v>
      </c>
      <c r="N583" s="120">
        <v>0.0</v>
      </c>
      <c r="O583" s="121">
        <v>91.32</v>
      </c>
      <c r="P583" s="117">
        <v>1.0</v>
      </c>
      <c r="Q583" s="117">
        <f t="shared" si="2"/>
        <v>0</v>
      </c>
      <c r="R583" s="122">
        <f>+(IF(((M583*24)-P583)&lt;0,0,((M583*24)-P583)*'Estimación de pérdidas'!$F$72))*N583</f>
        <v>0</v>
      </c>
      <c r="S583" s="123" t="s">
        <v>117</v>
      </c>
      <c r="T583" s="124" t="s">
        <v>132</v>
      </c>
      <c r="U583" s="124">
        <f t="shared" si="3"/>
        <v>1</v>
      </c>
      <c r="V583" s="124">
        <v>2.0</v>
      </c>
      <c r="W583" s="124"/>
      <c r="X583" s="125"/>
      <c r="Y583" s="126"/>
      <c r="Z583" s="125">
        <f t="shared" si="4"/>
        <v>2</v>
      </c>
      <c r="AA583" s="127" t="str">
        <f t="shared" si="5"/>
        <v>Bajo</v>
      </c>
      <c r="AB583" s="128">
        <f t="shared" si="6"/>
        <v>3</v>
      </c>
      <c r="AC583" s="129">
        <f t="shared" si="7"/>
        <v>0.04</v>
      </c>
    </row>
    <row r="584" ht="14.25" hidden="1" customHeight="1">
      <c r="A584" s="116" t="s">
        <v>1969</v>
      </c>
      <c r="B584" s="117" t="s">
        <v>1969</v>
      </c>
      <c r="C584" s="117" t="s">
        <v>1990</v>
      </c>
      <c r="D584" s="117" t="s">
        <v>1991</v>
      </c>
      <c r="E584" s="117" t="s">
        <v>1992</v>
      </c>
      <c r="F584" s="117" t="s">
        <v>1993</v>
      </c>
      <c r="G584" s="117" t="s">
        <v>1994</v>
      </c>
      <c r="H584" s="117" t="s">
        <v>1995</v>
      </c>
      <c r="I584" s="117">
        <v>1.0</v>
      </c>
      <c r="J584" s="117">
        <v>1.0</v>
      </c>
      <c r="K584" s="117" t="str">
        <f t="shared" si="1"/>
        <v>No</v>
      </c>
      <c r="L584" s="118" t="s">
        <v>116</v>
      </c>
      <c r="M584" s="119">
        <v>3.0</v>
      </c>
      <c r="N584" s="120">
        <v>1.0</v>
      </c>
      <c r="O584" s="121">
        <v>91.32</v>
      </c>
      <c r="P584" s="117">
        <v>1.0</v>
      </c>
      <c r="Q584" s="117">
        <f t="shared" si="2"/>
        <v>71</v>
      </c>
      <c r="R584" s="122">
        <f>+(IF(((M584*24)-P584)&lt;0,0,((M584*24)-P584)*'Estimación de pérdidas'!$F$72))*N584</f>
        <v>4095143.319</v>
      </c>
      <c r="S584" s="123" t="s">
        <v>117</v>
      </c>
      <c r="T584" s="124" t="s">
        <v>132</v>
      </c>
      <c r="U584" s="124">
        <f t="shared" si="3"/>
        <v>5</v>
      </c>
      <c r="V584" s="124">
        <v>2.0</v>
      </c>
      <c r="W584" s="124"/>
      <c r="X584" s="125"/>
      <c r="Y584" s="126"/>
      <c r="Z584" s="125">
        <f t="shared" si="4"/>
        <v>5</v>
      </c>
      <c r="AA584" s="127" t="str">
        <f t="shared" si="5"/>
        <v>Moderado</v>
      </c>
      <c r="AB584" s="128">
        <f t="shared" si="6"/>
        <v>15</v>
      </c>
      <c r="AC584" s="129">
        <f t="shared" si="7"/>
        <v>0.09633275663</v>
      </c>
      <c r="AD584" s="131"/>
    </row>
    <row r="585" ht="14.25" hidden="1" customHeight="1">
      <c r="A585" s="116" t="s">
        <v>108</v>
      </c>
      <c r="B585" s="117" t="s">
        <v>108</v>
      </c>
      <c r="C585" s="117" t="s">
        <v>1996</v>
      </c>
      <c r="D585" s="117" t="s">
        <v>1997</v>
      </c>
      <c r="E585" s="117" t="s">
        <v>1996</v>
      </c>
      <c r="F585" s="117" t="s">
        <v>1998</v>
      </c>
      <c r="G585" s="117" t="s">
        <v>1999</v>
      </c>
      <c r="H585" s="117" t="s">
        <v>2000</v>
      </c>
      <c r="I585" s="117">
        <v>1.0</v>
      </c>
      <c r="J585" s="117">
        <v>1.0</v>
      </c>
      <c r="K585" s="117" t="str">
        <f t="shared" si="1"/>
        <v>No</v>
      </c>
      <c r="L585" s="118" t="s">
        <v>116</v>
      </c>
      <c r="M585" s="119">
        <v>0.25</v>
      </c>
      <c r="N585" s="120">
        <v>1.0</v>
      </c>
      <c r="O585" s="121">
        <v>70.0</v>
      </c>
      <c r="P585" s="117">
        <v>10.0</v>
      </c>
      <c r="Q585" s="117">
        <f t="shared" si="2"/>
        <v>0</v>
      </c>
      <c r="R585" s="122">
        <f>+(IF(((M585*24)-P585)&lt;0,0,((M585*24)-P585)*'Estimación de pérdidas'!$F$72))*N585</f>
        <v>0</v>
      </c>
      <c r="S585" s="123" t="s">
        <v>272</v>
      </c>
      <c r="T585" s="124" t="s">
        <v>119</v>
      </c>
      <c r="U585" s="124">
        <f t="shared" si="3"/>
        <v>1</v>
      </c>
      <c r="V585" s="124">
        <v>2.0</v>
      </c>
      <c r="W585" s="124"/>
      <c r="X585" s="125"/>
      <c r="Y585" s="126"/>
      <c r="Z585" s="125">
        <f t="shared" si="4"/>
        <v>2</v>
      </c>
      <c r="AA585" s="127" t="str">
        <f t="shared" si="5"/>
        <v>Moderado</v>
      </c>
      <c r="AB585" s="128">
        <f t="shared" si="6"/>
        <v>8</v>
      </c>
      <c r="AC585" s="129">
        <f t="shared" si="7"/>
        <v>0.12</v>
      </c>
      <c r="AD585" s="131"/>
    </row>
    <row r="586" ht="14.25" hidden="1" customHeight="1">
      <c r="A586" s="116" t="s">
        <v>108</v>
      </c>
      <c r="B586" s="117" t="s">
        <v>108</v>
      </c>
      <c r="C586" s="117" t="s">
        <v>2001</v>
      </c>
      <c r="D586" s="117" t="s">
        <v>2002</v>
      </c>
      <c r="E586" s="117" t="s">
        <v>2003</v>
      </c>
      <c r="F586" s="117" t="s">
        <v>2004</v>
      </c>
      <c r="G586" s="117" t="s">
        <v>2005</v>
      </c>
      <c r="H586" s="117" t="s">
        <v>2006</v>
      </c>
      <c r="I586" s="117">
        <v>1.0</v>
      </c>
      <c r="J586" s="117">
        <v>1.0</v>
      </c>
      <c r="K586" s="117" t="str">
        <f t="shared" si="1"/>
        <v>No</v>
      </c>
      <c r="L586" s="118" t="s">
        <v>116</v>
      </c>
      <c r="M586" s="119">
        <v>0.3333333333333333</v>
      </c>
      <c r="N586" s="120">
        <v>1.0</v>
      </c>
      <c r="O586" s="121">
        <v>70.0</v>
      </c>
      <c r="P586" s="117">
        <v>10.0</v>
      </c>
      <c r="Q586" s="117">
        <f t="shared" si="2"/>
        <v>0</v>
      </c>
      <c r="R586" s="122">
        <f>+(IF(((M586*24)-P586)&lt;0,0,((M586*24)-P586)*'Estimación de pérdidas'!$F$72))*N586</f>
        <v>0</v>
      </c>
      <c r="S586" s="123" t="s">
        <v>117</v>
      </c>
      <c r="T586" s="124" t="s">
        <v>119</v>
      </c>
      <c r="U586" s="124">
        <f t="shared" si="3"/>
        <v>1</v>
      </c>
      <c r="V586" s="124">
        <v>2.0</v>
      </c>
      <c r="W586" s="124"/>
      <c r="X586" s="125"/>
      <c r="Y586" s="126"/>
      <c r="Z586" s="125">
        <f t="shared" si="4"/>
        <v>2</v>
      </c>
      <c r="AA586" s="127" t="str">
        <f t="shared" si="5"/>
        <v>Moderado</v>
      </c>
      <c r="AB586" s="128">
        <f t="shared" si="6"/>
        <v>8</v>
      </c>
      <c r="AC586" s="129">
        <f t="shared" si="7"/>
        <v>0.12</v>
      </c>
      <c r="AD586" s="131"/>
    </row>
    <row r="587" ht="14.25" hidden="1" customHeight="1">
      <c r="A587" s="116" t="s">
        <v>108</v>
      </c>
      <c r="B587" s="117" t="s">
        <v>108</v>
      </c>
      <c r="C587" s="117" t="s">
        <v>1970</v>
      </c>
      <c r="D587" s="117" t="s">
        <v>2007</v>
      </c>
      <c r="E587" s="117" t="s">
        <v>1970</v>
      </c>
      <c r="F587" s="117" t="s">
        <v>2008</v>
      </c>
      <c r="G587" s="117" t="s">
        <v>1973</v>
      </c>
      <c r="H587" s="117" t="s">
        <v>1974</v>
      </c>
      <c r="I587" s="117">
        <v>1.0</v>
      </c>
      <c r="J587" s="117">
        <v>1.0</v>
      </c>
      <c r="K587" s="117" t="str">
        <f t="shared" si="1"/>
        <v>No</v>
      </c>
      <c r="L587" s="118" t="s">
        <v>116</v>
      </c>
      <c r="M587" s="119">
        <v>0.5</v>
      </c>
      <c r="N587" s="120">
        <v>0.0</v>
      </c>
      <c r="O587" s="121">
        <v>70.0</v>
      </c>
      <c r="P587" s="117">
        <v>10.0</v>
      </c>
      <c r="Q587" s="117">
        <f t="shared" si="2"/>
        <v>0</v>
      </c>
      <c r="R587" s="122">
        <f>+(IF(((M587*24)-P587)&lt;0,0,((M587*24)-P587)*'Estimación de pérdidas'!$F$72))*N587</f>
        <v>0</v>
      </c>
      <c r="S587" s="123" t="s">
        <v>117</v>
      </c>
      <c r="T587" s="124" t="s">
        <v>119</v>
      </c>
      <c r="U587" s="124">
        <f t="shared" si="3"/>
        <v>1</v>
      </c>
      <c r="V587" s="124">
        <v>2.0</v>
      </c>
      <c r="W587" s="124"/>
      <c r="X587" s="125"/>
      <c r="Y587" s="126"/>
      <c r="Z587" s="125">
        <f t="shared" si="4"/>
        <v>2</v>
      </c>
      <c r="AA587" s="127" t="str">
        <f t="shared" si="5"/>
        <v>Moderado</v>
      </c>
      <c r="AB587" s="128">
        <f t="shared" si="6"/>
        <v>8</v>
      </c>
      <c r="AC587" s="129">
        <f t="shared" si="7"/>
        <v>0.12</v>
      </c>
      <c r="AD587" s="131"/>
    </row>
    <row r="588" ht="14.25" hidden="1" customHeight="1">
      <c r="A588" s="116" t="s">
        <v>108</v>
      </c>
      <c r="B588" s="117" t="s">
        <v>108</v>
      </c>
      <c r="C588" s="117" t="s">
        <v>2009</v>
      </c>
      <c r="D588" s="117" t="s">
        <v>2010</v>
      </c>
      <c r="E588" s="117" t="s">
        <v>2011</v>
      </c>
      <c r="F588" s="117" t="s">
        <v>2012</v>
      </c>
      <c r="G588" s="117" t="s">
        <v>1973</v>
      </c>
      <c r="H588" s="117" t="s">
        <v>1974</v>
      </c>
      <c r="I588" s="117">
        <v>1.0</v>
      </c>
      <c r="J588" s="117">
        <v>1.0</v>
      </c>
      <c r="K588" s="117" t="str">
        <f t="shared" si="1"/>
        <v>No</v>
      </c>
      <c r="L588" s="118" t="s">
        <v>116</v>
      </c>
      <c r="M588" s="119">
        <v>0.5</v>
      </c>
      <c r="N588" s="120">
        <v>0.0</v>
      </c>
      <c r="O588" s="121">
        <v>70.0</v>
      </c>
      <c r="P588" s="117">
        <v>10.0</v>
      </c>
      <c r="Q588" s="117">
        <f t="shared" si="2"/>
        <v>0</v>
      </c>
      <c r="R588" s="122">
        <f>+(IF(((M588*24)-P588)&lt;0,0,((M588*24)-P588)*'Estimación de pérdidas'!$F$72))*N588</f>
        <v>0</v>
      </c>
      <c r="S588" s="123" t="s">
        <v>117</v>
      </c>
      <c r="T588" s="124" t="s">
        <v>119</v>
      </c>
      <c r="U588" s="124">
        <f t="shared" si="3"/>
        <v>1</v>
      </c>
      <c r="V588" s="124">
        <v>2.0</v>
      </c>
      <c r="W588" s="124"/>
      <c r="X588" s="125"/>
      <c r="Y588" s="126"/>
      <c r="Z588" s="125">
        <f t="shared" si="4"/>
        <v>2</v>
      </c>
      <c r="AA588" s="127" t="str">
        <f t="shared" si="5"/>
        <v>Moderado</v>
      </c>
      <c r="AB588" s="128">
        <f t="shared" si="6"/>
        <v>8</v>
      </c>
      <c r="AC588" s="129">
        <f t="shared" si="7"/>
        <v>0.12</v>
      </c>
      <c r="AD588" s="131"/>
    </row>
    <row r="589" ht="14.25" hidden="1" customHeight="1">
      <c r="A589" s="116" t="s">
        <v>108</v>
      </c>
      <c r="B589" s="117" t="s">
        <v>108</v>
      </c>
      <c r="C589" s="117" t="s">
        <v>2013</v>
      </c>
      <c r="D589" s="117" t="s">
        <v>2014</v>
      </c>
      <c r="E589" s="117" t="s">
        <v>2015</v>
      </c>
      <c r="F589" s="117" t="s">
        <v>1983</v>
      </c>
      <c r="G589" s="117" t="s">
        <v>1978</v>
      </c>
      <c r="H589" s="117" t="s">
        <v>1979</v>
      </c>
      <c r="I589" s="117">
        <v>1.0</v>
      </c>
      <c r="J589" s="117">
        <v>1.0</v>
      </c>
      <c r="K589" s="117" t="str">
        <f t="shared" si="1"/>
        <v>No</v>
      </c>
      <c r="L589" s="118" t="s">
        <v>116</v>
      </c>
      <c r="M589" s="119">
        <v>2.0</v>
      </c>
      <c r="N589" s="120">
        <v>0.0</v>
      </c>
      <c r="O589" s="121">
        <v>70.0</v>
      </c>
      <c r="P589" s="117">
        <v>10.0</v>
      </c>
      <c r="Q589" s="117">
        <f t="shared" si="2"/>
        <v>0</v>
      </c>
      <c r="R589" s="122">
        <f>+(IF(((M589*24)-P589)&lt;0,0,((M589*24)-P589)*'Estimación de pérdidas'!$F$72))*N589</f>
        <v>0</v>
      </c>
      <c r="S589" s="123" t="s">
        <v>117</v>
      </c>
      <c r="T589" s="124" t="s">
        <v>132</v>
      </c>
      <c r="U589" s="124">
        <f t="shared" si="3"/>
        <v>1</v>
      </c>
      <c r="V589" s="124">
        <v>2.0</v>
      </c>
      <c r="W589" s="124"/>
      <c r="X589" s="125"/>
      <c r="Y589" s="126"/>
      <c r="Z589" s="125">
        <f t="shared" si="4"/>
        <v>2</v>
      </c>
      <c r="AA589" s="127" t="str">
        <f t="shared" si="5"/>
        <v>Bajo</v>
      </c>
      <c r="AB589" s="128">
        <f t="shared" si="6"/>
        <v>3</v>
      </c>
      <c r="AC589" s="129">
        <f t="shared" si="7"/>
        <v>0.04</v>
      </c>
    </row>
    <row r="590" ht="14.25" hidden="1" customHeight="1">
      <c r="A590" s="116" t="s">
        <v>108</v>
      </c>
      <c r="B590" s="117" t="s">
        <v>108</v>
      </c>
      <c r="C590" s="117" t="s">
        <v>2016</v>
      </c>
      <c r="D590" s="117" t="s">
        <v>2017</v>
      </c>
      <c r="E590" s="117" t="s">
        <v>2016</v>
      </c>
      <c r="F590" s="117" t="s">
        <v>2018</v>
      </c>
      <c r="G590" s="117" t="s">
        <v>1973</v>
      </c>
      <c r="H590" s="117" t="s">
        <v>2019</v>
      </c>
      <c r="I590" s="117">
        <v>1.0</v>
      </c>
      <c r="J590" s="117">
        <v>1.0</v>
      </c>
      <c r="K590" s="117" t="str">
        <f t="shared" si="1"/>
        <v>No</v>
      </c>
      <c r="L590" s="118" t="s">
        <v>116</v>
      </c>
      <c r="M590" s="119">
        <v>0.5</v>
      </c>
      <c r="N590" s="120">
        <v>1.0</v>
      </c>
      <c r="O590" s="121">
        <v>70.0</v>
      </c>
      <c r="P590" s="117">
        <v>10.0</v>
      </c>
      <c r="Q590" s="117">
        <f t="shared" si="2"/>
        <v>2</v>
      </c>
      <c r="R590" s="122">
        <f>+(IF(((M590*24)-P590)&lt;0,0,((M590*24)-P590)*'Estimación de pérdidas'!$F$72))*N590</f>
        <v>115356.1498</v>
      </c>
      <c r="S590" s="123" t="s">
        <v>117</v>
      </c>
      <c r="T590" s="124" t="s">
        <v>119</v>
      </c>
      <c r="U590" s="124">
        <f t="shared" si="3"/>
        <v>2</v>
      </c>
      <c r="V590" s="124">
        <v>1.0</v>
      </c>
      <c r="W590" s="124"/>
      <c r="X590" s="125"/>
      <c r="Y590" s="126"/>
      <c r="Z590" s="125">
        <f t="shared" si="4"/>
        <v>2</v>
      </c>
      <c r="AA590" s="127" t="str">
        <f t="shared" si="5"/>
        <v>Moderado</v>
      </c>
      <c r="AB590" s="128">
        <f t="shared" si="6"/>
        <v>8</v>
      </c>
      <c r="AC590" s="129">
        <f t="shared" si="7"/>
        <v>0.12</v>
      </c>
      <c r="AD590" s="131"/>
    </row>
    <row r="591" ht="14.25" hidden="1" customHeight="1">
      <c r="A591" s="116" t="s">
        <v>108</v>
      </c>
      <c r="B591" s="117" t="s">
        <v>108</v>
      </c>
      <c r="C591" s="117" t="s">
        <v>2020</v>
      </c>
      <c r="D591" s="117" t="s">
        <v>2021</v>
      </c>
      <c r="E591" s="117" t="s">
        <v>2022</v>
      </c>
      <c r="F591" s="117" t="s">
        <v>1983</v>
      </c>
      <c r="G591" s="117" t="s">
        <v>1978</v>
      </c>
      <c r="H591" s="117" t="s">
        <v>1984</v>
      </c>
      <c r="I591" s="117">
        <v>1.0</v>
      </c>
      <c r="J591" s="117">
        <v>1.0</v>
      </c>
      <c r="K591" s="117" t="str">
        <f t="shared" si="1"/>
        <v>No</v>
      </c>
      <c r="L591" s="118" t="s">
        <v>116</v>
      </c>
      <c r="M591" s="119">
        <v>2.0</v>
      </c>
      <c r="N591" s="120">
        <v>1.0</v>
      </c>
      <c r="O591" s="121">
        <v>70.0</v>
      </c>
      <c r="P591" s="117">
        <v>10.0</v>
      </c>
      <c r="Q591" s="117">
        <f t="shared" si="2"/>
        <v>38</v>
      </c>
      <c r="R591" s="122">
        <f>+(IF(((M591*24)-P591)&lt;0,0,((M591*24)-P591)*'Estimación de pérdidas'!$F$72))*N591</f>
        <v>2191766.847</v>
      </c>
      <c r="S591" s="123" t="s">
        <v>117</v>
      </c>
      <c r="T591" s="124" t="s">
        <v>132</v>
      </c>
      <c r="U591" s="124">
        <f t="shared" si="3"/>
        <v>5</v>
      </c>
      <c r="V591" s="124">
        <v>2.0</v>
      </c>
      <c r="W591" s="124"/>
      <c r="X591" s="125"/>
      <c r="Y591" s="126"/>
      <c r="Z591" s="125">
        <f t="shared" si="4"/>
        <v>5</v>
      </c>
      <c r="AA591" s="127" t="str">
        <f t="shared" si="5"/>
        <v>Moderado</v>
      </c>
      <c r="AB591" s="128">
        <f t="shared" si="6"/>
        <v>15</v>
      </c>
      <c r="AC591" s="129">
        <f t="shared" si="7"/>
        <v>0.09633275663</v>
      </c>
      <c r="AD591" s="131"/>
    </row>
    <row r="592" ht="14.25" hidden="1" customHeight="1">
      <c r="A592" s="116" t="s">
        <v>108</v>
      </c>
      <c r="B592" s="117" t="s">
        <v>108</v>
      </c>
      <c r="C592" s="117" t="s">
        <v>1985</v>
      </c>
      <c r="D592" s="117" t="s">
        <v>2023</v>
      </c>
      <c r="E592" s="117" t="s">
        <v>1985</v>
      </c>
      <c r="F592" s="117" t="s">
        <v>2024</v>
      </c>
      <c r="G592" s="117" t="s">
        <v>1973</v>
      </c>
      <c r="H592" s="117" t="s">
        <v>1974</v>
      </c>
      <c r="I592" s="117">
        <v>1.0</v>
      </c>
      <c r="J592" s="117">
        <v>1.0</v>
      </c>
      <c r="K592" s="117" t="str">
        <f t="shared" si="1"/>
        <v>No</v>
      </c>
      <c r="L592" s="118" t="s">
        <v>116</v>
      </c>
      <c r="M592" s="119">
        <v>0.5</v>
      </c>
      <c r="N592" s="120">
        <v>0.0</v>
      </c>
      <c r="O592" s="121">
        <v>70.0</v>
      </c>
      <c r="P592" s="117">
        <v>10.0</v>
      </c>
      <c r="Q592" s="117">
        <f t="shared" si="2"/>
        <v>0</v>
      </c>
      <c r="R592" s="122">
        <f>+(IF(((M592*24)-P592)&lt;0,0,((M592*24)-P592)*'Estimación de pérdidas'!$F$72))*N592</f>
        <v>0</v>
      </c>
      <c r="S592" s="123" t="s">
        <v>117</v>
      </c>
      <c r="T592" s="124" t="s">
        <v>119</v>
      </c>
      <c r="U592" s="124">
        <f t="shared" si="3"/>
        <v>1</v>
      </c>
      <c r="V592" s="124">
        <v>1.0</v>
      </c>
      <c r="W592" s="124"/>
      <c r="X592" s="125"/>
      <c r="Y592" s="126"/>
      <c r="Z592" s="125">
        <f t="shared" si="4"/>
        <v>1</v>
      </c>
      <c r="AA592" s="127" t="str">
        <f t="shared" si="5"/>
        <v>Bajo</v>
      </c>
      <c r="AB592" s="128">
        <f t="shared" si="6"/>
        <v>4</v>
      </c>
      <c r="AC592" s="129">
        <f t="shared" si="7"/>
        <v>0.07589466384</v>
      </c>
    </row>
    <row r="593" ht="14.25" hidden="1" customHeight="1">
      <c r="A593" s="116" t="s">
        <v>108</v>
      </c>
      <c r="B593" s="117" t="s">
        <v>108</v>
      </c>
      <c r="C593" s="117" t="s">
        <v>2025</v>
      </c>
      <c r="D593" s="117" t="s">
        <v>2026</v>
      </c>
      <c r="E593" s="117" t="s">
        <v>2027</v>
      </c>
      <c r="F593" s="117" t="s">
        <v>1983</v>
      </c>
      <c r="G593" s="117" t="s">
        <v>1978</v>
      </c>
      <c r="H593" s="117" t="s">
        <v>1979</v>
      </c>
      <c r="I593" s="117">
        <v>1.0</v>
      </c>
      <c r="J593" s="117">
        <v>1.0</v>
      </c>
      <c r="K593" s="117" t="str">
        <f t="shared" si="1"/>
        <v>No</v>
      </c>
      <c r="L593" s="118" t="s">
        <v>116</v>
      </c>
      <c r="M593" s="119">
        <v>2.0</v>
      </c>
      <c r="N593" s="120">
        <v>0.0</v>
      </c>
      <c r="O593" s="121">
        <v>70.0</v>
      </c>
      <c r="P593" s="117">
        <v>10.0</v>
      </c>
      <c r="Q593" s="117">
        <f t="shared" si="2"/>
        <v>0</v>
      </c>
      <c r="R593" s="122">
        <f>+(IF(((M593*24)-P593)&lt;0,0,((M593*24)-P593)*'Estimación de pérdidas'!$F$72))*N593</f>
        <v>0</v>
      </c>
      <c r="S593" s="123" t="s">
        <v>117</v>
      </c>
      <c r="T593" s="124" t="s">
        <v>132</v>
      </c>
      <c r="U593" s="124">
        <f t="shared" si="3"/>
        <v>1</v>
      </c>
      <c r="V593" s="124">
        <v>2.0</v>
      </c>
      <c r="W593" s="124"/>
      <c r="X593" s="125"/>
      <c r="Y593" s="126"/>
      <c r="Z593" s="125">
        <f t="shared" si="4"/>
        <v>2</v>
      </c>
      <c r="AA593" s="127" t="str">
        <f t="shared" si="5"/>
        <v>Bajo</v>
      </c>
      <c r="AB593" s="128">
        <f t="shared" si="6"/>
        <v>3</v>
      </c>
      <c r="AC593" s="129">
        <f t="shared" si="7"/>
        <v>0.04</v>
      </c>
    </row>
    <row r="594" ht="14.25" hidden="1" customHeight="1">
      <c r="A594" s="116" t="s">
        <v>108</v>
      </c>
      <c r="B594" s="117" t="s">
        <v>108</v>
      </c>
      <c r="C594" s="117" t="s">
        <v>2028</v>
      </c>
      <c r="D594" s="117" t="s">
        <v>2029</v>
      </c>
      <c r="E594" s="117" t="s">
        <v>2030</v>
      </c>
      <c r="F594" s="117" t="s">
        <v>1993</v>
      </c>
      <c r="G594" s="117" t="s">
        <v>1994</v>
      </c>
      <c r="H594" s="117" t="s">
        <v>1995</v>
      </c>
      <c r="I594" s="117">
        <v>1.0</v>
      </c>
      <c r="J594" s="117">
        <v>1.0</v>
      </c>
      <c r="K594" s="117" t="str">
        <f t="shared" si="1"/>
        <v>No</v>
      </c>
      <c r="L594" s="118" t="s">
        <v>116</v>
      </c>
      <c r="M594" s="119">
        <v>3.0</v>
      </c>
      <c r="N594" s="120">
        <v>1.0</v>
      </c>
      <c r="O594" s="121">
        <v>70.0</v>
      </c>
      <c r="P594" s="117">
        <v>10.0</v>
      </c>
      <c r="Q594" s="117">
        <f t="shared" si="2"/>
        <v>62</v>
      </c>
      <c r="R594" s="122">
        <f>+(IF(((M594*24)-P594)&lt;0,0,((M594*24)-P594)*'Estimación de pérdidas'!$F$72))*N594</f>
        <v>3576040.645</v>
      </c>
      <c r="S594" s="123" t="s">
        <v>117</v>
      </c>
      <c r="T594" s="124" t="s">
        <v>132</v>
      </c>
      <c r="U594" s="124">
        <f t="shared" si="3"/>
        <v>5</v>
      </c>
      <c r="V594" s="124">
        <v>2.0</v>
      </c>
      <c r="W594" s="124"/>
      <c r="X594" s="125"/>
      <c r="Y594" s="126"/>
      <c r="Z594" s="125">
        <f t="shared" si="4"/>
        <v>5</v>
      </c>
      <c r="AA594" s="127" t="str">
        <f t="shared" si="5"/>
        <v>Moderado</v>
      </c>
      <c r="AB594" s="128">
        <f t="shared" si="6"/>
        <v>15</v>
      </c>
      <c r="AC594" s="129">
        <f t="shared" si="7"/>
        <v>0.09633275663</v>
      </c>
      <c r="AD594" s="130"/>
    </row>
    <row r="595" ht="14.25" hidden="1" customHeight="1">
      <c r="A595" s="116" t="s">
        <v>108</v>
      </c>
      <c r="B595" s="117" t="s">
        <v>108</v>
      </c>
      <c r="C595" s="117" t="s">
        <v>2031</v>
      </c>
      <c r="D595" s="117" t="s">
        <v>2032</v>
      </c>
      <c r="E595" s="117" t="s">
        <v>2031</v>
      </c>
      <c r="F595" s="117" t="s">
        <v>2033</v>
      </c>
      <c r="G595" s="117" t="s">
        <v>1973</v>
      </c>
      <c r="H595" s="117" t="s">
        <v>2034</v>
      </c>
      <c r="I595" s="117">
        <v>1.0</v>
      </c>
      <c r="J595" s="117">
        <v>1.0</v>
      </c>
      <c r="K595" s="117" t="str">
        <f t="shared" si="1"/>
        <v>No</v>
      </c>
      <c r="L595" s="118" t="s">
        <v>116</v>
      </c>
      <c r="M595" s="119">
        <v>0.5</v>
      </c>
      <c r="N595" s="120">
        <v>1.0</v>
      </c>
      <c r="O595" s="121">
        <v>70.0</v>
      </c>
      <c r="P595" s="117">
        <v>10.0</v>
      </c>
      <c r="Q595" s="117">
        <f t="shared" si="2"/>
        <v>2</v>
      </c>
      <c r="R595" s="122">
        <f>+(IF(((M595*24)-P595)&lt;0,0,((M595*24)-P595)*'Estimación de pérdidas'!$F$72))*N595</f>
        <v>115356.1498</v>
      </c>
      <c r="S595" s="123" t="s">
        <v>117</v>
      </c>
      <c r="T595" s="124" t="s">
        <v>118</v>
      </c>
      <c r="U595" s="124">
        <f t="shared" si="3"/>
        <v>2</v>
      </c>
      <c r="V595" s="124">
        <v>2.0</v>
      </c>
      <c r="W595" s="124"/>
      <c r="X595" s="125"/>
      <c r="Y595" s="126"/>
      <c r="Z595" s="125">
        <f t="shared" si="4"/>
        <v>2</v>
      </c>
      <c r="AA595" s="127" t="str">
        <f t="shared" si="5"/>
        <v>Bajo</v>
      </c>
      <c r="AB595" s="128">
        <f t="shared" si="6"/>
        <v>5</v>
      </c>
      <c r="AC595" s="129">
        <f t="shared" si="7"/>
        <v>0.1011928851</v>
      </c>
    </row>
    <row r="596" ht="14.25" hidden="1" customHeight="1">
      <c r="A596" s="116" t="s">
        <v>108</v>
      </c>
      <c r="B596" s="117" t="s">
        <v>108</v>
      </c>
      <c r="C596" s="117" t="s">
        <v>2035</v>
      </c>
      <c r="D596" s="117" t="s">
        <v>2036</v>
      </c>
      <c r="E596" s="117" t="s">
        <v>2035</v>
      </c>
      <c r="F596" s="117" t="s">
        <v>2037</v>
      </c>
      <c r="G596" s="117" t="s">
        <v>2038</v>
      </c>
      <c r="H596" s="117" t="s">
        <v>2039</v>
      </c>
      <c r="I596" s="117">
        <v>1.0</v>
      </c>
      <c r="J596" s="117">
        <v>1.0</v>
      </c>
      <c r="K596" s="117" t="str">
        <f t="shared" si="1"/>
        <v>No</v>
      </c>
      <c r="L596" s="118" t="s">
        <v>116</v>
      </c>
      <c r="M596" s="119">
        <v>0.5</v>
      </c>
      <c r="N596" s="120">
        <v>1.0</v>
      </c>
      <c r="O596" s="121">
        <v>70.0</v>
      </c>
      <c r="P596" s="117">
        <v>10.0</v>
      </c>
      <c r="Q596" s="117">
        <f t="shared" si="2"/>
        <v>2</v>
      </c>
      <c r="R596" s="122">
        <f>+(IF(((M596*24)-P596)&lt;0,0,((M596*24)-P596)*'Estimación de pérdidas'!$F$72))*N596</f>
        <v>115356.1498</v>
      </c>
      <c r="S596" s="123" t="s">
        <v>117</v>
      </c>
      <c r="T596" s="124" t="s">
        <v>119</v>
      </c>
      <c r="U596" s="124">
        <f t="shared" si="3"/>
        <v>2</v>
      </c>
      <c r="V596" s="124">
        <v>2.0</v>
      </c>
      <c r="W596" s="124"/>
      <c r="X596" s="125"/>
      <c r="Y596" s="126"/>
      <c r="Z596" s="125">
        <f t="shared" si="4"/>
        <v>2</v>
      </c>
      <c r="AA596" s="127" t="str">
        <f t="shared" si="5"/>
        <v>Moderado</v>
      </c>
      <c r="AB596" s="128">
        <f t="shared" si="6"/>
        <v>8</v>
      </c>
      <c r="AC596" s="129">
        <f t="shared" si="7"/>
        <v>0.1517893277</v>
      </c>
      <c r="AD596" s="131"/>
    </row>
    <row r="597" ht="14.25" hidden="1" customHeight="1">
      <c r="A597" s="116" t="s">
        <v>221</v>
      </c>
      <c r="B597" s="117" t="s">
        <v>221</v>
      </c>
      <c r="C597" s="117" t="s">
        <v>2040</v>
      </c>
      <c r="D597" s="117" t="s">
        <v>2041</v>
      </c>
      <c r="E597" s="117" t="s">
        <v>2042</v>
      </c>
      <c r="F597" s="117" t="s">
        <v>1993</v>
      </c>
      <c r="G597" s="117" t="s">
        <v>1994</v>
      </c>
      <c r="H597" s="117" t="s">
        <v>1995</v>
      </c>
      <c r="I597" s="117">
        <v>1.0</v>
      </c>
      <c r="J597" s="117">
        <v>1.0</v>
      </c>
      <c r="K597" s="117" t="str">
        <f t="shared" si="1"/>
        <v>No</v>
      </c>
      <c r="L597" s="118" t="s">
        <v>116</v>
      </c>
      <c r="M597" s="119">
        <v>3.0</v>
      </c>
      <c r="N597" s="120">
        <v>1.0</v>
      </c>
      <c r="O597" s="121">
        <v>91.32</v>
      </c>
      <c r="P597" s="117">
        <v>1.0</v>
      </c>
      <c r="Q597" s="117">
        <f t="shared" si="2"/>
        <v>71</v>
      </c>
      <c r="R597" s="122">
        <f>+(IF(((M597*24)-P597)&lt;0,0,((M597*24)-P597)*'Estimación de pérdidas'!$F$72))*N597</f>
        <v>4095143.319</v>
      </c>
      <c r="S597" s="123" t="s">
        <v>117</v>
      </c>
      <c r="T597" s="124" t="s">
        <v>132</v>
      </c>
      <c r="U597" s="124">
        <f t="shared" si="3"/>
        <v>5</v>
      </c>
      <c r="V597" s="124">
        <v>2.0</v>
      </c>
      <c r="W597" s="124"/>
      <c r="X597" s="125"/>
      <c r="Y597" s="126"/>
      <c r="Z597" s="125">
        <f t="shared" si="4"/>
        <v>5</v>
      </c>
      <c r="AA597" s="127" t="str">
        <f t="shared" si="5"/>
        <v>Moderado</v>
      </c>
      <c r="AB597" s="128">
        <f t="shared" si="6"/>
        <v>15</v>
      </c>
      <c r="AC597" s="129">
        <f t="shared" si="7"/>
        <v>0.09633275663</v>
      </c>
      <c r="AD597" s="131"/>
    </row>
    <row r="598" ht="14.25" hidden="1" customHeight="1">
      <c r="A598" s="116" t="s">
        <v>221</v>
      </c>
      <c r="B598" s="117" t="s">
        <v>222</v>
      </c>
      <c r="C598" s="117" t="s">
        <v>2043</v>
      </c>
      <c r="D598" s="117" t="s">
        <v>2044</v>
      </c>
      <c r="E598" s="117" t="s">
        <v>2045</v>
      </c>
      <c r="F598" s="117" t="s">
        <v>2046</v>
      </c>
      <c r="G598" s="117" t="s">
        <v>2047</v>
      </c>
      <c r="H598" s="117" t="s">
        <v>2048</v>
      </c>
      <c r="I598" s="117">
        <v>1.0</v>
      </c>
      <c r="J598" s="117">
        <v>1.0</v>
      </c>
      <c r="K598" s="117" t="str">
        <f t="shared" si="1"/>
        <v>No</v>
      </c>
      <c r="L598" s="118" t="s">
        <v>116</v>
      </c>
      <c r="M598" s="119">
        <v>0.3333333333333333</v>
      </c>
      <c r="N598" s="120">
        <v>0.2</v>
      </c>
      <c r="O598" s="121">
        <v>91.32</v>
      </c>
      <c r="P598" s="117">
        <v>1.0</v>
      </c>
      <c r="Q598" s="117">
        <f t="shared" si="2"/>
        <v>1.4</v>
      </c>
      <c r="R598" s="122">
        <f>+(IF(((M598*24)-P598)&lt;0,0,((M598*24)-P598)*'Estimación de pérdidas'!$F$72))*N598</f>
        <v>80749.30488</v>
      </c>
      <c r="S598" s="123" t="s">
        <v>117</v>
      </c>
      <c r="T598" s="124" t="s">
        <v>119</v>
      </c>
      <c r="U598" s="124">
        <f t="shared" si="3"/>
        <v>2</v>
      </c>
      <c r="V598" s="124">
        <v>2.0</v>
      </c>
      <c r="W598" s="124"/>
      <c r="X598" s="125"/>
      <c r="Y598" s="126"/>
      <c r="Z598" s="125">
        <f t="shared" si="4"/>
        <v>2</v>
      </c>
      <c r="AA598" s="127" t="str">
        <f t="shared" si="5"/>
        <v>Moderado</v>
      </c>
      <c r="AB598" s="128">
        <f t="shared" si="6"/>
        <v>8</v>
      </c>
      <c r="AC598" s="129">
        <f t="shared" si="7"/>
        <v>0.1517893277</v>
      </c>
      <c r="AD598" s="131"/>
    </row>
    <row r="599" ht="14.25" hidden="1" customHeight="1">
      <c r="A599" s="116" t="s">
        <v>221</v>
      </c>
      <c r="B599" s="117" t="s">
        <v>222</v>
      </c>
      <c r="C599" s="117" t="s">
        <v>2049</v>
      </c>
      <c r="D599" s="117" t="s">
        <v>2050</v>
      </c>
      <c r="E599" s="117" t="s">
        <v>2051</v>
      </c>
      <c r="F599" s="117" t="s">
        <v>2052</v>
      </c>
      <c r="G599" s="117" t="s">
        <v>2047</v>
      </c>
      <c r="H599" s="117" t="s">
        <v>2053</v>
      </c>
      <c r="I599" s="117">
        <v>1.0</v>
      </c>
      <c r="J599" s="117">
        <v>1.0</v>
      </c>
      <c r="K599" s="117" t="str">
        <f t="shared" si="1"/>
        <v>No</v>
      </c>
      <c r="L599" s="118" t="s">
        <v>116</v>
      </c>
      <c r="M599" s="119">
        <v>0.3333333333333333</v>
      </c>
      <c r="N599" s="120">
        <v>0.2</v>
      </c>
      <c r="O599" s="121">
        <v>91.32</v>
      </c>
      <c r="P599" s="117">
        <v>1.0</v>
      </c>
      <c r="Q599" s="117">
        <f t="shared" si="2"/>
        <v>1.4</v>
      </c>
      <c r="R599" s="122">
        <f>+(IF(((M599*24)-P599)&lt;0,0,((M599*24)-P599)*'Estimación de pérdidas'!$F$72))*N599</f>
        <v>80749.30488</v>
      </c>
      <c r="S599" s="123" t="s">
        <v>117</v>
      </c>
      <c r="T599" s="124" t="s">
        <v>119</v>
      </c>
      <c r="U599" s="124">
        <f t="shared" si="3"/>
        <v>2</v>
      </c>
      <c r="V599" s="124">
        <v>2.0</v>
      </c>
      <c r="W599" s="124"/>
      <c r="X599" s="125"/>
      <c r="Y599" s="126"/>
      <c r="Z599" s="125">
        <f t="shared" si="4"/>
        <v>2</v>
      </c>
      <c r="AA599" s="127" t="str">
        <f t="shared" si="5"/>
        <v>Moderado</v>
      </c>
      <c r="AB599" s="128">
        <f t="shared" si="6"/>
        <v>8</v>
      </c>
      <c r="AC599" s="129">
        <f t="shared" si="7"/>
        <v>0.1517893277</v>
      </c>
      <c r="AD599" s="131"/>
    </row>
    <row r="600" ht="14.25" hidden="1" customHeight="1">
      <c r="A600" s="116" t="s">
        <v>108</v>
      </c>
      <c r="B600" s="117" t="s">
        <v>108</v>
      </c>
      <c r="C600" s="117" t="s">
        <v>2054</v>
      </c>
      <c r="D600" s="117" t="s">
        <v>2055</v>
      </c>
      <c r="E600" s="117" t="s">
        <v>2054</v>
      </c>
      <c r="F600" s="117" t="s">
        <v>2056</v>
      </c>
      <c r="G600" s="117" t="s">
        <v>2057</v>
      </c>
      <c r="H600" s="117" t="s">
        <v>2058</v>
      </c>
      <c r="I600" s="117">
        <v>1.0</v>
      </c>
      <c r="J600" s="117">
        <v>1.0</v>
      </c>
      <c r="K600" s="117" t="str">
        <f t="shared" si="1"/>
        <v>No</v>
      </c>
      <c r="L600" s="118" t="s">
        <v>116</v>
      </c>
      <c r="M600" s="119">
        <v>0.5833333333333334</v>
      </c>
      <c r="N600" s="120">
        <v>1.0</v>
      </c>
      <c r="O600" s="121">
        <v>70.0</v>
      </c>
      <c r="P600" s="117">
        <v>10.0</v>
      </c>
      <c r="Q600" s="117">
        <f t="shared" si="2"/>
        <v>4</v>
      </c>
      <c r="R600" s="122">
        <f>+(IF(((M600*24)-P600)&lt;0,0,((M600*24)-P600)*'Estimación de pérdidas'!$F$72))*N600</f>
        <v>230712.2997</v>
      </c>
      <c r="S600" s="123" t="s">
        <v>117</v>
      </c>
      <c r="T600" s="124" t="s">
        <v>132</v>
      </c>
      <c r="U600" s="124">
        <f t="shared" si="3"/>
        <v>3</v>
      </c>
      <c r="V600" s="124">
        <v>1.0</v>
      </c>
      <c r="W600" s="124"/>
      <c r="X600" s="125"/>
      <c r="Y600" s="126"/>
      <c r="Z600" s="125">
        <f t="shared" si="4"/>
        <v>3</v>
      </c>
      <c r="AA600" s="127" t="str">
        <f t="shared" si="5"/>
        <v>Bajo</v>
      </c>
      <c r="AB600" s="128">
        <f t="shared" si="6"/>
        <v>6</v>
      </c>
      <c r="AC600" s="129">
        <f t="shared" si="7"/>
        <v>0.05656854249</v>
      </c>
    </row>
    <row r="601" ht="14.25" hidden="1" customHeight="1">
      <c r="A601" s="116" t="s">
        <v>300</v>
      </c>
      <c r="B601" s="117" t="s">
        <v>300</v>
      </c>
      <c r="C601" s="117" t="s">
        <v>2001</v>
      </c>
      <c r="D601" s="117" t="s">
        <v>2059</v>
      </c>
      <c r="E601" s="117" t="s">
        <v>2003</v>
      </c>
      <c r="F601" s="117" t="s">
        <v>2004</v>
      </c>
      <c r="G601" s="117" t="s">
        <v>2005</v>
      </c>
      <c r="H601" s="117" t="s">
        <v>2060</v>
      </c>
      <c r="I601" s="117">
        <v>1.0</v>
      </c>
      <c r="J601" s="117">
        <v>1.0</v>
      </c>
      <c r="K601" s="117" t="str">
        <f t="shared" si="1"/>
        <v>No</v>
      </c>
      <c r="L601" s="118" t="s">
        <v>116</v>
      </c>
      <c r="M601" s="119">
        <v>0.3333333333333333</v>
      </c>
      <c r="N601" s="120">
        <v>1.0</v>
      </c>
      <c r="O601" s="121">
        <v>91.32</v>
      </c>
      <c r="P601" s="117">
        <v>1.0</v>
      </c>
      <c r="Q601" s="117">
        <f t="shared" si="2"/>
        <v>7</v>
      </c>
      <c r="R601" s="122">
        <f>+(IF(((M601*24)-P601)&lt;0,0,((M601*24)-P601)*'Estimación de pérdidas'!$F$72))*N601</f>
        <v>403746.5244</v>
      </c>
      <c r="S601" s="123" t="s">
        <v>117</v>
      </c>
      <c r="T601" s="124" t="s">
        <v>119</v>
      </c>
      <c r="U601" s="124">
        <f t="shared" si="3"/>
        <v>3</v>
      </c>
      <c r="V601" s="124">
        <v>2.0</v>
      </c>
      <c r="W601" s="124"/>
      <c r="X601" s="125"/>
      <c r="Y601" s="126"/>
      <c r="Z601" s="125">
        <f t="shared" si="4"/>
        <v>3</v>
      </c>
      <c r="AA601" s="127" t="str">
        <f t="shared" si="5"/>
        <v>Moderado</v>
      </c>
      <c r="AB601" s="128">
        <f t="shared" si="6"/>
        <v>13</v>
      </c>
      <c r="AC601" s="129">
        <f t="shared" si="7"/>
        <v>0.193494186</v>
      </c>
      <c r="AD601" s="131"/>
    </row>
    <row r="602" ht="14.25" hidden="1" customHeight="1">
      <c r="A602" s="116" t="s">
        <v>300</v>
      </c>
      <c r="B602" s="117" t="s">
        <v>300</v>
      </c>
      <c r="C602" s="117" t="s">
        <v>2001</v>
      </c>
      <c r="D602" s="117" t="s">
        <v>2061</v>
      </c>
      <c r="E602" s="117" t="s">
        <v>2003</v>
      </c>
      <c r="F602" s="117" t="s">
        <v>2004</v>
      </c>
      <c r="G602" s="117" t="s">
        <v>2005</v>
      </c>
      <c r="H602" s="117" t="s">
        <v>2060</v>
      </c>
      <c r="I602" s="117">
        <v>1.0</v>
      </c>
      <c r="J602" s="117">
        <v>1.0</v>
      </c>
      <c r="K602" s="117" t="str">
        <f t="shared" si="1"/>
        <v>No</v>
      </c>
      <c r="L602" s="118" t="s">
        <v>116</v>
      </c>
      <c r="M602" s="119">
        <v>0.3333333333333333</v>
      </c>
      <c r="N602" s="120">
        <v>1.0</v>
      </c>
      <c r="O602" s="121">
        <v>91.32</v>
      </c>
      <c r="P602" s="117">
        <v>1.0</v>
      </c>
      <c r="Q602" s="117">
        <f t="shared" si="2"/>
        <v>7</v>
      </c>
      <c r="R602" s="122">
        <f>+(IF(((M602*24)-P602)&lt;0,0,((M602*24)-P602)*'Estimación de pérdidas'!$F$72))*N602</f>
        <v>403746.5244</v>
      </c>
      <c r="S602" s="123" t="s">
        <v>117</v>
      </c>
      <c r="T602" s="124" t="s">
        <v>119</v>
      </c>
      <c r="U602" s="124">
        <f t="shared" si="3"/>
        <v>3</v>
      </c>
      <c r="V602" s="124">
        <v>2.0</v>
      </c>
      <c r="W602" s="124"/>
      <c r="X602" s="125"/>
      <c r="Y602" s="126"/>
      <c r="Z602" s="125">
        <f t="shared" si="4"/>
        <v>3</v>
      </c>
      <c r="AA602" s="127" t="str">
        <f t="shared" si="5"/>
        <v>Moderado</v>
      </c>
      <c r="AB602" s="128">
        <f t="shared" si="6"/>
        <v>13</v>
      </c>
      <c r="AC602" s="129">
        <f t="shared" si="7"/>
        <v>0.193494186</v>
      </c>
      <c r="AD602" s="131"/>
    </row>
    <row r="603" ht="14.25" hidden="1" customHeight="1">
      <c r="A603" s="116" t="s">
        <v>300</v>
      </c>
      <c r="B603" s="117" t="s">
        <v>300</v>
      </c>
      <c r="C603" s="117" t="s">
        <v>1970</v>
      </c>
      <c r="D603" s="117" t="s">
        <v>2062</v>
      </c>
      <c r="E603" s="117" t="s">
        <v>1970</v>
      </c>
      <c r="F603" s="117" t="s">
        <v>2063</v>
      </c>
      <c r="G603" s="117" t="s">
        <v>1973</v>
      </c>
      <c r="H603" s="117" t="s">
        <v>2064</v>
      </c>
      <c r="I603" s="117">
        <v>1.0</v>
      </c>
      <c r="J603" s="117">
        <v>1.0</v>
      </c>
      <c r="K603" s="117" t="str">
        <f t="shared" si="1"/>
        <v>No</v>
      </c>
      <c r="L603" s="118" t="s">
        <v>116</v>
      </c>
      <c r="M603" s="119">
        <v>0.5</v>
      </c>
      <c r="N603" s="120">
        <v>0.0</v>
      </c>
      <c r="O603" s="121">
        <v>91.32</v>
      </c>
      <c r="P603" s="117">
        <v>1.0</v>
      </c>
      <c r="Q603" s="117">
        <f t="shared" si="2"/>
        <v>0</v>
      </c>
      <c r="R603" s="122">
        <f>+(IF(((M603*24)-P603)&lt;0,0,((M603*24)-P603)*'Estimación de pérdidas'!$F$72))*N603</f>
        <v>0</v>
      </c>
      <c r="S603" s="123" t="s">
        <v>117</v>
      </c>
      <c r="T603" s="124" t="s">
        <v>119</v>
      </c>
      <c r="U603" s="124">
        <f t="shared" si="3"/>
        <v>1</v>
      </c>
      <c r="V603" s="124">
        <v>2.0</v>
      </c>
      <c r="W603" s="124"/>
      <c r="X603" s="125"/>
      <c r="Y603" s="126"/>
      <c r="Z603" s="125">
        <f t="shared" si="4"/>
        <v>2</v>
      </c>
      <c r="AA603" s="127" t="str">
        <f t="shared" si="5"/>
        <v>Moderado</v>
      </c>
      <c r="AB603" s="128">
        <f t="shared" si="6"/>
        <v>8</v>
      </c>
      <c r="AC603" s="129">
        <f t="shared" si="7"/>
        <v>0.12</v>
      </c>
      <c r="AD603" s="131"/>
    </row>
    <row r="604" ht="14.25" hidden="1" customHeight="1">
      <c r="A604" s="116" t="s">
        <v>300</v>
      </c>
      <c r="B604" s="117" t="s">
        <v>300</v>
      </c>
      <c r="C604" s="117" t="s">
        <v>2009</v>
      </c>
      <c r="D604" s="117" t="s">
        <v>2065</v>
      </c>
      <c r="E604" s="117" t="s">
        <v>2009</v>
      </c>
      <c r="F604" s="117" t="s">
        <v>2066</v>
      </c>
      <c r="G604" s="117" t="s">
        <v>1973</v>
      </c>
      <c r="H604" s="117" t="s">
        <v>2064</v>
      </c>
      <c r="I604" s="117">
        <v>1.0</v>
      </c>
      <c r="J604" s="117">
        <v>1.0</v>
      </c>
      <c r="K604" s="117" t="str">
        <f t="shared" si="1"/>
        <v>No</v>
      </c>
      <c r="L604" s="118" t="s">
        <v>116</v>
      </c>
      <c r="M604" s="119">
        <v>0.5</v>
      </c>
      <c r="N604" s="120">
        <v>0.0</v>
      </c>
      <c r="O604" s="121">
        <v>91.32</v>
      </c>
      <c r="P604" s="117">
        <v>1.0</v>
      </c>
      <c r="Q604" s="117">
        <f t="shared" si="2"/>
        <v>0</v>
      </c>
      <c r="R604" s="122">
        <f>+(IF(((M604*24)-P604)&lt;0,0,((M604*24)-P604)*'Estimación de pérdidas'!$F$72))*N604</f>
        <v>0</v>
      </c>
      <c r="S604" s="123" t="s">
        <v>117</v>
      </c>
      <c r="T604" s="124" t="s">
        <v>119</v>
      </c>
      <c r="U604" s="124">
        <f t="shared" si="3"/>
        <v>1</v>
      </c>
      <c r="V604" s="124">
        <v>2.0</v>
      </c>
      <c r="W604" s="124"/>
      <c r="X604" s="125"/>
      <c r="Y604" s="126"/>
      <c r="Z604" s="125">
        <f t="shared" si="4"/>
        <v>2</v>
      </c>
      <c r="AA604" s="127" t="str">
        <f t="shared" si="5"/>
        <v>Moderado</v>
      </c>
      <c r="AB604" s="128">
        <f t="shared" si="6"/>
        <v>8</v>
      </c>
      <c r="AC604" s="129">
        <f t="shared" si="7"/>
        <v>0.12</v>
      </c>
      <c r="AD604" s="131"/>
    </row>
    <row r="605" ht="14.25" hidden="1" customHeight="1">
      <c r="A605" s="116" t="s">
        <v>300</v>
      </c>
      <c r="B605" s="117" t="s">
        <v>300</v>
      </c>
      <c r="C605" s="117" t="s">
        <v>2013</v>
      </c>
      <c r="D605" s="117" t="s">
        <v>2067</v>
      </c>
      <c r="E605" s="117" t="s">
        <v>1975</v>
      </c>
      <c r="F605" s="117" t="s">
        <v>1983</v>
      </c>
      <c r="G605" s="117" t="s">
        <v>1978</v>
      </c>
      <c r="H605" s="117" t="s">
        <v>1979</v>
      </c>
      <c r="I605" s="117">
        <v>1.0</v>
      </c>
      <c r="J605" s="117">
        <v>1.0</v>
      </c>
      <c r="K605" s="117" t="str">
        <f t="shared" si="1"/>
        <v>No</v>
      </c>
      <c r="L605" s="118" t="s">
        <v>116</v>
      </c>
      <c r="M605" s="119">
        <v>2.0</v>
      </c>
      <c r="N605" s="120">
        <v>0.0</v>
      </c>
      <c r="O605" s="121">
        <v>91.32</v>
      </c>
      <c r="P605" s="117">
        <v>1.0</v>
      </c>
      <c r="Q605" s="117">
        <f t="shared" si="2"/>
        <v>0</v>
      </c>
      <c r="R605" s="122">
        <f>+(IF(((M605*24)-P605)&lt;0,0,((M605*24)-P605)*'Estimación de pérdidas'!$F$72))*N605</f>
        <v>0</v>
      </c>
      <c r="S605" s="123" t="s">
        <v>117</v>
      </c>
      <c r="T605" s="124" t="s">
        <v>132</v>
      </c>
      <c r="U605" s="124">
        <f t="shared" si="3"/>
        <v>1</v>
      </c>
      <c r="V605" s="124">
        <v>2.0</v>
      </c>
      <c r="W605" s="124"/>
      <c r="X605" s="125"/>
      <c r="Y605" s="126"/>
      <c r="Z605" s="125">
        <f t="shared" si="4"/>
        <v>2</v>
      </c>
      <c r="AA605" s="127" t="str">
        <f t="shared" si="5"/>
        <v>Bajo</v>
      </c>
      <c r="AB605" s="128">
        <f t="shared" si="6"/>
        <v>3</v>
      </c>
      <c r="AC605" s="129">
        <f t="shared" si="7"/>
        <v>0.04</v>
      </c>
    </row>
    <row r="606" ht="14.25" hidden="1" customHeight="1">
      <c r="A606" s="116" t="s">
        <v>300</v>
      </c>
      <c r="B606" s="117" t="s">
        <v>300</v>
      </c>
      <c r="C606" s="117" t="s">
        <v>2016</v>
      </c>
      <c r="D606" s="117" t="s">
        <v>2068</v>
      </c>
      <c r="E606" s="117" t="s">
        <v>2016</v>
      </c>
      <c r="F606" s="117" t="s">
        <v>2069</v>
      </c>
      <c r="G606" s="117" t="s">
        <v>1973</v>
      </c>
      <c r="H606" s="117" t="s">
        <v>2070</v>
      </c>
      <c r="I606" s="117">
        <v>1.0</v>
      </c>
      <c r="J606" s="117">
        <v>1.0</v>
      </c>
      <c r="K606" s="117" t="str">
        <f t="shared" si="1"/>
        <v>No</v>
      </c>
      <c r="L606" s="118" t="s">
        <v>116</v>
      </c>
      <c r="M606" s="119">
        <v>0.5</v>
      </c>
      <c r="N606" s="120">
        <v>1.0</v>
      </c>
      <c r="O606" s="121">
        <v>91.32</v>
      </c>
      <c r="P606" s="117">
        <v>1.0</v>
      </c>
      <c r="Q606" s="117">
        <f t="shared" si="2"/>
        <v>11</v>
      </c>
      <c r="R606" s="122">
        <f>+(IF(((M606*24)-P606)&lt;0,0,((M606*24)-P606)*'Estimación de pérdidas'!$F$72))*N606</f>
        <v>634458.8241</v>
      </c>
      <c r="S606" s="123" t="s">
        <v>117</v>
      </c>
      <c r="T606" s="124" t="s">
        <v>119</v>
      </c>
      <c r="U606" s="124">
        <f t="shared" si="3"/>
        <v>4</v>
      </c>
      <c r="V606" s="124">
        <v>1.0</v>
      </c>
      <c r="W606" s="124"/>
      <c r="X606" s="125"/>
      <c r="Y606" s="126"/>
      <c r="Z606" s="125">
        <f t="shared" si="4"/>
        <v>4</v>
      </c>
      <c r="AA606" s="127" t="str">
        <f t="shared" si="5"/>
        <v>Moderado</v>
      </c>
      <c r="AB606" s="128">
        <f t="shared" si="6"/>
        <v>18</v>
      </c>
      <c r="AC606" s="129">
        <f t="shared" si="7"/>
        <v>0.221269067</v>
      </c>
      <c r="AD606" s="130"/>
    </row>
    <row r="607" ht="14.25" hidden="1" customHeight="1">
      <c r="A607" s="116" t="s">
        <v>300</v>
      </c>
      <c r="B607" s="117" t="s">
        <v>300</v>
      </c>
      <c r="C607" s="117" t="s">
        <v>2071</v>
      </c>
      <c r="D607" s="117" t="s">
        <v>2072</v>
      </c>
      <c r="E607" s="117" t="s">
        <v>1982</v>
      </c>
      <c r="F607" s="117" t="s">
        <v>1983</v>
      </c>
      <c r="G607" s="117" t="s">
        <v>1978</v>
      </c>
      <c r="H607" s="117" t="s">
        <v>1984</v>
      </c>
      <c r="I607" s="117">
        <v>1.0</v>
      </c>
      <c r="J607" s="117">
        <v>1.0</v>
      </c>
      <c r="K607" s="117" t="str">
        <f t="shared" si="1"/>
        <v>No</v>
      </c>
      <c r="L607" s="118" t="s">
        <v>116</v>
      </c>
      <c r="M607" s="119">
        <v>2.0</v>
      </c>
      <c r="N607" s="120">
        <v>1.0</v>
      </c>
      <c r="O607" s="121">
        <v>91.32</v>
      </c>
      <c r="P607" s="117">
        <v>1.0</v>
      </c>
      <c r="Q607" s="117">
        <f t="shared" si="2"/>
        <v>47</v>
      </c>
      <c r="R607" s="122">
        <f>+(IF(((M607*24)-P607)&lt;0,0,((M607*24)-P607)*'Estimación de pérdidas'!$F$72))*N607</f>
        <v>2710869.521</v>
      </c>
      <c r="S607" s="123" t="s">
        <v>117</v>
      </c>
      <c r="T607" s="124" t="s">
        <v>132</v>
      </c>
      <c r="U607" s="124">
        <f t="shared" si="3"/>
        <v>5</v>
      </c>
      <c r="V607" s="124">
        <v>2.0</v>
      </c>
      <c r="W607" s="124"/>
      <c r="X607" s="125"/>
      <c r="Y607" s="126"/>
      <c r="Z607" s="125">
        <f t="shared" si="4"/>
        <v>5</v>
      </c>
      <c r="AA607" s="127" t="str">
        <f t="shared" si="5"/>
        <v>Moderado</v>
      </c>
      <c r="AB607" s="128">
        <f t="shared" si="6"/>
        <v>15</v>
      </c>
      <c r="AC607" s="129">
        <f t="shared" si="7"/>
        <v>0.09633275663</v>
      </c>
      <c r="AD607" s="131"/>
    </row>
    <row r="608" ht="14.25" hidden="1" customHeight="1">
      <c r="A608" s="116" t="s">
        <v>300</v>
      </c>
      <c r="B608" s="117" t="s">
        <v>300</v>
      </c>
      <c r="C608" s="117" t="s">
        <v>1985</v>
      </c>
      <c r="D608" s="117" t="s">
        <v>2073</v>
      </c>
      <c r="E608" s="117" t="s">
        <v>1985</v>
      </c>
      <c r="F608" s="117" t="s">
        <v>2074</v>
      </c>
      <c r="G608" s="117" t="s">
        <v>1973</v>
      </c>
      <c r="H608" s="117" t="s">
        <v>2064</v>
      </c>
      <c r="I608" s="117">
        <v>1.0</v>
      </c>
      <c r="J608" s="117">
        <v>1.0</v>
      </c>
      <c r="K608" s="117" t="str">
        <f t="shared" si="1"/>
        <v>No</v>
      </c>
      <c r="L608" s="118" t="s">
        <v>116</v>
      </c>
      <c r="M608" s="119">
        <v>0.5</v>
      </c>
      <c r="N608" s="120">
        <v>0.0</v>
      </c>
      <c r="O608" s="121">
        <v>91.32</v>
      </c>
      <c r="P608" s="117">
        <v>1.0</v>
      </c>
      <c r="Q608" s="117">
        <f t="shared" si="2"/>
        <v>0</v>
      </c>
      <c r="R608" s="122">
        <f>+(IF(((M608*24)-P608)&lt;0,0,((M608*24)-P608)*'Estimación de pérdidas'!$F$72))*N608</f>
        <v>0</v>
      </c>
      <c r="S608" s="123" t="s">
        <v>117</v>
      </c>
      <c r="T608" s="124" t="s">
        <v>119</v>
      </c>
      <c r="U608" s="124">
        <f t="shared" si="3"/>
        <v>1</v>
      </c>
      <c r="V608" s="124">
        <v>1.0</v>
      </c>
      <c r="W608" s="124"/>
      <c r="X608" s="125"/>
      <c r="Y608" s="126"/>
      <c r="Z608" s="125">
        <f t="shared" si="4"/>
        <v>1</v>
      </c>
      <c r="AA608" s="127" t="str">
        <f t="shared" si="5"/>
        <v>Bajo</v>
      </c>
      <c r="AB608" s="128">
        <f t="shared" si="6"/>
        <v>4</v>
      </c>
      <c r="AC608" s="129">
        <f t="shared" si="7"/>
        <v>0.07589466384</v>
      </c>
    </row>
    <row r="609" ht="14.25" hidden="1" customHeight="1">
      <c r="A609" s="116" t="s">
        <v>300</v>
      </c>
      <c r="B609" s="117" t="s">
        <v>300</v>
      </c>
      <c r="C609" s="117" t="s">
        <v>2025</v>
      </c>
      <c r="D609" s="117" t="s">
        <v>2075</v>
      </c>
      <c r="E609" s="117" t="s">
        <v>1988</v>
      </c>
      <c r="F609" s="117" t="s">
        <v>1983</v>
      </c>
      <c r="G609" s="117" t="s">
        <v>1978</v>
      </c>
      <c r="H609" s="117" t="s">
        <v>2076</v>
      </c>
      <c r="I609" s="117">
        <v>1.0</v>
      </c>
      <c r="J609" s="117">
        <v>1.0</v>
      </c>
      <c r="K609" s="117" t="str">
        <f t="shared" si="1"/>
        <v>No</v>
      </c>
      <c r="L609" s="118" t="s">
        <v>116</v>
      </c>
      <c r="M609" s="119">
        <v>2.0</v>
      </c>
      <c r="N609" s="120">
        <v>0.0</v>
      </c>
      <c r="O609" s="121">
        <v>91.32</v>
      </c>
      <c r="P609" s="117">
        <v>1.0</v>
      </c>
      <c r="Q609" s="117">
        <f t="shared" si="2"/>
        <v>0</v>
      </c>
      <c r="R609" s="122">
        <f>+(IF(((M609*24)-P609)&lt;0,0,((M609*24)-P609)*'Estimación de pérdidas'!$F$72))*N609</f>
        <v>0</v>
      </c>
      <c r="S609" s="123" t="s">
        <v>117</v>
      </c>
      <c r="T609" s="124" t="s">
        <v>132</v>
      </c>
      <c r="U609" s="124">
        <f t="shared" si="3"/>
        <v>1</v>
      </c>
      <c r="V609" s="124">
        <v>2.0</v>
      </c>
      <c r="W609" s="124"/>
      <c r="X609" s="125"/>
      <c r="Y609" s="126"/>
      <c r="Z609" s="125">
        <f t="shared" si="4"/>
        <v>2</v>
      </c>
      <c r="AA609" s="127" t="str">
        <f t="shared" si="5"/>
        <v>Bajo</v>
      </c>
      <c r="AB609" s="128">
        <f t="shared" si="6"/>
        <v>3</v>
      </c>
      <c r="AC609" s="129">
        <f t="shared" si="7"/>
        <v>0.04</v>
      </c>
    </row>
    <row r="610" ht="14.25" hidden="1" customHeight="1">
      <c r="A610" s="116" t="s">
        <v>300</v>
      </c>
      <c r="B610" s="117" t="s">
        <v>300</v>
      </c>
      <c r="C610" s="117" t="s">
        <v>2077</v>
      </c>
      <c r="D610" s="117" t="s">
        <v>2078</v>
      </c>
      <c r="E610" s="117" t="s">
        <v>2042</v>
      </c>
      <c r="F610" s="117" t="s">
        <v>1993</v>
      </c>
      <c r="G610" s="117" t="s">
        <v>1994</v>
      </c>
      <c r="H610" s="117" t="s">
        <v>1995</v>
      </c>
      <c r="I610" s="117">
        <v>1.0</v>
      </c>
      <c r="J610" s="117">
        <v>1.0</v>
      </c>
      <c r="K610" s="117" t="str">
        <f t="shared" si="1"/>
        <v>No</v>
      </c>
      <c r="L610" s="118" t="s">
        <v>116</v>
      </c>
      <c r="M610" s="119">
        <v>3.0</v>
      </c>
      <c r="N610" s="120">
        <v>1.0</v>
      </c>
      <c r="O610" s="121">
        <v>91.32</v>
      </c>
      <c r="P610" s="117">
        <v>1.0</v>
      </c>
      <c r="Q610" s="117">
        <f t="shared" si="2"/>
        <v>71</v>
      </c>
      <c r="R610" s="122">
        <f>+(IF(((M610*24)-P610)&lt;0,0,((M610*24)-P610)*'Estimación de pérdidas'!$F$72))*N610</f>
        <v>4095143.319</v>
      </c>
      <c r="S610" s="123" t="s">
        <v>117</v>
      </c>
      <c r="T610" s="124" t="s">
        <v>132</v>
      </c>
      <c r="U610" s="124">
        <f t="shared" si="3"/>
        <v>5</v>
      </c>
      <c r="V610" s="124">
        <v>2.0</v>
      </c>
      <c r="W610" s="124"/>
      <c r="X610" s="125"/>
      <c r="Y610" s="126"/>
      <c r="Z610" s="125">
        <f t="shared" si="4"/>
        <v>5</v>
      </c>
      <c r="AA610" s="127" t="str">
        <f t="shared" si="5"/>
        <v>Moderado</v>
      </c>
      <c r="AB610" s="128">
        <f t="shared" si="6"/>
        <v>15</v>
      </c>
      <c r="AC610" s="129">
        <f t="shared" si="7"/>
        <v>0.09633275663</v>
      </c>
      <c r="AD610" s="131"/>
    </row>
    <row r="611" ht="14.25" hidden="1" customHeight="1">
      <c r="A611" s="116" t="s">
        <v>300</v>
      </c>
      <c r="B611" s="117" t="s">
        <v>300</v>
      </c>
      <c r="C611" s="117" t="s">
        <v>2079</v>
      </c>
      <c r="D611" s="117" t="s">
        <v>2080</v>
      </c>
      <c r="E611" s="117" t="s">
        <v>2081</v>
      </c>
      <c r="F611" s="117" t="s">
        <v>1993</v>
      </c>
      <c r="G611" s="117" t="s">
        <v>1994</v>
      </c>
      <c r="H611" s="117" t="s">
        <v>1995</v>
      </c>
      <c r="I611" s="117">
        <v>1.0</v>
      </c>
      <c r="J611" s="117">
        <v>1.0</v>
      </c>
      <c r="K611" s="117" t="str">
        <f t="shared" si="1"/>
        <v>No</v>
      </c>
      <c r="L611" s="118" t="s">
        <v>116</v>
      </c>
      <c r="M611" s="119">
        <v>3.0</v>
      </c>
      <c r="N611" s="120">
        <v>1.0</v>
      </c>
      <c r="O611" s="121">
        <v>91.32</v>
      </c>
      <c r="P611" s="117">
        <v>1.0</v>
      </c>
      <c r="Q611" s="117">
        <f t="shared" si="2"/>
        <v>71</v>
      </c>
      <c r="R611" s="122">
        <f>+(IF(((M611*24)-P611)&lt;0,0,((M611*24)-P611)*'Estimación de pérdidas'!$F$72))*N611</f>
        <v>4095143.319</v>
      </c>
      <c r="S611" s="123" t="s">
        <v>117</v>
      </c>
      <c r="T611" s="124" t="s">
        <v>132</v>
      </c>
      <c r="U611" s="124">
        <f t="shared" si="3"/>
        <v>5</v>
      </c>
      <c r="V611" s="124">
        <v>2.0</v>
      </c>
      <c r="W611" s="124"/>
      <c r="X611" s="125"/>
      <c r="Y611" s="126"/>
      <c r="Z611" s="125">
        <f t="shared" si="4"/>
        <v>5</v>
      </c>
      <c r="AA611" s="127" t="str">
        <f t="shared" si="5"/>
        <v>Moderado</v>
      </c>
      <c r="AB611" s="128">
        <f t="shared" si="6"/>
        <v>15</v>
      </c>
      <c r="AC611" s="129">
        <f t="shared" si="7"/>
        <v>0.09633275663</v>
      </c>
      <c r="AD611" s="131"/>
    </row>
    <row r="612" ht="14.25" hidden="1" customHeight="1">
      <c r="A612" s="116" t="s">
        <v>300</v>
      </c>
      <c r="B612" s="117" t="s">
        <v>300</v>
      </c>
      <c r="C612" s="117" t="s">
        <v>2054</v>
      </c>
      <c r="D612" s="117" t="s">
        <v>2082</v>
      </c>
      <c r="E612" s="117" t="s">
        <v>2054</v>
      </c>
      <c r="F612" s="117" t="s">
        <v>2056</v>
      </c>
      <c r="G612" s="117" t="s">
        <v>2057</v>
      </c>
      <c r="H612" s="117" t="s">
        <v>2058</v>
      </c>
      <c r="I612" s="117">
        <v>1.0</v>
      </c>
      <c r="J612" s="117">
        <v>1.0</v>
      </c>
      <c r="K612" s="117" t="str">
        <f t="shared" si="1"/>
        <v>No</v>
      </c>
      <c r="L612" s="118" t="s">
        <v>116</v>
      </c>
      <c r="M612" s="119">
        <v>0.5833333333333334</v>
      </c>
      <c r="N612" s="120">
        <v>1.0</v>
      </c>
      <c r="O612" s="121">
        <v>91.32</v>
      </c>
      <c r="P612" s="117">
        <v>1.0</v>
      </c>
      <c r="Q612" s="117">
        <f t="shared" si="2"/>
        <v>13</v>
      </c>
      <c r="R612" s="122">
        <f>+(IF(((M612*24)-P612)&lt;0,0,((M612*24)-P612)*'Estimación de pérdidas'!$F$72))*N612</f>
        <v>749814.9739</v>
      </c>
      <c r="S612" s="123" t="s">
        <v>117</v>
      </c>
      <c r="T612" s="124" t="s">
        <v>132</v>
      </c>
      <c r="U612" s="124">
        <f t="shared" si="3"/>
        <v>4</v>
      </c>
      <c r="V612" s="124">
        <v>1.0</v>
      </c>
      <c r="W612" s="124"/>
      <c r="X612" s="125"/>
      <c r="Y612" s="126"/>
      <c r="Z612" s="125">
        <f t="shared" si="4"/>
        <v>4</v>
      </c>
      <c r="AA612" s="127" t="str">
        <f t="shared" si="5"/>
        <v>Moderado</v>
      </c>
      <c r="AB612" s="128">
        <f t="shared" si="6"/>
        <v>10</v>
      </c>
      <c r="AC612" s="129">
        <f t="shared" si="7"/>
        <v>0.07375635566</v>
      </c>
      <c r="AD612" s="130"/>
    </row>
    <row r="613" ht="14.25" hidden="1" customHeight="1">
      <c r="A613" s="116" t="s">
        <v>300</v>
      </c>
      <c r="B613" s="117" t="s">
        <v>300</v>
      </c>
      <c r="C613" s="117" t="s">
        <v>2083</v>
      </c>
      <c r="D613" s="117" t="s">
        <v>2084</v>
      </c>
      <c r="E613" s="117" t="s">
        <v>2085</v>
      </c>
      <c r="F613" s="117" t="s">
        <v>2086</v>
      </c>
      <c r="G613" s="117" t="s">
        <v>2087</v>
      </c>
      <c r="H613" s="117" t="s">
        <v>2088</v>
      </c>
      <c r="I613" s="117">
        <v>1.0</v>
      </c>
      <c r="J613" s="117">
        <v>1.0</v>
      </c>
      <c r="K613" s="117" t="str">
        <f t="shared" si="1"/>
        <v>No</v>
      </c>
      <c r="L613" s="118" t="s">
        <v>116</v>
      </c>
      <c r="M613" s="119">
        <v>2.0</v>
      </c>
      <c r="N613" s="120">
        <v>1.0</v>
      </c>
      <c r="O613" s="121">
        <v>91.32</v>
      </c>
      <c r="P613" s="117">
        <v>1.0</v>
      </c>
      <c r="Q613" s="117">
        <f t="shared" si="2"/>
        <v>47</v>
      </c>
      <c r="R613" s="122">
        <f>+(IF(((M613*24)-P613)&lt;0,0,((M613*24)-P613)*'Estimación de pérdidas'!$F$72))*N613</f>
        <v>2710869.521</v>
      </c>
      <c r="S613" s="123" t="s">
        <v>117</v>
      </c>
      <c r="T613" s="124" t="s">
        <v>132</v>
      </c>
      <c r="U613" s="124">
        <f t="shared" si="3"/>
        <v>5</v>
      </c>
      <c r="V613" s="124">
        <v>2.0</v>
      </c>
      <c r="W613" s="124"/>
      <c r="X613" s="125"/>
      <c r="Y613" s="126"/>
      <c r="Z613" s="125">
        <f t="shared" si="4"/>
        <v>5</v>
      </c>
      <c r="AA613" s="127" t="str">
        <f t="shared" si="5"/>
        <v>Moderado</v>
      </c>
      <c r="AB613" s="128">
        <f t="shared" si="6"/>
        <v>15</v>
      </c>
      <c r="AC613" s="129">
        <f t="shared" si="7"/>
        <v>0.09633275663</v>
      </c>
      <c r="AD613" s="131"/>
    </row>
    <row r="614" ht="14.25" hidden="1" customHeight="1">
      <c r="A614" s="116" t="s">
        <v>300</v>
      </c>
      <c r="B614" s="117" t="s">
        <v>300</v>
      </c>
      <c r="C614" s="117" t="s">
        <v>2083</v>
      </c>
      <c r="D614" s="117" t="s">
        <v>2089</v>
      </c>
      <c r="E614" s="117" t="s">
        <v>2090</v>
      </c>
      <c r="F614" s="117" t="s">
        <v>2091</v>
      </c>
      <c r="G614" s="117" t="s">
        <v>2087</v>
      </c>
      <c r="H614" s="117" t="s">
        <v>2092</v>
      </c>
      <c r="I614" s="117">
        <v>1.0</v>
      </c>
      <c r="J614" s="117">
        <v>1.0</v>
      </c>
      <c r="K614" s="117" t="str">
        <f t="shared" si="1"/>
        <v>No</v>
      </c>
      <c r="L614" s="118" t="s">
        <v>116</v>
      </c>
      <c r="M614" s="119">
        <v>2.0</v>
      </c>
      <c r="N614" s="120">
        <v>1.0</v>
      </c>
      <c r="O614" s="121">
        <v>91.32</v>
      </c>
      <c r="P614" s="117">
        <v>1.0</v>
      </c>
      <c r="Q614" s="117">
        <f t="shared" si="2"/>
        <v>47</v>
      </c>
      <c r="R614" s="122">
        <f>+(IF(((M614*24)-P614)&lt;0,0,((M614*24)-P614)*'Estimación de pérdidas'!$F$72))*N614</f>
        <v>2710869.521</v>
      </c>
      <c r="S614" s="123" t="s">
        <v>117</v>
      </c>
      <c r="T614" s="124" t="s">
        <v>132</v>
      </c>
      <c r="U614" s="124">
        <f t="shared" si="3"/>
        <v>5</v>
      </c>
      <c r="V614" s="124">
        <v>2.0</v>
      </c>
      <c r="W614" s="124"/>
      <c r="X614" s="125"/>
      <c r="Y614" s="126"/>
      <c r="Z614" s="125">
        <f t="shared" si="4"/>
        <v>5</v>
      </c>
      <c r="AA614" s="127" t="str">
        <f t="shared" si="5"/>
        <v>Moderado</v>
      </c>
      <c r="AB614" s="128">
        <f t="shared" si="6"/>
        <v>15</v>
      </c>
      <c r="AC614" s="129">
        <f t="shared" si="7"/>
        <v>0.09633275663</v>
      </c>
      <c r="AD614" s="131"/>
    </row>
    <row r="615" ht="14.25" hidden="1" customHeight="1">
      <c r="A615" s="116" t="s">
        <v>300</v>
      </c>
      <c r="B615" s="117" t="s">
        <v>300</v>
      </c>
      <c r="C615" s="117" t="s">
        <v>2093</v>
      </c>
      <c r="D615" s="117" t="s">
        <v>2094</v>
      </c>
      <c r="E615" s="117" t="s">
        <v>2093</v>
      </c>
      <c r="F615" s="117" t="s">
        <v>2095</v>
      </c>
      <c r="G615" s="117" t="s">
        <v>2087</v>
      </c>
      <c r="H615" s="117" t="s">
        <v>2096</v>
      </c>
      <c r="I615" s="117">
        <v>1.0</v>
      </c>
      <c r="J615" s="117">
        <v>1.0</v>
      </c>
      <c r="K615" s="117" t="str">
        <f t="shared" si="1"/>
        <v>No</v>
      </c>
      <c r="L615" s="118" t="s">
        <v>116</v>
      </c>
      <c r="M615" s="119">
        <v>2.0</v>
      </c>
      <c r="N615" s="120">
        <v>0.0</v>
      </c>
      <c r="O615" s="121">
        <v>91.32</v>
      </c>
      <c r="P615" s="117">
        <v>1.0</v>
      </c>
      <c r="Q615" s="117">
        <f t="shared" si="2"/>
        <v>0</v>
      </c>
      <c r="R615" s="122">
        <f>+(IF(((M615*24)-P615)&lt;0,0,((M615*24)-P615)*'Estimación de pérdidas'!$F$72))*N615</f>
        <v>0</v>
      </c>
      <c r="S615" s="123" t="s">
        <v>117</v>
      </c>
      <c r="T615" s="124" t="s">
        <v>132</v>
      </c>
      <c r="U615" s="124">
        <f t="shared" si="3"/>
        <v>1</v>
      </c>
      <c r="V615" s="124">
        <v>2.0</v>
      </c>
      <c r="W615" s="124"/>
      <c r="X615" s="125"/>
      <c r="Y615" s="126"/>
      <c r="Z615" s="125">
        <f t="shared" si="4"/>
        <v>2</v>
      </c>
      <c r="AA615" s="127" t="str">
        <f t="shared" si="5"/>
        <v>Bajo</v>
      </c>
      <c r="AB615" s="128">
        <f t="shared" si="6"/>
        <v>3</v>
      </c>
      <c r="AC615" s="129">
        <f t="shared" si="7"/>
        <v>0.04</v>
      </c>
    </row>
    <row r="616" ht="14.25" hidden="1" customHeight="1">
      <c r="A616" s="116" t="s">
        <v>300</v>
      </c>
      <c r="B616" s="117" t="s">
        <v>301</v>
      </c>
      <c r="C616" s="117" t="s">
        <v>2097</v>
      </c>
      <c r="D616" s="117" t="s">
        <v>2098</v>
      </c>
      <c r="E616" s="117" t="s">
        <v>2099</v>
      </c>
      <c r="F616" s="117" t="s">
        <v>2100</v>
      </c>
      <c r="G616" s="117" t="s">
        <v>2101</v>
      </c>
      <c r="H616" s="117" t="s">
        <v>2102</v>
      </c>
      <c r="I616" s="117">
        <v>1.0</v>
      </c>
      <c r="J616" s="117">
        <v>1.0</v>
      </c>
      <c r="K616" s="117" t="str">
        <f t="shared" si="1"/>
        <v>No</v>
      </c>
      <c r="L616" s="118" t="s">
        <v>116</v>
      </c>
      <c r="M616" s="119">
        <v>0.5</v>
      </c>
      <c r="N616" s="120">
        <v>1.0</v>
      </c>
      <c r="O616" s="121">
        <v>91.32</v>
      </c>
      <c r="P616" s="117">
        <v>1.0</v>
      </c>
      <c r="Q616" s="117">
        <f t="shared" si="2"/>
        <v>11</v>
      </c>
      <c r="R616" s="122">
        <f>+(IF(((M616*24)-P616)&lt;0,0,((M616*24)-P616)*'Estimación de pérdidas'!$F$72))*N616</f>
        <v>634458.8241</v>
      </c>
      <c r="S616" s="123" t="s">
        <v>117</v>
      </c>
      <c r="T616" s="124" t="s">
        <v>118</v>
      </c>
      <c r="U616" s="124">
        <f t="shared" si="3"/>
        <v>4</v>
      </c>
      <c r="V616" s="124">
        <v>2.0</v>
      </c>
      <c r="W616" s="124"/>
      <c r="X616" s="125"/>
      <c r="Y616" s="126"/>
      <c r="Z616" s="125">
        <f t="shared" si="4"/>
        <v>4</v>
      </c>
      <c r="AA616" s="127" t="str">
        <f t="shared" si="5"/>
        <v>Moderado</v>
      </c>
      <c r="AB616" s="128">
        <f t="shared" si="6"/>
        <v>14</v>
      </c>
      <c r="AC616" s="129">
        <f t="shared" si="7"/>
        <v>0.16</v>
      </c>
      <c r="AD616" s="130"/>
    </row>
    <row r="617" ht="14.25" hidden="1" customHeight="1">
      <c r="A617" s="116" t="s">
        <v>300</v>
      </c>
      <c r="B617" s="117" t="s">
        <v>301</v>
      </c>
      <c r="C617" s="117" t="s">
        <v>2013</v>
      </c>
      <c r="D617" s="117" t="s">
        <v>2103</v>
      </c>
      <c r="E617" s="117" t="s">
        <v>2104</v>
      </c>
      <c r="F617" s="117" t="s">
        <v>2105</v>
      </c>
      <c r="G617" s="117" t="s">
        <v>1978</v>
      </c>
      <c r="H617" s="117" t="s">
        <v>1984</v>
      </c>
      <c r="I617" s="117">
        <v>1.0</v>
      </c>
      <c r="J617" s="117">
        <v>1.0</v>
      </c>
      <c r="K617" s="117" t="str">
        <f t="shared" si="1"/>
        <v>No</v>
      </c>
      <c r="L617" s="118" t="s">
        <v>116</v>
      </c>
      <c r="M617" s="119">
        <v>2.0</v>
      </c>
      <c r="N617" s="120">
        <v>1.0</v>
      </c>
      <c r="O617" s="121">
        <v>91.32</v>
      </c>
      <c r="P617" s="117">
        <v>1.0</v>
      </c>
      <c r="Q617" s="117">
        <f t="shared" si="2"/>
        <v>47</v>
      </c>
      <c r="R617" s="122">
        <f>+(IF(((M617*24)-P617)&lt;0,0,((M617*24)-P617)*'Estimación de pérdidas'!$F$72))*N617</f>
        <v>2710869.521</v>
      </c>
      <c r="S617" s="123" t="s">
        <v>117</v>
      </c>
      <c r="T617" s="124" t="s">
        <v>132</v>
      </c>
      <c r="U617" s="124">
        <f t="shared" si="3"/>
        <v>5</v>
      </c>
      <c r="V617" s="124">
        <v>2.0</v>
      </c>
      <c r="W617" s="124"/>
      <c r="X617" s="125"/>
      <c r="Y617" s="126"/>
      <c r="Z617" s="125">
        <f t="shared" si="4"/>
        <v>5</v>
      </c>
      <c r="AA617" s="127" t="str">
        <f t="shared" si="5"/>
        <v>Moderado</v>
      </c>
      <c r="AB617" s="128">
        <f t="shared" si="6"/>
        <v>15</v>
      </c>
      <c r="AC617" s="129">
        <f t="shared" si="7"/>
        <v>0.09633275663</v>
      </c>
      <c r="AD617" s="131"/>
    </row>
    <row r="618" ht="14.25" hidden="1" customHeight="1">
      <c r="A618" s="116" t="s">
        <v>300</v>
      </c>
      <c r="B618" s="117" t="s">
        <v>301</v>
      </c>
      <c r="C618" s="117" t="s">
        <v>2106</v>
      </c>
      <c r="D618" s="117" t="s">
        <v>2107</v>
      </c>
      <c r="E618" s="117" t="s">
        <v>2108</v>
      </c>
      <c r="F618" s="117" t="s">
        <v>2109</v>
      </c>
      <c r="G618" s="117" t="s">
        <v>2047</v>
      </c>
      <c r="H618" s="117" t="s">
        <v>2110</v>
      </c>
      <c r="I618" s="117">
        <v>2.0</v>
      </c>
      <c r="J618" s="117">
        <v>1.0</v>
      </c>
      <c r="K618" s="117" t="str">
        <f t="shared" si="1"/>
        <v>Si</v>
      </c>
      <c r="L618" s="118" t="s">
        <v>287</v>
      </c>
      <c r="M618" s="119">
        <v>0.3333333333333333</v>
      </c>
      <c r="N618" s="120">
        <v>0.0</v>
      </c>
      <c r="O618" s="121">
        <v>91.32</v>
      </c>
      <c r="P618" s="117">
        <v>1.0</v>
      </c>
      <c r="Q618" s="117">
        <f t="shared" si="2"/>
        <v>0</v>
      </c>
      <c r="R618" s="122">
        <f>+(IF(((M618*24)-P618)&lt;0,0,((M618*24)-P618)*'Estimación de pérdidas'!$F$72))*N618</f>
        <v>0</v>
      </c>
      <c r="S618" s="123" t="s">
        <v>117</v>
      </c>
      <c r="T618" s="124" t="s">
        <v>119</v>
      </c>
      <c r="U618" s="124">
        <f t="shared" si="3"/>
        <v>1</v>
      </c>
      <c r="V618" s="124">
        <v>2.0</v>
      </c>
      <c r="W618" s="124"/>
      <c r="X618" s="125"/>
      <c r="Y618" s="126"/>
      <c r="Z618" s="125">
        <f t="shared" si="4"/>
        <v>2</v>
      </c>
      <c r="AA618" s="127" t="str">
        <f t="shared" si="5"/>
        <v>Moderado</v>
      </c>
      <c r="AB618" s="128">
        <f t="shared" si="6"/>
        <v>8</v>
      </c>
      <c r="AC618" s="129">
        <f t="shared" si="7"/>
        <v>0.12</v>
      </c>
      <c r="AD618" s="131"/>
    </row>
    <row r="619" ht="14.25" hidden="1" customHeight="1">
      <c r="A619" s="116" t="s">
        <v>300</v>
      </c>
      <c r="B619" s="117" t="s">
        <v>301</v>
      </c>
      <c r="C619" s="117" t="s">
        <v>2111</v>
      </c>
      <c r="D619" s="117" t="s">
        <v>2112</v>
      </c>
      <c r="E619" s="117" t="s">
        <v>2113</v>
      </c>
      <c r="F619" s="117" t="s">
        <v>2114</v>
      </c>
      <c r="G619" s="117" t="s">
        <v>2047</v>
      </c>
      <c r="H619" s="117" t="s">
        <v>2110</v>
      </c>
      <c r="I619" s="117">
        <v>2.0</v>
      </c>
      <c r="J619" s="117">
        <v>1.0</v>
      </c>
      <c r="K619" s="117" t="str">
        <f t="shared" si="1"/>
        <v>Si</v>
      </c>
      <c r="L619" s="118" t="s">
        <v>287</v>
      </c>
      <c r="M619" s="119">
        <v>0.3333333333333333</v>
      </c>
      <c r="N619" s="120">
        <v>0.0</v>
      </c>
      <c r="O619" s="121">
        <v>91.32</v>
      </c>
      <c r="P619" s="117">
        <v>1.0</v>
      </c>
      <c r="Q619" s="117">
        <f t="shared" si="2"/>
        <v>0</v>
      </c>
      <c r="R619" s="122">
        <f>+(IF(((M619*24)-P619)&lt;0,0,((M619*24)-P619)*'Estimación de pérdidas'!$F$72))*N619</f>
        <v>0</v>
      </c>
      <c r="S619" s="123" t="s">
        <v>117</v>
      </c>
      <c r="T619" s="124" t="s">
        <v>119</v>
      </c>
      <c r="U619" s="124">
        <f t="shared" si="3"/>
        <v>1</v>
      </c>
      <c r="V619" s="124">
        <v>2.0</v>
      </c>
      <c r="W619" s="124"/>
      <c r="X619" s="125"/>
      <c r="Y619" s="126"/>
      <c r="Z619" s="125">
        <f t="shared" si="4"/>
        <v>2</v>
      </c>
      <c r="AA619" s="127" t="str">
        <f t="shared" si="5"/>
        <v>Moderado</v>
      </c>
      <c r="AB619" s="128">
        <f t="shared" si="6"/>
        <v>8</v>
      </c>
      <c r="AC619" s="129">
        <f t="shared" si="7"/>
        <v>0.12</v>
      </c>
      <c r="AD619" s="131"/>
    </row>
    <row r="620" ht="14.25" hidden="1" customHeight="1">
      <c r="A620" s="116" t="s">
        <v>300</v>
      </c>
      <c r="B620" s="117" t="s">
        <v>2115</v>
      </c>
      <c r="C620" s="117" t="s">
        <v>2116</v>
      </c>
      <c r="D620" s="117" t="s">
        <v>2117</v>
      </c>
      <c r="E620" s="117" t="s">
        <v>2118</v>
      </c>
      <c r="F620" s="117" t="s">
        <v>2119</v>
      </c>
      <c r="G620" s="117" t="s">
        <v>2120</v>
      </c>
      <c r="H620" s="117" t="s">
        <v>2121</v>
      </c>
      <c r="I620" s="117">
        <v>1.0</v>
      </c>
      <c r="J620" s="117">
        <v>1.0</v>
      </c>
      <c r="K620" s="117" t="str">
        <f t="shared" si="1"/>
        <v>No</v>
      </c>
      <c r="L620" s="118" t="s">
        <v>116</v>
      </c>
      <c r="M620" s="119">
        <v>0.25</v>
      </c>
      <c r="N620" s="120">
        <v>1.0</v>
      </c>
      <c r="O620" s="121">
        <v>91.32</v>
      </c>
      <c r="P620" s="117">
        <v>1.0</v>
      </c>
      <c r="Q620" s="117">
        <f t="shared" si="2"/>
        <v>5</v>
      </c>
      <c r="R620" s="122">
        <f>+(IF(((M620*24)-P620)&lt;0,0,((M620*24)-P620)*'Estimación de pérdidas'!$F$72))*N620</f>
        <v>288390.3746</v>
      </c>
      <c r="S620" s="123" t="s">
        <v>117</v>
      </c>
      <c r="T620" s="124" t="s">
        <v>119</v>
      </c>
      <c r="U620" s="124">
        <f t="shared" si="3"/>
        <v>3</v>
      </c>
      <c r="V620" s="124">
        <v>1.0</v>
      </c>
      <c r="W620" s="124"/>
      <c r="X620" s="125"/>
      <c r="Y620" s="126"/>
      <c r="Z620" s="125">
        <f t="shared" si="4"/>
        <v>3</v>
      </c>
      <c r="AA620" s="127" t="str">
        <f t="shared" si="5"/>
        <v>Moderado</v>
      </c>
      <c r="AB620" s="128">
        <f t="shared" si="6"/>
        <v>13</v>
      </c>
      <c r="AC620" s="129">
        <f t="shared" si="7"/>
        <v>0.1697056275</v>
      </c>
      <c r="AD620" s="131"/>
    </row>
    <row r="621" ht="14.25" hidden="1" customHeight="1">
      <c r="A621" s="116" t="s">
        <v>300</v>
      </c>
      <c r="B621" s="117" t="s">
        <v>2115</v>
      </c>
      <c r="C621" s="117" t="s">
        <v>2122</v>
      </c>
      <c r="D621" s="117" t="s">
        <v>2123</v>
      </c>
      <c r="E621" s="117" t="s">
        <v>2124</v>
      </c>
      <c r="F621" s="117" t="s">
        <v>2125</v>
      </c>
      <c r="G621" s="117" t="s">
        <v>2120</v>
      </c>
      <c r="H621" s="117" t="s">
        <v>2121</v>
      </c>
      <c r="I621" s="117">
        <v>1.0</v>
      </c>
      <c r="J621" s="117">
        <v>1.0</v>
      </c>
      <c r="K621" s="117" t="str">
        <f t="shared" si="1"/>
        <v>No</v>
      </c>
      <c r="L621" s="118" t="s">
        <v>116</v>
      </c>
      <c r="M621" s="119">
        <v>0.25</v>
      </c>
      <c r="N621" s="120">
        <v>1.0</v>
      </c>
      <c r="O621" s="121">
        <v>91.32</v>
      </c>
      <c r="P621" s="117">
        <v>1.0</v>
      </c>
      <c r="Q621" s="117">
        <f t="shared" si="2"/>
        <v>5</v>
      </c>
      <c r="R621" s="122">
        <f>+(IF(((M621*24)-P621)&lt;0,0,((M621*24)-P621)*'Estimación de pérdidas'!$F$72))*N621</f>
        <v>288390.3746</v>
      </c>
      <c r="S621" s="123" t="s">
        <v>117</v>
      </c>
      <c r="T621" s="124" t="s">
        <v>119</v>
      </c>
      <c r="U621" s="124">
        <f t="shared" si="3"/>
        <v>3</v>
      </c>
      <c r="V621" s="124">
        <v>1.0</v>
      </c>
      <c r="W621" s="124"/>
      <c r="X621" s="125"/>
      <c r="Y621" s="126"/>
      <c r="Z621" s="125">
        <f t="shared" si="4"/>
        <v>3</v>
      </c>
      <c r="AA621" s="127" t="str">
        <f t="shared" si="5"/>
        <v>Moderado</v>
      </c>
      <c r="AB621" s="128">
        <f t="shared" si="6"/>
        <v>13</v>
      </c>
      <c r="AC621" s="129">
        <f t="shared" si="7"/>
        <v>0.1697056275</v>
      </c>
      <c r="AD621" s="131"/>
    </row>
    <row r="622" ht="14.25" hidden="1" customHeight="1">
      <c r="A622" s="116" t="s">
        <v>300</v>
      </c>
      <c r="B622" s="117" t="s">
        <v>2115</v>
      </c>
      <c r="C622" s="117" t="s">
        <v>2126</v>
      </c>
      <c r="D622" s="117" t="s">
        <v>2127</v>
      </c>
      <c r="E622" s="117" t="s">
        <v>2128</v>
      </c>
      <c r="F622" s="117" t="s">
        <v>2129</v>
      </c>
      <c r="G622" s="117" t="s">
        <v>2120</v>
      </c>
      <c r="H622" s="117" t="s">
        <v>2121</v>
      </c>
      <c r="I622" s="117">
        <v>1.0</v>
      </c>
      <c r="J622" s="117">
        <v>1.0</v>
      </c>
      <c r="K622" s="117" t="str">
        <f t="shared" si="1"/>
        <v>No</v>
      </c>
      <c r="L622" s="118" t="s">
        <v>116</v>
      </c>
      <c r="M622" s="119">
        <v>0.25</v>
      </c>
      <c r="N622" s="120">
        <v>1.0</v>
      </c>
      <c r="O622" s="121">
        <v>91.32</v>
      </c>
      <c r="P622" s="117">
        <v>1.0</v>
      </c>
      <c r="Q622" s="117">
        <f t="shared" si="2"/>
        <v>5</v>
      </c>
      <c r="R622" s="122">
        <f>+(IF(((M622*24)-P622)&lt;0,0,((M622*24)-P622)*'Estimación de pérdidas'!$F$72))*N622</f>
        <v>288390.3746</v>
      </c>
      <c r="S622" s="123" t="s">
        <v>117</v>
      </c>
      <c r="T622" s="124" t="s">
        <v>119</v>
      </c>
      <c r="U622" s="124">
        <f t="shared" si="3"/>
        <v>3</v>
      </c>
      <c r="V622" s="124">
        <v>1.0</v>
      </c>
      <c r="W622" s="124"/>
      <c r="X622" s="125"/>
      <c r="Y622" s="126"/>
      <c r="Z622" s="125">
        <f t="shared" si="4"/>
        <v>3</v>
      </c>
      <c r="AA622" s="127" t="str">
        <f t="shared" si="5"/>
        <v>Moderado</v>
      </c>
      <c r="AB622" s="128">
        <f t="shared" si="6"/>
        <v>13</v>
      </c>
      <c r="AC622" s="129">
        <f t="shared" si="7"/>
        <v>0.1697056275</v>
      </c>
      <c r="AD622" s="131"/>
    </row>
    <row r="623" ht="14.25" hidden="1" customHeight="1">
      <c r="A623" s="116" t="s">
        <v>300</v>
      </c>
      <c r="B623" s="117" t="s">
        <v>2115</v>
      </c>
      <c r="C623" s="117" t="s">
        <v>2126</v>
      </c>
      <c r="D623" s="117" t="s">
        <v>2130</v>
      </c>
      <c r="E623" s="117" t="s">
        <v>2131</v>
      </c>
      <c r="F623" s="117" t="s">
        <v>2132</v>
      </c>
      <c r="G623" s="117" t="s">
        <v>2120</v>
      </c>
      <c r="H623" s="117" t="s">
        <v>2121</v>
      </c>
      <c r="I623" s="117">
        <v>1.0</v>
      </c>
      <c r="J623" s="117">
        <v>1.0</v>
      </c>
      <c r="K623" s="117" t="str">
        <f t="shared" si="1"/>
        <v>No</v>
      </c>
      <c r="L623" s="118" t="s">
        <v>116</v>
      </c>
      <c r="M623" s="119">
        <v>0.25</v>
      </c>
      <c r="N623" s="120">
        <v>1.0</v>
      </c>
      <c r="O623" s="121">
        <v>91.32</v>
      </c>
      <c r="P623" s="117">
        <v>1.0</v>
      </c>
      <c r="Q623" s="117">
        <f t="shared" si="2"/>
        <v>5</v>
      </c>
      <c r="R623" s="122">
        <f>+(IF(((M623*24)-P623)&lt;0,0,((M623*24)-P623)*'Estimación de pérdidas'!$F$72))*N623</f>
        <v>288390.3746</v>
      </c>
      <c r="S623" s="123" t="s">
        <v>117</v>
      </c>
      <c r="T623" s="124" t="s">
        <v>119</v>
      </c>
      <c r="U623" s="124">
        <f t="shared" si="3"/>
        <v>3</v>
      </c>
      <c r="V623" s="124">
        <v>1.0</v>
      </c>
      <c r="W623" s="124"/>
      <c r="X623" s="125"/>
      <c r="Y623" s="126"/>
      <c r="Z623" s="125">
        <f t="shared" si="4"/>
        <v>3</v>
      </c>
      <c r="AA623" s="127" t="str">
        <f t="shared" si="5"/>
        <v>Moderado</v>
      </c>
      <c r="AB623" s="128">
        <f t="shared" si="6"/>
        <v>13</v>
      </c>
      <c r="AC623" s="129">
        <f t="shared" si="7"/>
        <v>0.1697056275</v>
      </c>
      <c r="AD623" s="131"/>
    </row>
    <row r="624" ht="14.25" hidden="1" customHeight="1">
      <c r="A624" s="116" t="s">
        <v>300</v>
      </c>
      <c r="B624" s="117" t="s">
        <v>2115</v>
      </c>
      <c r="C624" s="117" t="s">
        <v>2133</v>
      </c>
      <c r="D624" s="117" t="s">
        <v>2134</v>
      </c>
      <c r="E624" s="117" t="s">
        <v>2133</v>
      </c>
      <c r="F624" s="117" t="s">
        <v>2135</v>
      </c>
      <c r="G624" s="117" t="s">
        <v>2136</v>
      </c>
      <c r="H624" s="117" t="s">
        <v>2137</v>
      </c>
      <c r="I624" s="117">
        <v>1.0</v>
      </c>
      <c r="J624" s="117">
        <v>1.0</v>
      </c>
      <c r="K624" s="117" t="str">
        <f t="shared" si="1"/>
        <v>No</v>
      </c>
      <c r="L624" s="118" t="s">
        <v>116</v>
      </c>
      <c r="M624" s="119">
        <v>0.3333333333333333</v>
      </c>
      <c r="N624" s="120">
        <v>0.0</v>
      </c>
      <c r="O624" s="121"/>
      <c r="P624" s="117">
        <v>0.0</v>
      </c>
      <c r="Q624" s="117">
        <f t="shared" si="2"/>
        <v>0</v>
      </c>
      <c r="R624" s="122">
        <f>+(IF(((M624*24)-P624)&lt;0,0,((M624*24)-P624)*'Estimación de pérdidas'!$F$72))*N624</f>
        <v>0</v>
      </c>
      <c r="S624" s="123" t="s">
        <v>117</v>
      </c>
      <c r="T624" s="124" t="s">
        <v>118</v>
      </c>
      <c r="U624" s="124">
        <f t="shared" si="3"/>
        <v>1</v>
      </c>
      <c r="V624" s="124">
        <v>1.0</v>
      </c>
      <c r="W624" s="124"/>
      <c r="X624" s="125"/>
      <c r="Y624" s="126"/>
      <c r="Z624" s="125">
        <f t="shared" si="4"/>
        <v>1</v>
      </c>
      <c r="AA624" s="127" t="str">
        <f t="shared" si="5"/>
        <v>Bajo</v>
      </c>
      <c r="AB624" s="128">
        <f t="shared" si="6"/>
        <v>2</v>
      </c>
      <c r="AC624" s="129">
        <f t="shared" si="7"/>
        <v>0.05059644256</v>
      </c>
    </row>
    <row r="625" ht="14.25" hidden="1" customHeight="1">
      <c r="A625" s="116" t="s">
        <v>300</v>
      </c>
      <c r="B625" s="117" t="s">
        <v>2115</v>
      </c>
      <c r="C625" s="117" t="s">
        <v>2138</v>
      </c>
      <c r="D625" s="117" t="s">
        <v>2139</v>
      </c>
      <c r="E625" s="117" t="s">
        <v>2140</v>
      </c>
      <c r="F625" s="117" t="s">
        <v>2141</v>
      </c>
      <c r="G625" s="117" t="s">
        <v>2047</v>
      </c>
      <c r="H625" s="117" t="s">
        <v>2142</v>
      </c>
      <c r="I625" s="117">
        <v>1.0</v>
      </c>
      <c r="J625" s="117">
        <v>1.0</v>
      </c>
      <c r="K625" s="117" t="str">
        <f t="shared" si="1"/>
        <v>No</v>
      </c>
      <c r="L625" s="118" t="s">
        <v>116</v>
      </c>
      <c r="M625" s="119">
        <v>0.3333333333333333</v>
      </c>
      <c r="N625" s="120">
        <v>1.0</v>
      </c>
      <c r="O625" s="121">
        <v>91.32</v>
      </c>
      <c r="P625" s="117">
        <v>1.0</v>
      </c>
      <c r="Q625" s="117">
        <f t="shared" si="2"/>
        <v>7</v>
      </c>
      <c r="R625" s="122">
        <f>+(IF(((M625*24)-P625)&lt;0,0,((M625*24)-P625)*'Estimación de pérdidas'!$F$72))*N625</f>
        <v>403746.5244</v>
      </c>
      <c r="S625" s="123" t="s">
        <v>117</v>
      </c>
      <c r="T625" s="124" t="s">
        <v>119</v>
      </c>
      <c r="U625" s="124">
        <f t="shared" si="3"/>
        <v>3</v>
      </c>
      <c r="V625" s="124">
        <v>2.0</v>
      </c>
      <c r="W625" s="124"/>
      <c r="X625" s="125"/>
      <c r="Y625" s="126"/>
      <c r="Z625" s="125">
        <f t="shared" si="4"/>
        <v>3</v>
      </c>
      <c r="AA625" s="127" t="str">
        <f t="shared" si="5"/>
        <v>Moderado</v>
      </c>
      <c r="AB625" s="128">
        <f t="shared" si="6"/>
        <v>13</v>
      </c>
      <c r="AC625" s="129">
        <f t="shared" si="7"/>
        <v>0.193494186</v>
      </c>
      <c r="AD625" s="131"/>
    </row>
    <row r="626" ht="14.25" hidden="1" customHeight="1">
      <c r="A626" s="116" t="s">
        <v>300</v>
      </c>
      <c r="B626" s="117" t="s">
        <v>2115</v>
      </c>
      <c r="C626" s="117" t="s">
        <v>2143</v>
      </c>
      <c r="D626" s="117" t="s">
        <v>2144</v>
      </c>
      <c r="E626" s="117" t="s">
        <v>2145</v>
      </c>
      <c r="F626" s="117" t="s">
        <v>2146</v>
      </c>
      <c r="G626" s="117" t="s">
        <v>2047</v>
      </c>
      <c r="H626" s="117" t="s">
        <v>2142</v>
      </c>
      <c r="I626" s="117">
        <v>1.0</v>
      </c>
      <c r="J626" s="117">
        <v>1.0</v>
      </c>
      <c r="K626" s="117" t="str">
        <f t="shared" si="1"/>
        <v>No</v>
      </c>
      <c r="L626" s="118" t="s">
        <v>116</v>
      </c>
      <c r="M626" s="119">
        <v>0.3333333333333333</v>
      </c>
      <c r="N626" s="120">
        <v>1.0</v>
      </c>
      <c r="O626" s="121">
        <v>91.32</v>
      </c>
      <c r="P626" s="117">
        <v>1.0</v>
      </c>
      <c r="Q626" s="117">
        <f t="shared" si="2"/>
        <v>7</v>
      </c>
      <c r="R626" s="122">
        <f>+(IF(((M626*24)-P626)&lt;0,0,((M626*24)-P626)*'Estimación de pérdidas'!$F$72))*N626</f>
        <v>403746.5244</v>
      </c>
      <c r="S626" s="123" t="s">
        <v>117</v>
      </c>
      <c r="T626" s="124" t="s">
        <v>119</v>
      </c>
      <c r="U626" s="124">
        <f t="shared" si="3"/>
        <v>3</v>
      </c>
      <c r="V626" s="124">
        <v>2.0</v>
      </c>
      <c r="W626" s="124"/>
      <c r="X626" s="125"/>
      <c r="Y626" s="126"/>
      <c r="Z626" s="125">
        <f t="shared" si="4"/>
        <v>3</v>
      </c>
      <c r="AA626" s="127" t="str">
        <f t="shared" si="5"/>
        <v>Moderado</v>
      </c>
      <c r="AB626" s="128">
        <f t="shared" si="6"/>
        <v>13</v>
      </c>
      <c r="AC626" s="129">
        <f t="shared" si="7"/>
        <v>0.193494186</v>
      </c>
      <c r="AD626" s="131"/>
    </row>
    <row r="627" ht="14.25" hidden="1" customHeight="1">
      <c r="A627" s="116" t="s">
        <v>300</v>
      </c>
      <c r="B627" s="117" t="s">
        <v>2115</v>
      </c>
      <c r="C627" s="117" t="s">
        <v>2147</v>
      </c>
      <c r="D627" s="117" t="s">
        <v>2148</v>
      </c>
      <c r="E627" s="117" t="s">
        <v>2149</v>
      </c>
      <c r="F627" s="117" t="s">
        <v>2150</v>
      </c>
      <c r="G627" s="117" t="s">
        <v>2047</v>
      </c>
      <c r="H627" s="117" t="s">
        <v>2142</v>
      </c>
      <c r="I627" s="117">
        <v>1.0</v>
      </c>
      <c r="J627" s="117">
        <v>1.0</v>
      </c>
      <c r="K627" s="117" t="str">
        <f t="shared" si="1"/>
        <v>No</v>
      </c>
      <c r="L627" s="118" t="s">
        <v>116</v>
      </c>
      <c r="M627" s="119">
        <v>0.3333333333333333</v>
      </c>
      <c r="N627" s="120">
        <v>1.0</v>
      </c>
      <c r="O627" s="121">
        <v>91.32</v>
      </c>
      <c r="P627" s="117">
        <v>1.0</v>
      </c>
      <c r="Q627" s="117">
        <f t="shared" si="2"/>
        <v>7</v>
      </c>
      <c r="R627" s="122">
        <f>+(IF(((M627*24)-P627)&lt;0,0,((M627*24)-P627)*'Estimación de pérdidas'!$F$72))*N627</f>
        <v>403746.5244</v>
      </c>
      <c r="S627" s="123" t="s">
        <v>117</v>
      </c>
      <c r="T627" s="124" t="s">
        <v>119</v>
      </c>
      <c r="U627" s="124">
        <f t="shared" si="3"/>
        <v>3</v>
      </c>
      <c r="V627" s="124">
        <v>2.0</v>
      </c>
      <c r="W627" s="124"/>
      <c r="X627" s="125"/>
      <c r="Y627" s="126"/>
      <c r="Z627" s="125">
        <f t="shared" si="4"/>
        <v>3</v>
      </c>
      <c r="AA627" s="127" t="str">
        <f t="shared" si="5"/>
        <v>Moderado</v>
      </c>
      <c r="AB627" s="128">
        <f t="shared" si="6"/>
        <v>13</v>
      </c>
      <c r="AC627" s="129">
        <f t="shared" si="7"/>
        <v>0.193494186</v>
      </c>
      <c r="AD627" s="131"/>
    </row>
    <row r="628" ht="14.25" hidden="1" customHeight="1">
      <c r="A628" s="116" t="s">
        <v>300</v>
      </c>
      <c r="B628" s="117" t="s">
        <v>2115</v>
      </c>
      <c r="C628" s="117" t="s">
        <v>2151</v>
      </c>
      <c r="D628" s="117" t="s">
        <v>2152</v>
      </c>
      <c r="E628" s="117" t="s">
        <v>2153</v>
      </c>
      <c r="F628" s="117" t="s">
        <v>2154</v>
      </c>
      <c r="G628" s="117" t="s">
        <v>2047</v>
      </c>
      <c r="H628" s="117" t="s">
        <v>2142</v>
      </c>
      <c r="I628" s="117">
        <v>1.0</v>
      </c>
      <c r="J628" s="117">
        <v>1.0</v>
      </c>
      <c r="K628" s="117" t="str">
        <f t="shared" si="1"/>
        <v>No</v>
      </c>
      <c r="L628" s="118" t="s">
        <v>116</v>
      </c>
      <c r="M628" s="119">
        <v>0.3333333333333333</v>
      </c>
      <c r="N628" s="120">
        <v>1.0</v>
      </c>
      <c r="O628" s="121">
        <v>91.32</v>
      </c>
      <c r="P628" s="117">
        <v>1.0</v>
      </c>
      <c r="Q628" s="117">
        <f t="shared" si="2"/>
        <v>7</v>
      </c>
      <c r="R628" s="122">
        <f>+(IF(((M628*24)-P628)&lt;0,0,((M628*24)-P628)*'Estimación de pérdidas'!$F$72))*N628</f>
        <v>403746.5244</v>
      </c>
      <c r="S628" s="123" t="s">
        <v>117</v>
      </c>
      <c r="T628" s="124" t="s">
        <v>119</v>
      </c>
      <c r="U628" s="124">
        <f t="shared" si="3"/>
        <v>3</v>
      </c>
      <c r="V628" s="124">
        <v>2.0</v>
      </c>
      <c r="W628" s="124"/>
      <c r="X628" s="125"/>
      <c r="Y628" s="126"/>
      <c r="Z628" s="125">
        <f t="shared" si="4"/>
        <v>3</v>
      </c>
      <c r="AA628" s="127" t="str">
        <f t="shared" si="5"/>
        <v>Moderado</v>
      </c>
      <c r="AB628" s="128">
        <f t="shared" si="6"/>
        <v>13</v>
      </c>
      <c r="AC628" s="129">
        <f t="shared" si="7"/>
        <v>0.193494186</v>
      </c>
      <c r="AD628" s="131"/>
    </row>
    <row r="629" ht="14.25" hidden="1" customHeight="1">
      <c r="A629" s="116" t="s">
        <v>480</v>
      </c>
      <c r="B629" s="117" t="s">
        <v>480</v>
      </c>
      <c r="C629" s="117" t="s">
        <v>2077</v>
      </c>
      <c r="D629" s="117" t="s">
        <v>2155</v>
      </c>
      <c r="E629" s="117" t="s">
        <v>2042</v>
      </c>
      <c r="F629" s="117" t="s">
        <v>1993</v>
      </c>
      <c r="G629" s="117" t="s">
        <v>1994</v>
      </c>
      <c r="H629" s="117" t="s">
        <v>1995</v>
      </c>
      <c r="I629" s="117">
        <v>1.0</v>
      </c>
      <c r="J629" s="117">
        <v>1.0</v>
      </c>
      <c r="K629" s="117" t="str">
        <f t="shared" si="1"/>
        <v>No</v>
      </c>
      <c r="L629" s="118" t="s">
        <v>116</v>
      </c>
      <c r="M629" s="119">
        <v>3.0</v>
      </c>
      <c r="N629" s="120">
        <v>1.0</v>
      </c>
      <c r="O629" s="121">
        <v>91.32</v>
      </c>
      <c r="P629" s="117">
        <v>1.0</v>
      </c>
      <c r="Q629" s="117">
        <f t="shared" si="2"/>
        <v>71</v>
      </c>
      <c r="R629" s="122">
        <f>+(IF(((M629*24)-P629)&lt;0,0,((M629*24)-P629)*'Estimación de pérdidas'!$F$72))*N629</f>
        <v>4095143.319</v>
      </c>
      <c r="S629" s="123" t="s">
        <v>117</v>
      </c>
      <c r="T629" s="124" t="s">
        <v>132</v>
      </c>
      <c r="U629" s="124">
        <f t="shared" si="3"/>
        <v>5</v>
      </c>
      <c r="V629" s="124">
        <v>2.0</v>
      </c>
      <c r="W629" s="124"/>
      <c r="X629" s="125"/>
      <c r="Y629" s="126"/>
      <c r="Z629" s="125">
        <f t="shared" si="4"/>
        <v>5</v>
      </c>
      <c r="AA629" s="127" t="str">
        <f t="shared" si="5"/>
        <v>Moderado</v>
      </c>
      <c r="AB629" s="128">
        <f t="shared" si="6"/>
        <v>15</v>
      </c>
      <c r="AC629" s="129">
        <f t="shared" si="7"/>
        <v>0.09633275663</v>
      </c>
      <c r="AD629" s="131"/>
    </row>
    <row r="630" ht="14.25" hidden="1" customHeight="1">
      <c r="A630" s="116" t="s">
        <v>480</v>
      </c>
      <c r="B630" s="117" t="s">
        <v>480</v>
      </c>
      <c r="C630" s="117" t="s">
        <v>2077</v>
      </c>
      <c r="D630" s="117" t="s">
        <v>2156</v>
      </c>
      <c r="E630" s="117" t="s">
        <v>2042</v>
      </c>
      <c r="F630" s="117" t="s">
        <v>1993</v>
      </c>
      <c r="G630" s="117" t="s">
        <v>1994</v>
      </c>
      <c r="H630" s="117" t="s">
        <v>1995</v>
      </c>
      <c r="I630" s="117">
        <v>1.0</v>
      </c>
      <c r="J630" s="117">
        <v>1.0</v>
      </c>
      <c r="K630" s="117" t="str">
        <f t="shared" si="1"/>
        <v>No</v>
      </c>
      <c r="L630" s="118" t="s">
        <v>116</v>
      </c>
      <c r="M630" s="119">
        <v>3.0</v>
      </c>
      <c r="N630" s="120">
        <v>1.0</v>
      </c>
      <c r="O630" s="121">
        <v>91.32</v>
      </c>
      <c r="P630" s="117">
        <v>1.0</v>
      </c>
      <c r="Q630" s="117">
        <f t="shared" si="2"/>
        <v>71</v>
      </c>
      <c r="R630" s="122">
        <f>+(IF(((M630*24)-P630)&lt;0,0,((M630*24)-P630)*'Estimación de pérdidas'!$F$72))*N630</f>
        <v>4095143.319</v>
      </c>
      <c r="S630" s="123" t="s">
        <v>117</v>
      </c>
      <c r="T630" s="124" t="s">
        <v>132</v>
      </c>
      <c r="U630" s="124">
        <f t="shared" si="3"/>
        <v>5</v>
      </c>
      <c r="V630" s="124">
        <v>2.0</v>
      </c>
      <c r="W630" s="124"/>
      <c r="X630" s="125"/>
      <c r="Y630" s="126"/>
      <c r="Z630" s="125">
        <f t="shared" si="4"/>
        <v>5</v>
      </c>
      <c r="AA630" s="127" t="str">
        <f t="shared" si="5"/>
        <v>Moderado</v>
      </c>
      <c r="AB630" s="128">
        <f t="shared" si="6"/>
        <v>15</v>
      </c>
      <c r="AC630" s="129">
        <f t="shared" si="7"/>
        <v>0.09633275663</v>
      </c>
      <c r="AD630" s="131"/>
    </row>
    <row r="631" ht="14.25" hidden="1" customHeight="1">
      <c r="A631" s="116" t="s">
        <v>480</v>
      </c>
      <c r="B631" s="117" t="s">
        <v>481</v>
      </c>
      <c r="C631" s="117" t="s">
        <v>2157</v>
      </c>
      <c r="D631" s="117" t="s">
        <v>2158</v>
      </c>
      <c r="E631" s="117" t="s">
        <v>2159</v>
      </c>
      <c r="F631" s="117" t="s">
        <v>2160</v>
      </c>
      <c r="G631" s="117" t="s">
        <v>2047</v>
      </c>
      <c r="H631" s="117" t="s">
        <v>2161</v>
      </c>
      <c r="I631" s="117">
        <v>2.0</v>
      </c>
      <c r="J631" s="117">
        <v>1.0</v>
      </c>
      <c r="K631" s="117" t="str">
        <f t="shared" si="1"/>
        <v>Si</v>
      </c>
      <c r="L631" s="118" t="s">
        <v>287</v>
      </c>
      <c r="M631" s="119">
        <v>0.3333333333333333</v>
      </c>
      <c r="N631" s="120">
        <v>0.0</v>
      </c>
      <c r="O631" s="121">
        <v>91.32</v>
      </c>
      <c r="P631" s="117">
        <v>1.0</v>
      </c>
      <c r="Q631" s="117">
        <f t="shared" si="2"/>
        <v>0</v>
      </c>
      <c r="R631" s="122">
        <f>+(IF(((M631*24)-P631)&lt;0,0,((M631*24)-P631)*'Estimación de pérdidas'!$F$72))*N631</f>
        <v>0</v>
      </c>
      <c r="S631" s="123" t="s">
        <v>117</v>
      </c>
      <c r="T631" s="124" t="s">
        <v>119</v>
      </c>
      <c r="U631" s="124">
        <f t="shared" si="3"/>
        <v>1</v>
      </c>
      <c r="V631" s="124">
        <v>2.0</v>
      </c>
      <c r="W631" s="124"/>
      <c r="X631" s="125"/>
      <c r="Y631" s="126"/>
      <c r="Z631" s="125">
        <f t="shared" si="4"/>
        <v>2</v>
      </c>
      <c r="AA631" s="127" t="str">
        <f t="shared" si="5"/>
        <v>Moderado</v>
      </c>
      <c r="AB631" s="128">
        <f t="shared" si="6"/>
        <v>8</v>
      </c>
      <c r="AC631" s="129">
        <f t="shared" si="7"/>
        <v>0.12</v>
      </c>
      <c r="AD631" s="131"/>
    </row>
    <row r="632" ht="14.25" hidden="1" customHeight="1">
      <c r="A632" s="116" t="s">
        <v>480</v>
      </c>
      <c r="B632" s="117" t="s">
        <v>481</v>
      </c>
      <c r="C632" s="117" t="s">
        <v>2162</v>
      </c>
      <c r="D632" s="117" t="s">
        <v>2163</v>
      </c>
      <c r="E632" s="117" t="s">
        <v>2164</v>
      </c>
      <c r="F632" s="117" t="s">
        <v>2165</v>
      </c>
      <c r="G632" s="117" t="s">
        <v>2047</v>
      </c>
      <c r="H632" s="117" t="s">
        <v>2161</v>
      </c>
      <c r="I632" s="117">
        <v>2.0</v>
      </c>
      <c r="J632" s="117">
        <v>1.0</v>
      </c>
      <c r="K632" s="117" t="str">
        <f t="shared" si="1"/>
        <v>Si</v>
      </c>
      <c r="L632" s="118" t="s">
        <v>287</v>
      </c>
      <c r="M632" s="119">
        <v>0.3333333333333333</v>
      </c>
      <c r="N632" s="120">
        <v>0.0</v>
      </c>
      <c r="O632" s="121">
        <v>91.32</v>
      </c>
      <c r="P632" s="117">
        <v>1.0</v>
      </c>
      <c r="Q632" s="117">
        <f t="shared" si="2"/>
        <v>0</v>
      </c>
      <c r="R632" s="122">
        <f>+(IF(((M632*24)-P632)&lt;0,0,((M632*24)-P632)*'Estimación de pérdidas'!$F$72))*N632</f>
        <v>0</v>
      </c>
      <c r="S632" s="123" t="s">
        <v>117</v>
      </c>
      <c r="T632" s="124" t="s">
        <v>119</v>
      </c>
      <c r="U632" s="124">
        <f t="shared" si="3"/>
        <v>1</v>
      </c>
      <c r="V632" s="124">
        <v>2.0</v>
      </c>
      <c r="W632" s="124"/>
      <c r="X632" s="125"/>
      <c r="Y632" s="126"/>
      <c r="Z632" s="125">
        <f t="shared" si="4"/>
        <v>2</v>
      </c>
      <c r="AA632" s="127" t="str">
        <f t="shared" si="5"/>
        <v>Moderado</v>
      </c>
      <c r="AB632" s="128">
        <f t="shared" si="6"/>
        <v>8</v>
      </c>
      <c r="AC632" s="129">
        <f t="shared" si="7"/>
        <v>0.12</v>
      </c>
      <c r="AD632" s="131"/>
    </row>
    <row r="633" ht="14.25" hidden="1" customHeight="1">
      <c r="A633" s="116" t="s">
        <v>539</v>
      </c>
      <c r="B633" s="117" t="s">
        <v>539</v>
      </c>
      <c r="C633" s="117" t="s">
        <v>2077</v>
      </c>
      <c r="D633" s="117" t="s">
        <v>2166</v>
      </c>
      <c r="E633" s="117" t="s">
        <v>2042</v>
      </c>
      <c r="F633" s="117" t="s">
        <v>1993</v>
      </c>
      <c r="G633" s="117" t="s">
        <v>1994</v>
      </c>
      <c r="H633" s="117" t="s">
        <v>1995</v>
      </c>
      <c r="I633" s="117">
        <v>1.0</v>
      </c>
      <c r="J633" s="117">
        <v>1.0</v>
      </c>
      <c r="K633" s="117" t="str">
        <f t="shared" si="1"/>
        <v>No</v>
      </c>
      <c r="L633" s="118" t="s">
        <v>116</v>
      </c>
      <c r="M633" s="119">
        <v>3.0</v>
      </c>
      <c r="N633" s="120">
        <v>1.0</v>
      </c>
      <c r="O633" s="121">
        <v>91.32</v>
      </c>
      <c r="P633" s="117">
        <v>1.0</v>
      </c>
      <c r="Q633" s="117">
        <f t="shared" si="2"/>
        <v>71</v>
      </c>
      <c r="R633" s="122">
        <f>+(IF(((M633*24)-P633)&lt;0,0,((M633*24)-P633)*'Estimación de pérdidas'!$F$72))*N633</f>
        <v>4095143.319</v>
      </c>
      <c r="S633" s="123" t="s">
        <v>117</v>
      </c>
      <c r="T633" s="124" t="s">
        <v>132</v>
      </c>
      <c r="U633" s="124">
        <f t="shared" si="3"/>
        <v>5</v>
      </c>
      <c r="V633" s="124">
        <v>2.0</v>
      </c>
      <c r="W633" s="124"/>
      <c r="X633" s="125"/>
      <c r="Y633" s="126"/>
      <c r="Z633" s="125">
        <f t="shared" si="4"/>
        <v>5</v>
      </c>
      <c r="AA633" s="127" t="str">
        <f t="shared" si="5"/>
        <v>Moderado</v>
      </c>
      <c r="AB633" s="128">
        <f t="shared" si="6"/>
        <v>15</v>
      </c>
      <c r="AC633" s="129">
        <f t="shared" si="7"/>
        <v>0.09633275663</v>
      </c>
      <c r="AD633" s="131"/>
    </row>
    <row r="634" ht="14.25" hidden="1" customHeight="1">
      <c r="A634" s="116" t="s">
        <v>539</v>
      </c>
      <c r="B634" s="117" t="s">
        <v>539</v>
      </c>
      <c r="C634" s="117" t="s">
        <v>2077</v>
      </c>
      <c r="D634" s="117" t="s">
        <v>2167</v>
      </c>
      <c r="E634" s="117" t="s">
        <v>2042</v>
      </c>
      <c r="F634" s="117" t="s">
        <v>1993</v>
      </c>
      <c r="G634" s="117" t="s">
        <v>1994</v>
      </c>
      <c r="H634" s="117" t="s">
        <v>1995</v>
      </c>
      <c r="I634" s="117">
        <v>1.0</v>
      </c>
      <c r="J634" s="117">
        <v>1.0</v>
      </c>
      <c r="K634" s="117" t="str">
        <f t="shared" si="1"/>
        <v>No</v>
      </c>
      <c r="L634" s="118" t="s">
        <v>116</v>
      </c>
      <c r="M634" s="119">
        <v>3.0</v>
      </c>
      <c r="N634" s="120">
        <v>1.0</v>
      </c>
      <c r="O634" s="121">
        <v>91.32</v>
      </c>
      <c r="P634" s="117">
        <v>1.0</v>
      </c>
      <c r="Q634" s="117">
        <f t="shared" si="2"/>
        <v>71</v>
      </c>
      <c r="R634" s="122">
        <f>+(IF(((M634*24)-P634)&lt;0,0,((M634*24)-P634)*'Estimación de pérdidas'!$F$72))*N634</f>
        <v>4095143.319</v>
      </c>
      <c r="S634" s="123" t="s">
        <v>117</v>
      </c>
      <c r="T634" s="124" t="s">
        <v>132</v>
      </c>
      <c r="U634" s="124">
        <f t="shared" si="3"/>
        <v>5</v>
      </c>
      <c r="V634" s="124">
        <v>2.0</v>
      </c>
      <c r="W634" s="124"/>
      <c r="X634" s="125"/>
      <c r="Y634" s="126"/>
      <c r="Z634" s="125">
        <f t="shared" si="4"/>
        <v>5</v>
      </c>
      <c r="AA634" s="127" t="str">
        <f t="shared" si="5"/>
        <v>Moderado</v>
      </c>
      <c r="AB634" s="128">
        <f t="shared" si="6"/>
        <v>15</v>
      </c>
      <c r="AC634" s="129">
        <f t="shared" si="7"/>
        <v>0.09633275663</v>
      </c>
      <c r="AD634" s="131"/>
    </row>
    <row r="635" ht="14.25" hidden="1" customHeight="1">
      <c r="A635" s="116" t="s">
        <v>539</v>
      </c>
      <c r="B635" s="117" t="s">
        <v>540</v>
      </c>
      <c r="C635" s="117" t="s">
        <v>2168</v>
      </c>
      <c r="D635" s="117" t="s">
        <v>2169</v>
      </c>
      <c r="E635" s="117" t="s">
        <v>2170</v>
      </c>
      <c r="F635" s="117" t="s">
        <v>2171</v>
      </c>
      <c r="G635" s="117" t="s">
        <v>2047</v>
      </c>
      <c r="H635" s="117" t="s">
        <v>2161</v>
      </c>
      <c r="I635" s="117">
        <v>2.0</v>
      </c>
      <c r="J635" s="117">
        <v>1.0</v>
      </c>
      <c r="K635" s="117" t="str">
        <f t="shared" si="1"/>
        <v>Si</v>
      </c>
      <c r="L635" s="118" t="s">
        <v>287</v>
      </c>
      <c r="M635" s="119">
        <v>0.3333333333333333</v>
      </c>
      <c r="N635" s="120">
        <v>0.0</v>
      </c>
      <c r="O635" s="121">
        <v>91.32</v>
      </c>
      <c r="P635" s="117">
        <v>1.0</v>
      </c>
      <c r="Q635" s="117">
        <f t="shared" si="2"/>
        <v>0</v>
      </c>
      <c r="R635" s="122">
        <f>+(IF(((M635*24)-P635)&lt;0,0,((M635*24)-P635)*'Estimación de pérdidas'!$F$72))*N635</f>
        <v>0</v>
      </c>
      <c r="S635" s="123" t="s">
        <v>117</v>
      </c>
      <c r="T635" s="124" t="s">
        <v>119</v>
      </c>
      <c r="U635" s="124">
        <f t="shared" si="3"/>
        <v>1</v>
      </c>
      <c r="V635" s="124">
        <v>2.0</v>
      </c>
      <c r="W635" s="124"/>
      <c r="X635" s="125"/>
      <c r="Y635" s="126"/>
      <c r="Z635" s="125">
        <f t="shared" si="4"/>
        <v>2</v>
      </c>
      <c r="AA635" s="127" t="str">
        <f t="shared" si="5"/>
        <v>Moderado</v>
      </c>
      <c r="AB635" s="128">
        <f t="shared" si="6"/>
        <v>8</v>
      </c>
      <c r="AC635" s="129">
        <f t="shared" si="7"/>
        <v>0.12</v>
      </c>
      <c r="AD635" s="131"/>
    </row>
    <row r="636" ht="14.25" hidden="1" customHeight="1">
      <c r="A636" s="116" t="s">
        <v>539</v>
      </c>
      <c r="B636" s="117" t="s">
        <v>540</v>
      </c>
      <c r="C636" s="117" t="s">
        <v>2172</v>
      </c>
      <c r="D636" s="117" t="s">
        <v>2173</v>
      </c>
      <c r="E636" s="117" t="s">
        <v>2174</v>
      </c>
      <c r="F636" s="117" t="s">
        <v>2175</v>
      </c>
      <c r="G636" s="117" t="s">
        <v>2047</v>
      </c>
      <c r="H636" s="117" t="s">
        <v>2161</v>
      </c>
      <c r="I636" s="117">
        <v>2.0</v>
      </c>
      <c r="J636" s="117">
        <v>1.0</v>
      </c>
      <c r="K636" s="117" t="str">
        <f t="shared" si="1"/>
        <v>Si</v>
      </c>
      <c r="L636" s="118" t="s">
        <v>287</v>
      </c>
      <c r="M636" s="119">
        <v>0.3333333333333333</v>
      </c>
      <c r="N636" s="120">
        <v>0.0</v>
      </c>
      <c r="O636" s="121">
        <v>91.32</v>
      </c>
      <c r="P636" s="117">
        <v>1.0</v>
      </c>
      <c r="Q636" s="117">
        <f t="shared" si="2"/>
        <v>0</v>
      </c>
      <c r="R636" s="122">
        <f>+(IF(((M636*24)-P636)&lt;0,0,((M636*24)-P636)*'Estimación de pérdidas'!$F$72))*N636</f>
        <v>0</v>
      </c>
      <c r="S636" s="123" t="s">
        <v>117</v>
      </c>
      <c r="T636" s="124" t="s">
        <v>119</v>
      </c>
      <c r="U636" s="124">
        <f t="shared" si="3"/>
        <v>1</v>
      </c>
      <c r="V636" s="124">
        <v>2.0</v>
      </c>
      <c r="W636" s="124"/>
      <c r="X636" s="125"/>
      <c r="Y636" s="126"/>
      <c r="Z636" s="125">
        <f t="shared" si="4"/>
        <v>2</v>
      </c>
      <c r="AA636" s="127" t="str">
        <f t="shared" si="5"/>
        <v>Moderado</v>
      </c>
      <c r="AB636" s="128">
        <f t="shared" si="6"/>
        <v>8</v>
      </c>
      <c r="AC636" s="129">
        <f t="shared" si="7"/>
        <v>0.12</v>
      </c>
      <c r="AD636" s="131"/>
    </row>
    <row r="637" ht="14.25" hidden="1" customHeight="1">
      <c r="A637" s="116" t="s">
        <v>539</v>
      </c>
      <c r="B637" s="117" t="s">
        <v>540</v>
      </c>
      <c r="C637" s="117" t="s">
        <v>2176</v>
      </c>
      <c r="D637" s="117" t="s">
        <v>2177</v>
      </c>
      <c r="E637" s="117" t="s">
        <v>2178</v>
      </c>
      <c r="F637" s="117" t="s">
        <v>2179</v>
      </c>
      <c r="G637" s="117" t="s">
        <v>2047</v>
      </c>
      <c r="H637" s="117" t="s">
        <v>2161</v>
      </c>
      <c r="I637" s="117">
        <v>2.0</v>
      </c>
      <c r="J637" s="117">
        <v>1.0</v>
      </c>
      <c r="K637" s="117" t="str">
        <f t="shared" si="1"/>
        <v>Si</v>
      </c>
      <c r="L637" s="118" t="s">
        <v>287</v>
      </c>
      <c r="M637" s="119">
        <v>0.3333333333333333</v>
      </c>
      <c r="N637" s="120">
        <v>0.0</v>
      </c>
      <c r="O637" s="121">
        <v>91.32</v>
      </c>
      <c r="P637" s="117">
        <v>1.0</v>
      </c>
      <c r="Q637" s="117">
        <f t="shared" si="2"/>
        <v>0</v>
      </c>
      <c r="R637" s="122">
        <f>+(IF(((M637*24)-P637)&lt;0,0,((M637*24)-P637)*'Estimación de pérdidas'!$F$72))*N637</f>
        <v>0</v>
      </c>
      <c r="S637" s="123" t="s">
        <v>117</v>
      </c>
      <c r="T637" s="124" t="s">
        <v>119</v>
      </c>
      <c r="U637" s="124">
        <f t="shared" si="3"/>
        <v>1</v>
      </c>
      <c r="V637" s="124">
        <v>2.0</v>
      </c>
      <c r="W637" s="124"/>
      <c r="X637" s="125"/>
      <c r="Y637" s="126"/>
      <c r="Z637" s="125">
        <f t="shared" si="4"/>
        <v>2</v>
      </c>
      <c r="AA637" s="127" t="str">
        <f t="shared" si="5"/>
        <v>Moderado</v>
      </c>
      <c r="AB637" s="128">
        <f t="shared" si="6"/>
        <v>8</v>
      </c>
      <c r="AC637" s="129">
        <f t="shared" si="7"/>
        <v>0.12</v>
      </c>
      <c r="AD637" s="131"/>
    </row>
    <row r="638" ht="14.25" hidden="1" customHeight="1">
      <c r="A638" s="116" t="s">
        <v>539</v>
      </c>
      <c r="B638" s="117" t="s">
        <v>540</v>
      </c>
      <c r="C638" s="117" t="s">
        <v>2180</v>
      </c>
      <c r="D638" s="117" t="s">
        <v>2181</v>
      </c>
      <c r="E638" s="117" t="s">
        <v>2182</v>
      </c>
      <c r="F638" s="117" t="s">
        <v>2183</v>
      </c>
      <c r="G638" s="117" t="s">
        <v>2047</v>
      </c>
      <c r="H638" s="117" t="s">
        <v>2161</v>
      </c>
      <c r="I638" s="117">
        <v>2.0</v>
      </c>
      <c r="J638" s="117">
        <v>1.0</v>
      </c>
      <c r="K638" s="117" t="str">
        <f t="shared" si="1"/>
        <v>Si</v>
      </c>
      <c r="L638" s="118" t="s">
        <v>287</v>
      </c>
      <c r="M638" s="119">
        <v>0.3333333333333333</v>
      </c>
      <c r="N638" s="120">
        <v>0.0</v>
      </c>
      <c r="O638" s="121">
        <v>91.32</v>
      </c>
      <c r="P638" s="117">
        <v>1.0</v>
      </c>
      <c r="Q638" s="117">
        <f t="shared" si="2"/>
        <v>0</v>
      </c>
      <c r="R638" s="122">
        <f>+(IF(((M638*24)-P638)&lt;0,0,((M638*24)-P638)*'Estimación de pérdidas'!$F$72))*N638</f>
        <v>0</v>
      </c>
      <c r="S638" s="123" t="s">
        <v>117</v>
      </c>
      <c r="T638" s="124" t="s">
        <v>119</v>
      </c>
      <c r="U638" s="124">
        <f t="shared" si="3"/>
        <v>1</v>
      </c>
      <c r="V638" s="124">
        <v>2.0</v>
      </c>
      <c r="W638" s="124"/>
      <c r="X638" s="125"/>
      <c r="Y638" s="126"/>
      <c r="Z638" s="125">
        <f t="shared" si="4"/>
        <v>2</v>
      </c>
      <c r="AA638" s="127" t="str">
        <f t="shared" si="5"/>
        <v>Moderado</v>
      </c>
      <c r="AB638" s="128">
        <f t="shared" si="6"/>
        <v>8</v>
      </c>
      <c r="AC638" s="129">
        <f t="shared" si="7"/>
        <v>0.12</v>
      </c>
      <c r="AD638" s="131"/>
    </row>
    <row r="639" ht="14.25" hidden="1" customHeight="1">
      <c r="A639" s="116" t="s">
        <v>539</v>
      </c>
      <c r="B639" s="117" t="s">
        <v>575</v>
      </c>
      <c r="C639" s="117" t="s">
        <v>2184</v>
      </c>
      <c r="D639" s="117" t="s">
        <v>2185</v>
      </c>
      <c r="E639" s="117" t="s">
        <v>2186</v>
      </c>
      <c r="F639" s="117" t="s">
        <v>2187</v>
      </c>
      <c r="G639" s="117" t="s">
        <v>2047</v>
      </c>
      <c r="H639" s="117" t="s">
        <v>2161</v>
      </c>
      <c r="I639" s="117">
        <v>2.0</v>
      </c>
      <c r="J639" s="117">
        <v>1.0</v>
      </c>
      <c r="K639" s="117" t="str">
        <f t="shared" si="1"/>
        <v>Si</v>
      </c>
      <c r="L639" s="118" t="s">
        <v>287</v>
      </c>
      <c r="M639" s="119">
        <v>0.3333333333333333</v>
      </c>
      <c r="N639" s="120">
        <v>0.0</v>
      </c>
      <c r="O639" s="121">
        <v>91.32</v>
      </c>
      <c r="P639" s="117">
        <v>1.0</v>
      </c>
      <c r="Q639" s="117">
        <f t="shared" si="2"/>
        <v>0</v>
      </c>
      <c r="R639" s="122">
        <f>+(IF(((M639*24)-P639)&lt;0,0,((M639*24)-P639)*'Estimación de pérdidas'!$F$72))*N639</f>
        <v>0</v>
      </c>
      <c r="S639" s="123" t="s">
        <v>117</v>
      </c>
      <c r="T639" s="124" t="s">
        <v>119</v>
      </c>
      <c r="U639" s="124">
        <f t="shared" si="3"/>
        <v>1</v>
      </c>
      <c r="V639" s="124">
        <v>2.0</v>
      </c>
      <c r="W639" s="124"/>
      <c r="X639" s="125"/>
      <c r="Y639" s="126"/>
      <c r="Z639" s="125">
        <f t="shared" si="4"/>
        <v>2</v>
      </c>
      <c r="AA639" s="127" t="str">
        <f t="shared" si="5"/>
        <v>Moderado</v>
      </c>
      <c r="AB639" s="128">
        <f t="shared" si="6"/>
        <v>8</v>
      </c>
      <c r="AC639" s="129">
        <f t="shared" si="7"/>
        <v>0.12</v>
      </c>
      <c r="AD639" s="131"/>
    </row>
    <row r="640" ht="14.25" hidden="1" customHeight="1">
      <c r="A640" s="116" t="s">
        <v>539</v>
      </c>
      <c r="B640" s="117" t="s">
        <v>575</v>
      </c>
      <c r="C640" s="117" t="s">
        <v>2188</v>
      </c>
      <c r="D640" s="117" t="s">
        <v>2189</v>
      </c>
      <c r="E640" s="117" t="s">
        <v>2190</v>
      </c>
      <c r="F640" s="117" t="s">
        <v>2191</v>
      </c>
      <c r="G640" s="117" t="s">
        <v>2047</v>
      </c>
      <c r="H640" s="117" t="s">
        <v>2161</v>
      </c>
      <c r="I640" s="117">
        <v>2.0</v>
      </c>
      <c r="J640" s="117">
        <v>1.0</v>
      </c>
      <c r="K640" s="117" t="str">
        <f t="shared" si="1"/>
        <v>Si</v>
      </c>
      <c r="L640" s="118" t="s">
        <v>287</v>
      </c>
      <c r="M640" s="119">
        <v>0.3333333333333333</v>
      </c>
      <c r="N640" s="120">
        <v>0.0</v>
      </c>
      <c r="O640" s="121">
        <v>91.32</v>
      </c>
      <c r="P640" s="117">
        <v>1.0</v>
      </c>
      <c r="Q640" s="117">
        <f t="shared" si="2"/>
        <v>0</v>
      </c>
      <c r="R640" s="122">
        <f>+(IF(((M640*24)-P640)&lt;0,0,((M640*24)-P640)*'Estimación de pérdidas'!$F$72))*N640</f>
        <v>0</v>
      </c>
      <c r="S640" s="123" t="s">
        <v>117</v>
      </c>
      <c r="T640" s="124" t="s">
        <v>119</v>
      </c>
      <c r="U640" s="124">
        <f t="shared" si="3"/>
        <v>1</v>
      </c>
      <c r="V640" s="124">
        <v>2.0</v>
      </c>
      <c r="W640" s="124"/>
      <c r="X640" s="125"/>
      <c r="Y640" s="126"/>
      <c r="Z640" s="125">
        <f t="shared" si="4"/>
        <v>2</v>
      </c>
      <c r="AA640" s="127" t="str">
        <f t="shared" si="5"/>
        <v>Moderado</v>
      </c>
      <c r="AB640" s="128">
        <f t="shared" si="6"/>
        <v>8</v>
      </c>
      <c r="AC640" s="129">
        <f t="shared" si="7"/>
        <v>0.12</v>
      </c>
      <c r="AD640" s="131"/>
    </row>
    <row r="641" ht="14.25" hidden="1" customHeight="1">
      <c r="A641" s="116" t="s">
        <v>300</v>
      </c>
      <c r="B641" s="117" t="s">
        <v>301</v>
      </c>
      <c r="C641" s="117" t="s">
        <v>2192</v>
      </c>
      <c r="D641" s="117" t="s">
        <v>2193</v>
      </c>
      <c r="E641" s="117" t="s">
        <v>2194</v>
      </c>
      <c r="F641" s="117" t="s">
        <v>2195</v>
      </c>
      <c r="G641" s="117" t="s">
        <v>2196</v>
      </c>
      <c r="H641" s="117" t="s">
        <v>2197</v>
      </c>
      <c r="I641" s="117">
        <v>1.0</v>
      </c>
      <c r="J641" s="117">
        <v>1.0</v>
      </c>
      <c r="K641" s="117" t="str">
        <f t="shared" si="1"/>
        <v>No</v>
      </c>
      <c r="L641" s="118" t="s">
        <v>116</v>
      </c>
      <c r="M641" s="119">
        <v>0.25</v>
      </c>
      <c r="N641" s="120">
        <v>1.0</v>
      </c>
      <c r="O641" s="121">
        <v>91.32</v>
      </c>
      <c r="P641" s="117">
        <v>1.0</v>
      </c>
      <c r="Q641" s="117">
        <f t="shared" si="2"/>
        <v>5</v>
      </c>
      <c r="R641" s="122">
        <f>+(IF(((M641*24)-P641)&lt;0,0,((M641*24)-P641)*'Estimación de pérdidas'!$F$72))*N641</f>
        <v>288390.3746</v>
      </c>
      <c r="S641" s="123" t="s">
        <v>117</v>
      </c>
      <c r="T641" s="124" t="s">
        <v>119</v>
      </c>
      <c r="U641" s="124">
        <f t="shared" si="3"/>
        <v>3</v>
      </c>
      <c r="V641" s="124">
        <v>2.0</v>
      </c>
      <c r="W641" s="124"/>
      <c r="X641" s="125"/>
      <c r="Y641" s="126"/>
      <c r="Z641" s="125">
        <f t="shared" si="4"/>
        <v>3</v>
      </c>
      <c r="AA641" s="127" t="str">
        <f t="shared" si="5"/>
        <v>Moderado</v>
      </c>
      <c r="AB641" s="128">
        <f t="shared" si="6"/>
        <v>13</v>
      </c>
      <c r="AC641" s="129">
        <f t="shared" si="7"/>
        <v>0.193494186</v>
      </c>
      <c r="AD641" s="131"/>
    </row>
    <row r="642" ht="14.25" hidden="1" customHeight="1">
      <c r="A642" s="116" t="s">
        <v>300</v>
      </c>
      <c r="B642" s="117" t="s">
        <v>331</v>
      </c>
      <c r="C642" s="117" t="s">
        <v>2198</v>
      </c>
      <c r="D642" s="117" t="s">
        <v>2199</v>
      </c>
      <c r="E642" s="117" t="s">
        <v>2200</v>
      </c>
      <c r="F642" s="117" t="s">
        <v>2201</v>
      </c>
      <c r="G642" s="117" t="s">
        <v>2196</v>
      </c>
      <c r="H642" s="117" t="s">
        <v>2202</v>
      </c>
      <c r="I642" s="117">
        <v>1.0</v>
      </c>
      <c r="J642" s="117">
        <v>1.0</v>
      </c>
      <c r="K642" s="117" t="str">
        <f t="shared" si="1"/>
        <v>No</v>
      </c>
      <c r="L642" s="118" t="s">
        <v>116</v>
      </c>
      <c r="M642" s="119">
        <v>0.25</v>
      </c>
      <c r="N642" s="120">
        <v>1.0</v>
      </c>
      <c r="O642" s="121">
        <v>91.32</v>
      </c>
      <c r="P642" s="117">
        <v>1.0</v>
      </c>
      <c r="Q642" s="117">
        <f t="shared" si="2"/>
        <v>5</v>
      </c>
      <c r="R642" s="122">
        <f>+(IF(((M642*24)-P642)&lt;0,0,((M642*24)-P642)*'Estimación de pérdidas'!$F$72))*N642</f>
        <v>288390.3746</v>
      </c>
      <c r="S642" s="123" t="s">
        <v>117</v>
      </c>
      <c r="T642" s="124" t="s">
        <v>119</v>
      </c>
      <c r="U642" s="124">
        <f t="shared" si="3"/>
        <v>3</v>
      </c>
      <c r="V642" s="124">
        <v>2.0</v>
      </c>
      <c r="W642" s="124"/>
      <c r="X642" s="125"/>
      <c r="Y642" s="126"/>
      <c r="Z642" s="125">
        <f t="shared" si="4"/>
        <v>3</v>
      </c>
      <c r="AA642" s="127" t="str">
        <f t="shared" si="5"/>
        <v>Moderado</v>
      </c>
      <c r="AB642" s="128">
        <f t="shared" si="6"/>
        <v>13</v>
      </c>
      <c r="AC642" s="129">
        <f t="shared" si="7"/>
        <v>0.193494186</v>
      </c>
      <c r="AD642" s="131"/>
    </row>
    <row r="643" ht="14.25" hidden="1" customHeight="1">
      <c r="A643" s="116" t="s">
        <v>300</v>
      </c>
      <c r="B643" s="117" t="s">
        <v>300</v>
      </c>
      <c r="C643" s="117" t="s">
        <v>1996</v>
      </c>
      <c r="D643" s="117" t="s">
        <v>2203</v>
      </c>
      <c r="E643" s="117" t="s">
        <v>1996</v>
      </c>
      <c r="F643" s="117" t="s">
        <v>1998</v>
      </c>
      <c r="G643" s="117" t="s">
        <v>1999</v>
      </c>
      <c r="H643" s="117" t="s">
        <v>2204</v>
      </c>
      <c r="I643" s="117">
        <v>1.0</v>
      </c>
      <c r="J643" s="117">
        <v>1.0</v>
      </c>
      <c r="K643" s="117" t="str">
        <f t="shared" si="1"/>
        <v>No</v>
      </c>
      <c r="L643" s="118" t="s">
        <v>116</v>
      </c>
      <c r="M643" s="119">
        <v>0.25</v>
      </c>
      <c r="N643" s="120">
        <v>1.0</v>
      </c>
      <c r="O643" s="121">
        <v>91.32</v>
      </c>
      <c r="P643" s="117">
        <v>1.0</v>
      </c>
      <c r="Q643" s="117">
        <f t="shared" si="2"/>
        <v>5</v>
      </c>
      <c r="R643" s="122">
        <f>+(IF(((M643*24)-P643)&lt;0,0,((M643*24)-P643)*'Estimación de pérdidas'!$F$72))*N643</f>
        <v>288390.3746</v>
      </c>
      <c r="S643" s="123" t="s">
        <v>272</v>
      </c>
      <c r="T643" s="124" t="s">
        <v>119</v>
      </c>
      <c r="U643" s="124">
        <f t="shared" si="3"/>
        <v>3</v>
      </c>
      <c r="V643" s="124">
        <v>2.0</v>
      </c>
      <c r="W643" s="124"/>
      <c r="X643" s="125"/>
      <c r="Y643" s="126"/>
      <c r="Z643" s="125">
        <f t="shared" si="4"/>
        <v>3</v>
      </c>
      <c r="AA643" s="127" t="str">
        <f t="shared" si="5"/>
        <v>Moderado</v>
      </c>
      <c r="AB643" s="128">
        <f t="shared" si="6"/>
        <v>13</v>
      </c>
      <c r="AC643" s="129">
        <f t="shared" si="7"/>
        <v>0.193494186</v>
      </c>
      <c r="AD643" s="131"/>
    </row>
    <row r="644" ht="14.25" hidden="1" customHeight="1">
      <c r="A644" s="116" t="s">
        <v>300</v>
      </c>
      <c r="B644" s="117" t="s">
        <v>300</v>
      </c>
      <c r="C644" s="117" t="s">
        <v>2205</v>
      </c>
      <c r="D644" s="117" t="s">
        <v>2206</v>
      </c>
      <c r="E644" s="117" t="s">
        <v>2207</v>
      </c>
      <c r="F644" s="117" t="s">
        <v>2208</v>
      </c>
      <c r="G644" s="117" t="s">
        <v>2209</v>
      </c>
      <c r="H644" s="117" t="s">
        <v>2210</v>
      </c>
      <c r="I644" s="117">
        <v>1.0</v>
      </c>
      <c r="J644" s="117">
        <v>1.0</v>
      </c>
      <c r="K644" s="117" t="str">
        <f t="shared" si="1"/>
        <v>No</v>
      </c>
      <c r="L644" s="118" t="s">
        <v>116</v>
      </c>
      <c r="M644" s="119">
        <v>0.25</v>
      </c>
      <c r="N644" s="120">
        <v>1.0</v>
      </c>
      <c r="O644" s="121">
        <v>91.32</v>
      </c>
      <c r="P644" s="117">
        <v>1.0</v>
      </c>
      <c r="Q644" s="117">
        <f t="shared" si="2"/>
        <v>5</v>
      </c>
      <c r="R644" s="122">
        <f>+(IF(((M644*24)-P644)&lt;0,0,((M644*24)-P644)*'Estimación de pérdidas'!$F$72))*N644</f>
        <v>288390.3746</v>
      </c>
      <c r="S644" s="123" t="s">
        <v>272</v>
      </c>
      <c r="T644" s="124" t="s">
        <v>118</v>
      </c>
      <c r="U644" s="124">
        <f t="shared" si="3"/>
        <v>3</v>
      </c>
      <c r="V644" s="124">
        <v>1.0</v>
      </c>
      <c r="W644" s="124"/>
      <c r="X644" s="125"/>
      <c r="Y644" s="126"/>
      <c r="Z644" s="125">
        <f t="shared" si="4"/>
        <v>3</v>
      </c>
      <c r="AA644" s="127" t="str">
        <f t="shared" si="5"/>
        <v>Moderado</v>
      </c>
      <c r="AB644" s="128">
        <f t="shared" si="6"/>
        <v>9</v>
      </c>
      <c r="AC644" s="129">
        <f t="shared" si="7"/>
        <v>0.113137085</v>
      </c>
      <c r="AD644" s="131"/>
    </row>
    <row r="645" ht="14.25" hidden="1" customHeight="1">
      <c r="A645" s="116" t="s">
        <v>539</v>
      </c>
      <c r="B645" s="117" t="s">
        <v>855</v>
      </c>
      <c r="C645" s="117" t="s">
        <v>2211</v>
      </c>
      <c r="D645" s="117" t="s">
        <v>2212</v>
      </c>
      <c r="E645" s="117" t="s">
        <v>2213</v>
      </c>
      <c r="F645" s="117" t="s">
        <v>2214</v>
      </c>
      <c r="G645" s="117" t="s">
        <v>2215</v>
      </c>
      <c r="H645" s="117" t="s">
        <v>2216</v>
      </c>
      <c r="I645" s="117">
        <v>9.0</v>
      </c>
      <c r="J645" s="117">
        <v>8.0</v>
      </c>
      <c r="K645" s="117" t="str">
        <f t="shared" si="1"/>
        <v>Si</v>
      </c>
      <c r="L645" s="118" t="s">
        <v>1631</v>
      </c>
      <c r="M645" s="119">
        <v>1.0</v>
      </c>
      <c r="N645" s="120">
        <v>0.025</v>
      </c>
      <c r="O645" s="121">
        <v>91.32</v>
      </c>
      <c r="P645" s="117">
        <v>1.0</v>
      </c>
      <c r="Q645" s="117">
        <f t="shared" si="2"/>
        <v>0.575</v>
      </c>
      <c r="R645" s="122">
        <f>+(IF(((M645*24)-P645)&lt;0,0,((M645*24)-P645)*'Estimación de pérdidas'!$F$72))*N645</f>
        <v>33164.89308</v>
      </c>
      <c r="S645" s="123" t="s">
        <v>117</v>
      </c>
      <c r="T645" s="124" t="s">
        <v>119</v>
      </c>
      <c r="U645" s="124">
        <f t="shared" si="3"/>
        <v>1</v>
      </c>
      <c r="V645" s="124">
        <v>1.0</v>
      </c>
      <c r="W645" s="124"/>
      <c r="X645" s="125"/>
      <c r="Y645" s="126"/>
      <c r="Z645" s="125">
        <f t="shared" si="4"/>
        <v>1</v>
      </c>
      <c r="AA645" s="127" t="str">
        <f t="shared" si="5"/>
        <v>Bajo</v>
      </c>
      <c r="AB645" s="128">
        <f t="shared" si="6"/>
        <v>4</v>
      </c>
      <c r="AC645" s="129">
        <f t="shared" si="7"/>
        <v>0.07589466384</v>
      </c>
      <c r="AD645" s="130"/>
    </row>
    <row r="646" ht="14.25" hidden="1" customHeight="1">
      <c r="A646" s="116" t="s">
        <v>539</v>
      </c>
      <c r="B646" s="117" t="s">
        <v>855</v>
      </c>
      <c r="C646" s="117" t="s">
        <v>2211</v>
      </c>
      <c r="D646" s="117" t="s">
        <v>2217</v>
      </c>
      <c r="E646" s="117" t="s">
        <v>2218</v>
      </c>
      <c r="F646" s="117" t="s">
        <v>2219</v>
      </c>
      <c r="G646" s="117" t="s">
        <v>2215</v>
      </c>
      <c r="H646" s="117" t="s">
        <v>2216</v>
      </c>
      <c r="I646" s="117">
        <v>9.0</v>
      </c>
      <c r="J646" s="117">
        <v>8.0</v>
      </c>
      <c r="K646" s="117" t="str">
        <f t="shared" si="1"/>
        <v>Si</v>
      </c>
      <c r="L646" s="118" t="s">
        <v>1631</v>
      </c>
      <c r="M646" s="119">
        <v>1.0</v>
      </c>
      <c r="N646" s="120">
        <v>0.025</v>
      </c>
      <c r="O646" s="121">
        <v>91.32</v>
      </c>
      <c r="P646" s="117">
        <v>1.0</v>
      </c>
      <c r="Q646" s="117">
        <f t="shared" si="2"/>
        <v>0.575</v>
      </c>
      <c r="R646" s="122">
        <f>+(IF(((M646*24)-P646)&lt;0,0,((M646*24)-P646)*'Estimación de pérdidas'!$F$72))*N646</f>
        <v>33164.89308</v>
      </c>
      <c r="S646" s="123" t="s">
        <v>117</v>
      </c>
      <c r="T646" s="124" t="s">
        <v>119</v>
      </c>
      <c r="U646" s="124">
        <f t="shared" si="3"/>
        <v>1</v>
      </c>
      <c r="V646" s="124">
        <v>1.0</v>
      </c>
      <c r="W646" s="124"/>
      <c r="X646" s="125"/>
      <c r="Y646" s="126"/>
      <c r="Z646" s="125">
        <f t="shared" si="4"/>
        <v>1</v>
      </c>
      <c r="AA646" s="127" t="str">
        <f t="shared" si="5"/>
        <v>Bajo</v>
      </c>
      <c r="AB646" s="128">
        <f t="shared" si="6"/>
        <v>4</v>
      </c>
      <c r="AC646" s="129">
        <f t="shared" si="7"/>
        <v>0.07589466384</v>
      </c>
      <c r="AD646" s="130"/>
    </row>
    <row r="647" ht="14.25" hidden="1" customHeight="1">
      <c r="A647" s="116" t="s">
        <v>539</v>
      </c>
      <c r="B647" s="117" t="s">
        <v>855</v>
      </c>
      <c r="C647" s="117" t="s">
        <v>2211</v>
      </c>
      <c r="D647" s="117" t="s">
        <v>2220</v>
      </c>
      <c r="E647" s="117" t="s">
        <v>2221</v>
      </c>
      <c r="F647" s="117" t="s">
        <v>2222</v>
      </c>
      <c r="G647" s="117" t="s">
        <v>2215</v>
      </c>
      <c r="H647" s="117" t="s">
        <v>2216</v>
      </c>
      <c r="I647" s="117">
        <v>9.0</v>
      </c>
      <c r="J647" s="117">
        <v>8.0</v>
      </c>
      <c r="K647" s="117" t="str">
        <f t="shared" si="1"/>
        <v>Si</v>
      </c>
      <c r="L647" s="118" t="s">
        <v>1631</v>
      </c>
      <c r="M647" s="119">
        <v>1.0</v>
      </c>
      <c r="N647" s="120">
        <v>0.025</v>
      </c>
      <c r="O647" s="121">
        <v>91.32</v>
      </c>
      <c r="P647" s="117">
        <v>1.0</v>
      </c>
      <c r="Q647" s="117">
        <f t="shared" si="2"/>
        <v>0.575</v>
      </c>
      <c r="R647" s="122">
        <f>+(IF(((M647*24)-P647)&lt;0,0,((M647*24)-P647)*'Estimación de pérdidas'!$F$72))*N647</f>
        <v>33164.89308</v>
      </c>
      <c r="S647" s="123" t="s">
        <v>117</v>
      </c>
      <c r="T647" s="124" t="s">
        <v>119</v>
      </c>
      <c r="U647" s="124">
        <f t="shared" si="3"/>
        <v>1</v>
      </c>
      <c r="V647" s="124">
        <v>1.0</v>
      </c>
      <c r="W647" s="124"/>
      <c r="X647" s="125"/>
      <c r="Y647" s="126"/>
      <c r="Z647" s="125">
        <f t="shared" si="4"/>
        <v>1</v>
      </c>
      <c r="AA647" s="127" t="str">
        <f t="shared" si="5"/>
        <v>Bajo</v>
      </c>
      <c r="AB647" s="128">
        <f t="shared" si="6"/>
        <v>4</v>
      </c>
      <c r="AC647" s="129">
        <f t="shared" si="7"/>
        <v>0.07589466384</v>
      </c>
      <c r="AD647" s="130"/>
    </row>
    <row r="648" ht="14.25" hidden="1" customHeight="1">
      <c r="A648" s="116" t="s">
        <v>539</v>
      </c>
      <c r="B648" s="117" t="s">
        <v>855</v>
      </c>
      <c r="C648" s="117" t="s">
        <v>2211</v>
      </c>
      <c r="D648" s="117" t="s">
        <v>2223</v>
      </c>
      <c r="E648" s="117" t="s">
        <v>2224</v>
      </c>
      <c r="F648" s="117" t="s">
        <v>2225</v>
      </c>
      <c r="G648" s="117" t="s">
        <v>2215</v>
      </c>
      <c r="H648" s="117" t="s">
        <v>2216</v>
      </c>
      <c r="I648" s="117">
        <v>9.0</v>
      </c>
      <c r="J648" s="117">
        <v>8.0</v>
      </c>
      <c r="K648" s="117" t="str">
        <f t="shared" si="1"/>
        <v>Si</v>
      </c>
      <c r="L648" s="118" t="s">
        <v>1631</v>
      </c>
      <c r="M648" s="119">
        <v>1.0</v>
      </c>
      <c r="N648" s="120">
        <v>0.025</v>
      </c>
      <c r="O648" s="121">
        <v>91.32</v>
      </c>
      <c r="P648" s="117">
        <v>1.0</v>
      </c>
      <c r="Q648" s="117">
        <f t="shared" si="2"/>
        <v>0.575</v>
      </c>
      <c r="R648" s="122">
        <f>+(IF(((M648*24)-P648)&lt;0,0,((M648*24)-P648)*'Estimación de pérdidas'!$F$72))*N648</f>
        <v>33164.89308</v>
      </c>
      <c r="S648" s="123" t="s">
        <v>117</v>
      </c>
      <c r="T648" s="124" t="s">
        <v>119</v>
      </c>
      <c r="U648" s="124">
        <f t="shared" si="3"/>
        <v>1</v>
      </c>
      <c r="V648" s="124">
        <v>1.0</v>
      </c>
      <c r="W648" s="124"/>
      <c r="X648" s="125"/>
      <c r="Y648" s="126"/>
      <c r="Z648" s="125">
        <f t="shared" si="4"/>
        <v>1</v>
      </c>
      <c r="AA648" s="127" t="str">
        <f t="shared" si="5"/>
        <v>Bajo</v>
      </c>
      <c r="AB648" s="128">
        <f t="shared" si="6"/>
        <v>4</v>
      </c>
      <c r="AC648" s="129">
        <f t="shared" si="7"/>
        <v>0.07589466384</v>
      </c>
      <c r="AD648" s="130"/>
    </row>
    <row r="649" ht="14.25" hidden="1" customHeight="1">
      <c r="A649" s="116" t="s">
        <v>539</v>
      </c>
      <c r="B649" s="117" t="s">
        <v>855</v>
      </c>
      <c r="C649" s="117" t="s">
        <v>2211</v>
      </c>
      <c r="D649" s="117" t="s">
        <v>2226</v>
      </c>
      <c r="E649" s="117" t="s">
        <v>2227</v>
      </c>
      <c r="F649" s="117" t="s">
        <v>2228</v>
      </c>
      <c r="G649" s="117" t="s">
        <v>2215</v>
      </c>
      <c r="H649" s="117" t="s">
        <v>2216</v>
      </c>
      <c r="I649" s="117">
        <v>9.0</v>
      </c>
      <c r="J649" s="117">
        <v>8.0</v>
      </c>
      <c r="K649" s="117" t="str">
        <f t="shared" si="1"/>
        <v>Si</v>
      </c>
      <c r="L649" s="118" t="s">
        <v>1631</v>
      </c>
      <c r="M649" s="119">
        <v>1.0</v>
      </c>
      <c r="N649" s="120">
        <v>0.025</v>
      </c>
      <c r="O649" s="121">
        <v>91.32</v>
      </c>
      <c r="P649" s="117">
        <v>1.0</v>
      </c>
      <c r="Q649" s="117">
        <f t="shared" si="2"/>
        <v>0.575</v>
      </c>
      <c r="R649" s="122">
        <f>+(IF(((M649*24)-P649)&lt;0,0,((M649*24)-P649)*'Estimación de pérdidas'!$F$72))*N649</f>
        <v>33164.89308</v>
      </c>
      <c r="S649" s="123" t="s">
        <v>117</v>
      </c>
      <c r="T649" s="124" t="s">
        <v>119</v>
      </c>
      <c r="U649" s="124">
        <f t="shared" si="3"/>
        <v>1</v>
      </c>
      <c r="V649" s="124">
        <v>1.0</v>
      </c>
      <c r="W649" s="124"/>
      <c r="X649" s="125"/>
      <c r="Y649" s="126"/>
      <c r="Z649" s="125">
        <f t="shared" si="4"/>
        <v>1</v>
      </c>
      <c r="AA649" s="127" t="str">
        <f t="shared" si="5"/>
        <v>Bajo</v>
      </c>
      <c r="AB649" s="128">
        <f t="shared" si="6"/>
        <v>4</v>
      </c>
      <c r="AC649" s="129">
        <f t="shared" si="7"/>
        <v>0.07589466384</v>
      </c>
      <c r="AD649" s="130"/>
    </row>
    <row r="650" ht="14.25" hidden="1" customHeight="1">
      <c r="A650" s="116" t="s">
        <v>539</v>
      </c>
      <c r="B650" s="117" t="s">
        <v>855</v>
      </c>
      <c r="C650" s="117" t="s">
        <v>2211</v>
      </c>
      <c r="D650" s="117" t="s">
        <v>2229</v>
      </c>
      <c r="E650" s="117" t="s">
        <v>2230</v>
      </c>
      <c r="F650" s="117" t="s">
        <v>2231</v>
      </c>
      <c r="G650" s="117" t="s">
        <v>2215</v>
      </c>
      <c r="H650" s="117" t="s">
        <v>2216</v>
      </c>
      <c r="I650" s="117">
        <v>9.0</v>
      </c>
      <c r="J650" s="117">
        <v>8.0</v>
      </c>
      <c r="K650" s="117" t="str">
        <f t="shared" si="1"/>
        <v>Si</v>
      </c>
      <c r="L650" s="118" t="s">
        <v>1631</v>
      </c>
      <c r="M650" s="119">
        <v>1.0</v>
      </c>
      <c r="N650" s="120">
        <v>0.025</v>
      </c>
      <c r="O650" s="121">
        <v>91.32</v>
      </c>
      <c r="P650" s="117">
        <v>1.0</v>
      </c>
      <c r="Q650" s="117">
        <f t="shared" si="2"/>
        <v>0.575</v>
      </c>
      <c r="R650" s="122">
        <f>+(IF(((M650*24)-P650)&lt;0,0,((M650*24)-P650)*'Estimación de pérdidas'!$F$72))*N650</f>
        <v>33164.89308</v>
      </c>
      <c r="S650" s="123" t="s">
        <v>117</v>
      </c>
      <c r="T650" s="124" t="s">
        <v>119</v>
      </c>
      <c r="U650" s="124">
        <f t="shared" si="3"/>
        <v>1</v>
      </c>
      <c r="V650" s="124">
        <v>1.0</v>
      </c>
      <c r="W650" s="124"/>
      <c r="X650" s="125"/>
      <c r="Y650" s="126"/>
      <c r="Z650" s="125">
        <f t="shared" si="4"/>
        <v>1</v>
      </c>
      <c r="AA650" s="127" t="str">
        <f t="shared" si="5"/>
        <v>Bajo</v>
      </c>
      <c r="AB650" s="128">
        <f t="shared" si="6"/>
        <v>4</v>
      </c>
      <c r="AC650" s="129">
        <f t="shared" si="7"/>
        <v>0.07589466384</v>
      </c>
      <c r="AD650" s="130"/>
    </row>
    <row r="651" ht="14.25" hidden="1" customHeight="1">
      <c r="A651" s="116" t="s">
        <v>539</v>
      </c>
      <c r="B651" s="117" t="s">
        <v>855</v>
      </c>
      <c r="C651" s="117" t="s">
        <v>2211</v>
      </c>
      <c r="D651" s="117" t="s">
        <v>2232</v>
      </c>
      <c r="E651" s="117" t="s">
        <v>2233</v>
      </c>
      <c r="F651" s="117" t="s">
        <v>2234</v>
      </c>
      <c r="G651" s="117" t="s">
        <v>2215</v>
      </c>
      <c r="H651" s="117" t="s">
        <v>2216</v>
      </c>
      <c r="I651" s="117">
        <v>9.0</v>
      </c>
      <c r="J651" s="117">
        <v>8.0</v>
      </c>
      <c r="K651" s="117" t="str">
        <f t="shared" si="1"/>
        <v>Si</v>
      </c>
      <c r="L651" s="118" t="s">
        <v>1631</v>
      </c>
      <c r="M651" s="119">
        <v>1.0</v>
      </c>
      <c r="N651" s="120">
        <v>0.025</v>
      </c>
      <c r="O651" s="121">
        <v>91.32</v>
      </c>
      <c r="P651" s="117">
        <v>1.0</v>
      </c>
      <c r="Q651" s="117">
        <f t="shared" si="2"/>
        <v>0.575</v>
      </c>
      <c r="R651" s="122">
        <f>+(IF(((M651*24)-P651)&lt;0,0,((M651*24)-P651)*'Estimación de pérdidas'!$F$72))*N651</f>
        <v>33164.89308</v>
      </c>
      <c r="S651" s="123" t="s">
        <v>117</v>
      </c>
      <c r="T651" s="124" t="s">
        <v>119</v>
      </c>
      <c r="U651" s="124">
        <f t="shared" si="3"/>
        <v>1</v>
      </c>
      <c r="V651" s="124">
        <v>1.0</v>
      </c>
      <c r="W651" s="124"/>
      <c r="X651" s="125"/>
      <c r="Y651" s="126"/>
      <c r="Z651" s="125">
        <f t="shared" si="4"/>
        <v>1</v>
      </c>
      <c r="AA651" s="127" t="str">
        <f t="shared" si="5"/>
        <v>Bajo</v>
      </c>
      <c r="AB651" s="128">
        <f t="shared" si="6"/>
        <v>4</v>
      </c>
      <c r="AC651" s="129">
        <f t="shared" si="7"/>
        <v>0.07589466384</v>
      </c>
      <c r="AD651" s="130"/>
    </row>
    <row r="652" ht="14.25" hidden="1" customHeight="1">
      <c r="A652" s="116" t="s">
        <v>539</v>
      </c>
      <c r="B652" s="117" t="s">
        <v>855</v>
      </c>
      <c r="C652" s="117" t="s">
        <v>2211</v>
      </c>
      <c r="D652" s="117" t="s">
        <v>2235</v>
      </c>
      <c r="E652" s="117" t="s">
        <v>2236</v>
      </c>
      <c r="F652" s="117" t="s">
        <v>2237</v>
      </c>
      <c r="G652" s="117" t="s">
        <v>2215</v>
      </c>
      <c r="H652" s="117" t="s">
        <v>2216</v>
      </c>
      <c r="I652" s="117">
        <v>9.0</v>
      </c>
      <c r="J652" s="117">
        <v>8.0</v>
      </c>
      <c r="K652" s="117" t="str">
        <f t="shared" si="1"/>
        <v>Si</v>
      </c>
      <c r="L652" s="118" t="s">
        <v>1631</v>
      </c>
      <c r="M652" s="119">
        <v>1.0</v>
      </c>
      <c r="N652" s="120">
        <v>0.025</v>
      </c>
      <c r="O652" s="121">
        <v>91.32</v>
      </c>
      <c r="P652" s="117">
        <v>1.0</v>
      </c>
      <c r="Q652" s="117">
        <f t="shared" si="2"/>
        <v>0.575</v>
      </c>
      <c r="R652" s="122">
        <f>+(IF(((M652*24)-P652)&lt;0,0,((M652*24)-P652)*'Estimación de pérdidas'!$F$72))*N652</f>
        <v>33164.89308</v>
      </c>
      <c r="S652" s="123" t="s">
        <v>117</v>
      </c>
      <c r="T652" s="124" t="s">
        <v>119</v>
      </c>
      <c r="U652" s="124">
        <f t="shared" si="3"/>
        <v>1</v>
      </c>
      <c r="V652" s="124">
        <v>1.0</v>
      </c>
      <c r="W652" s="124"/>
      <c r="X652" s="125"/>
      <c r="Y652" s="126"/>
      <c r="Z652" s="125">
        <f t="shared" si="4"/>
        <v>1</v>
      </c>
      <c r="AA652" s="127" t="str">
        <f t="shared" si="5"/>
        <v>Bajo</v>
      </c>
      <c r="AB652" s="128">
        <f t="shared" si="6"/>
        <v>4</v>
      </c>
      <c r="AC652" s="129">
        <f t="shared" si="7"/>
        <v>0.07589466384</v>
      </c>
      <c r="AD652" s="130"/>
    </row>
    <row r="653" ht="14.25" hidden="1" customHeight="1">
      <c r="A653" s="116" t="s">
        <v>539</v>
      </c>
      <c r="B653" s="117" t="s">
        <v>539</v>
      </c>
      <c r="C653" s="117" t="s">
        <v>1996</v>
      </c>
      <c r="D653" s="117" t="s">
        <v>2238</v>
      </c>
      <c r="E653" s="117" t="s">
        <v>1996</v>
      </c>
      <c r="F653" s="117" t="s">
        <v>1998</v>
      </c>
      <c r="G653" s="117" t="s">
        <v>1999</v>
      </c>
      <c r="H653" s="117" t="s">
        <v>2204</v>
      </c>
      <c r="I653" s="117">
        <v>1.0</v>
      </c>
      <c r="J653" s="117">
        <v>1.0</v>
      </c>
      <c r="K653" s="117" t="str">
        <f t="shared" si="1"/>
        <v>No</v>
      </c>
      <c r="L653" s="118" t="s">
        <v>116</v>
      </c>
      <c r="M653" s="119">
        <v>0.25</v>
      </c>
      <c r="N653" s="120">
        <v>1.0</v>
      </c>
      <c r="O653" s="121">
        <v>91.32</v>
      </c>
      <c r="P653" s="117">
        <v>1.0</v>
      </c>
      <c r="Q653" s="117">
        <f t="shared" si="2"/>
        <v>5</v>
      </c>
      <c r="R653" s="122">
        <f>+(IF(((M653*24)-P653)&lt;0,0,((M653*24)-P653)*'Estimación de pérdidas'!$F$72))*N653</f>
        <v>288390.3746</v>
      </c>
      <c r="S653" s="123" t="s">
        <v>272</v>
      </c>
      <c r="T653" s="124" t="s">
        <v>119</v>
      </c>
      <c r="U653" s="124">
        <f t="shared" si="3"/>
        <v>3</v>
      </c>
      <c r="V653" s="124">
        <v>2.0</v>
      </c>
      <c r="W653" s="124"/>
      <c r="X653" s="125"/>
      <c r="Y653" s="126"/>
      <c r="Z653" s="125">
        <f t="shared" si="4"/>
        <v>3</v>
      </c>
      <c r="AA653" s="127" t="str">
        <f t="shared" si="5"/>
        <v>Moderado</v>
      </c>
      <c r="AB653" s="128">
        <f t="shared" si="6"/>
        <v>13</v>
      </c>
      <c r="AC653" s="129">
        <f t="shared" si="7"/>
        <v>0.193494186</v>
      </c>
      <c r="AD653" s="131"/>
    </row>
    <row r="654" ht="14.25" hidden="1" customHeight="1">
      <c r="A654" s="116" t="s">
        <v>539</v>
      </c>
      <c r="B654" s="117" t="s">
        <v>539</v>
      </c>
      <c r="C654" s="117" t="s">
        <v>2001</v>
      </c>
      <c r="D654" s="117" t="s">
        <v>2239</v>
      </c>
      <c r="E654" s="117" t="s">
        <v>2003</v>
      </c>
      <c r="F654" s="117" t="s">
        <v>2004</v>
      </c>
      <c r="G654" s="117" t="s">
        <v>2005</v>
      </c>
      <c r="H654" s="117" t="s">
        <v>2060</v>
      </c>
      <c r="I654" s="117">
        <v>1.0</v>
      </c>
      <c r="J654" s="117">
        <v>1.0</v>
      </c>
      <c r="K654" s="117" t="str">
        <f t="shared" si="1"/>
        <v>No</v>
      </c>
      <c r="L654" s="118" t="s">
        <v>116</v>
      </c>
      <c r="M654" s="119">
        <v>0.3333333333333333</v>
      </c>
      <c r="N654" s="120">
        <v>1.0</v>
      </c>
      <c r="O654" s="121">
        <v>91.32</v>
      </c>
      <c r="P654" s="117">
        <v>1.0</v>
      </c>
      <c r="Q654" s="117">
        <f t="shared" si="2"/>
        <v>7</v>
      </c>
      <c r="R654" s="122">
        <f>+(IF(((M654*24)-P654)&lt;0,0,((M654*24)-P654)*'Estimación de pérdidas'!$F$72))*N654</f>
        <v>403746.5244</v>
      </c>
      <c r="S654" s="123" t="s">
        <v>117</v>
      </c>
      <c r="T654" s="124" t="s">
        <v>119</v>
      </c>
      <c r="U654" s="124">
        <f t="shared" si="3"/>
        <v>3</v>
      </c>
      <c r="V654" s="124">
        <v>2.0</v>
      </c>
      <c r="W654" s="124"/>
      <c r="X654" s="125"/>
      <c r="Y654" s="126"/>
      <c r="Z654" s="125">
        <f t="shared" si="4"/>
        <v>3</v>
      </c>
      <c r="AA654" s="127" t="str">
        <f t="shared" si="5"/>
        <v>Moderado</v>
      </c>
      <c r="AB654" s="128">
        <f t="shared" si="6"/>
        <v>13</v>
      </c>
      <c r="AC654" s="129">
        <f t="shared" si="7"/>
        <v>0.193494186</v>
      </c>
      <c r="AD654" s="131"/>
    </row>
    <row r="655" ht="14.25" hidden="1" customHeight="1">
      <c r="A655" s="116" t="s">
        <v>539</v>
      </c>
      <c r="B655" s="117" t="s">
        <v>539</v>
      </c>
      <c r="C655" s="117" t="s">
        <v>2001</v>
      </c>
      <c r="D655" s="117" t="s">
        <v>2240</v>
      </c>
      <c r="E655" s="117" t="s">
        <v>2003</v>
      </c>
      <c r="F655" s="117" t="s">
        <v>2004</v>
      </c>
      <c r="G655" s="117" t="s">
        <v>2005</v>
      </c>
      <c r="H655" s="117" t="s">
        <v>2060</v>
      </c>
      <c r="I655" s="117">
        <v>1.0</v>
      </c>
      <c r="J655" s="117">
        <v>1.0</v>
      </c>
      <c r="K655" s="117" t="str">
        <f t="shared" si="1"/>
        <v>No</v>
      </c>
      <c r="L655" s="118" t="s">
        <v>116</v>
      </c>
      <c r="M655" s="119">
        <v>0.3333333333333333</v>
      </c>
      <c r="N655" s="120">
        <v>1.0</v>
      </c>
      <c r="O655" s="121">
        <v>91.32</v>
      </c>
      <c r="P655" s="117">
        <v>1.0</v>
      </c>
      <c r="Q655" s="117">
        <f t="shared" si="2"/>
        <v>7</v>
      </c>
      <c r="R655" s="122">
        <f>+(IF(((M655*24)-P655)&lt;0,0,((M655*24)-P655)*'Estimación de pérdidas'!$F$72))*N655</f>
        <v>403746.5244</v>
      </c>
      <c r="S655" s="123" t="s">
        <v>117</v>
      </c>
      <c r="T655" s="124" t="s">
        <v>119</v>
      </c>
      <c r="U655" s="124">
        <f t="shared" si="3"/>
        <v>3</v>
      </c>
      <c r="V655" s="124">
        <v>2.0</v>
      </c>
      <c r="W655" s="124"/>
      <c r="X655" s="125"/>
      <c r="Y655" s="126"/>
      <c r="Z655" s="125">
        <f t="shared" si="4"/>
        <v>3</v>
      </c>
      <c r="AA655" s="127" t="str">
        <f t="shared" si="5"/>
        <v>Moderado</v>
      </c>
      <c r="AB655" s="128">
        <f t="shared" si="6"/>
        <v>13</v>
      </c>
      <c r="AC655" s="129">
        <f t="shared" si="7"/>
        <v>0.193494186</v>
      </c>
      <c r="AD655" s="131"/>
    </row>
    <row r="656" ht="14.25" hidden="1" customHeight="1">
      <c r="A656" s="116" t="s">
        <v>539</v>
      </c>
      <c r="B656" s="117" t="s">
        <v>539</v>
      </c>
      <c r="C656" s="117" t="s">
        <v>1970</v>
      </c>
      <c r="D656" s="117" t="s">
        <v>2241</v>
      </c>
      <c r="E656" s="117" t="s">
        <v>1970</v>
      </c>
      <c r="F656" s="117" t="s">
        <v>2242</v>
      </c>
      <c r="G656" s="117" t="s">
        <v>1973</v>
      </c>
      <c r="H656" s="117" t="s">
        <v>1974</v>
      </c>
      <c r="I656" s="117">
        <v>1.0</v>
      </c>
      <c r="J656" s="117">
        <v>1.0</v>
      </c>
      <c r="K656" s="117" t="str">
        <f t="shared" si="1"/>
        <v>No</v>
      </c>
      <c r="L656" s="118" t="s">
        <v>116</v>
      </c>
      <c r="M656" s="119">
        <v>0.5</v>
      </c>
      <c r="N656" s="120">
        <v>0.0</v>
      </c>
      <c r="O656" s="121">
        <v>91.32</v>
      </c>
      <c r="P656" s="117">
        <v>1.0</v>
      </c>
      <c r="Q656" s="117">
        <f t="shared" si="2"/>
        <v>0</v>
      </c>
      <c r="R656" s="122">
        <f>+(IF(((M656*24)-P656)&lt;0,0,((M656*24)-P656)*'Estimación de pérdidas'!$F$72))*N656</f>
        <v>0</v>
      </c>
      <c r="S656" s="123" t="s">
        <v>117</v>
      </c>
      <c r="T656" s="124" t="s">
        <v>119</v>
      </c>
      <c r="U656" s="124">
        <f t="shared" si="3"/>
        <v>1</v>
      </c>
      <c r="V656" s="124">
        <v>2.0</v>
      </c>
      <c r="W656" s="124"/>
      <c r="X656" s="125"/>
      <c r="Y656" s="126"/>
      <c r="Z656" s="125">
        <f t="shared" si="4"/>
        <v>2</v>
      </c>
      <c r="AA656" s="127" t="str">
        <f t="shared" si="5"/>
        <v>Moderado</v>
      </c>
      <c r="AB656" s="128">
        <f t="shared" si="6"/>
        <v>8</v>
      </c>
      <c r="AC656" s="129">
        <f t="shared" si="7"/>
        <v>0.12</v>
      </c>
      <c r="AD656" s="131"/>
    </row>
    <row r="657" ht="14.25" hidden="1" customHeight="1">
      <c r="A657" s="116" t="s">
        <v>539</v>
      </c>
      <c r="B657" s="117" t="s">
        <v>539</v>
      </c>
      <c r="C657" s="117" t="s">
        <v>2009</v>
      </c>
      <c r="D657" s="117" t="s">
        <v>2243</v>
      </c>
      <c r="E657" s="117" t="s">
        <v>2244</v>
      </c>
      <c r="F657" s="117" t="s">
        <v>2245</v>
      </c>
      <c r="G657" s="117" t="s">
        <v>1973</v>
      </c>
      <c r="H657" s="117" t="s">
        <v>1974</v>
      </c>
      <c r="I657" s="117">
        <v>1.0</v>
      </c>
      <c r="J657" s="117">
        <v>1.0</v>
      </c>
      <c r="K657" s="117" t="str">
        <f t="shared" si="1"/>
        <v>No</v>
      </c>
      <c r="L657" s="118" t="s">
        <v>116</v>
      </c>
      <c r="M657" s="119">
        <v>0.5</v>
      </c>
      <c r="N657" s="120">
        <v>0.0</v>
      </c>
      <c r="O657" s="121">
        <v>91.32</v>
      </c>
      <c r="P657" s="117">
        <v>1.0</v>
      </c>
      <c r="Q657" s="117">
        <f t="shared" si="2"/>
        <v>0</v>
      </c>
      <c r="R657" s="122">
        <f>+(IF(((M657*24)-P657)&lt;0,0,((M657*24)-P657)*'Estimación de pérdidas'!$F$72))*N657</f>
        <v>0</v>
      </c>
      <c r="S657" s="123" t="s">
        <v>117</v>
      </c>
      <c r="T657" s="124" t="s">
        <v>119</v>
      </c>
      <c r="U657" s="124">
        <f t="shared" si="3"/>
        <v>1</v>
      </c>
      <c r="V657" s="124">
        <v>2.0</v>
      </c>
      <c r="W657" s="124"/>
      <c r="X657" s="125"/>
      <c r="Y657" s="126"/>
      <c r="Z657" s="125">
        <f t="shared" si="4"/>
        <v>2</v>
      </c>
      <c r="AA657" s="127" t="str">
        <f t="shared" si="5"/>
        <v>Moderado</v>
      </c>
      <c r="AB657" s="128">
        <f t="shared" si="6"/>
        <v>8</v>
      </c>
      <c r="AC657" s="129">
        <f t="shared" si="7"/>
        <v>0.12</v>
      </c>
      <c r="AD657" s="131"/>
    </row>
    <row r="658" ht="14.25" hidden="1" customHeight="1">
      <c r="A658" s="116" t="s">
        <v>539</v>
      </c>
      <c r="B658" s="117" t="s">
        <v>539</v>
      </c>
      <c r="C658" s="117" t="s">
        <v>2013</v>
      </c>
      <c r="D658" s="117" t="s">
        <v>2246</v>
      </c>
      <c r="E658" s="117" t="s">
        <v>1975</v>
      </c>
      <c r="F658" s="117" t="s">
        <v>1983</v>
      </c>
      <c r="G658" s="117" t="s">
        <v>1978</v>
      </c>
      <c r="H658" s="117" t="s">
        <v>1979</v>
      </c>
      <c r="I658" s="117">
        <v>1.0</v>
      </c>
      <c r="J658" s="117">
        <v>1.0</v>
      </c>
      <c r="K658" s="117" t="str">
        <f t="shared" si="1"/>
        <v>No</v>
      </c>
      <c r="L658" s="118" t="s">
        <v>116</v>
      </c>
      <c r="M658" s="119">
        <v>1.0</v>
      </c>
      <c r="N658" s="120">
        <v>0.0</v>
      </c>
      <c r="O658" s="121">
        <v>91.32</v>
      </c>
      <c r="P658" s="117">
        <v>1.0</v>
      </c>
      <c r="Q658" s="117">
        <f t="shared" si="2"/>
        <v>0</v>
      </c>
      <c r="R658" s="122">
        <f>+(IF(((M658*24)-P658)&lt;0,0,((M658*24)-P658)*'Estimación de pérdidas'!$F$72))*N658</f>
        <v>0</v>
      </c>
      <c r="S658" s="123" t="s">
        <v>117</v>
      </c>
      <c r="T658" s="124" t="s">
        <v>132</v>
      </c>
      <c r="U658" s="124">
        <f t="shared" si="3"/>
        <v>1</v>
      </c>
      <c r="V658" s="124">
        <v>2.0</v>
      </c>
      <c r="W658" s="124"/>
      <c r="X658" s="125"/>
      <c r="Y658" s="126"/>
      <c r="Z658" s="125">
        <f t="shared" si="4"/>
        <v>2</v>
      </c>
      <c r="AA658" s="127" t="str">
        <f t="shared" si="5"/>
        <v>Bajo</v>
      </c>
      <c r="AB658" s="128">
        <f t="shared" si="6"/>
        <v>3</v>
      </c>
      <c r="AC658" s="129">
        <f t="shared" si="7"/>
        <v>0.04</v>
      </c>
    </row>
    <row r="659" ht="14.25" hidden="1" customHeight="1">
      <c r="A659" s="116" t="s">
        <v>539</v>
      </c>
      <c r="B659" s="117" t="s">
        <v>539</v>
      </c>
      <c r="C659" s="117" t="s">
        <v>2016</v>
      </c>
      <c r="D659" s="117" t="s">
        <v>2247</v>
      </c>
      <c r="E659" s="117" t="s">
        <v>2016</v>
      </c>
      <c r="F659" s="117" t="s">
        <v>2248</v>
      </c>
      <c r="G659" s="117" t="s">
        <v>1973</v>
      </c>
      <c r="H659" s="117" t="s">
        <v>2019</v>
      </c>
      <c r="I659" s="117">
        <v>1.0</v>
      </c>
      <c r="J659" s="117">
        <v>1.0</v>
      </c>
      <c r="K659" s="117" t="str">
        <f t="shared" si="1"/>
        <v>No</v>
      </c>
      <c r="L659" s="118" t="s">
        <v>116</v>
      </c>
      <c r="M659" s="119">
        <v>0.5</v>
      </c>
      <c r="N659" s="120">
        <v>1.0</v>
      </c>
      <c r="O659" s="121">
        <v>91.32</v>
      </c>
      <c r="P659" s="117">
        <v>1.0</v>
      </c>
      <c r="Q659" s="117">
        <f t="shared" si="2"/>
        <v>11</v>
      </c>
      <c r="R659" s="122">
        <f>+(IF(((M659*24)-P659)&lt;0,0,((M659*24)-P659)*'Estimación de pérdidas'!$F$72))*N659</f>
        <v>634458.8241</v>
      </c>
      <c r="S659" s="123" t="s">
        <v>117</v>
      </c>
      <c r="T659" s="124" t="s">
        <v>119</v>
      </c>
      <c r="U659" s="124">
        <f t="shared" si="3"/>
        <v>4</v>
      </c>
      <c r="V659" s="124">
        <v>1.0</v>
      </c>
      <c r="W659" s="124"/>
      <c r="X659" s="125"/>
      <c r="Y659" s="126"/>
      <c r="Z659" s="125">
        <f t="shared" si="4"/>
        <v>4</v>
      </c>
      <c r="AA659" s="127" t="str">
        <f t="shared" si="5"/>
        <v>Moderado</v>
      </c>
      <c r="AB659" s="128">
        <f t="shared" si="6"/>
        <v>18</v>
      </c>
      <c r="AC659" s="129">
        <f t="shared" si="7"/>
        <v>0.221269067</v>
      </c>
      <c r="AD659" s="130"/>
    </row>
    <row r="660" ht="14.25" hidden="1" customHeight="1">
      <c r="A660" s="116" t="s">
        <v>539</v>
      </c>
      <c r="B660" s="117" t="s">
        <v>539</v>
      </c>
      <c r="C660" s="117" t="s">
        <v>2071</v>
      </c>
      <c r="D660" s="117" t="s">
        <v>2249</v>
      </c>
      <c r="E660" s="117" t="s">
        <v>1982</v>
      </c>
      <c r="F660" s="117" t="s">
        <v>1983</v>
      </c>
      <c r="G660" s="117" t="s">
        <v>1978</v>
      </c>
      <c r="H660" s="117" t="s">
        <v>1984</v>
      </c>
      <c r="I660" s="117">
        <v>1.0</v>
      </c>
      <c r="J660" s="117">
        <v>1.0</v>
      </c>
      <c r="K660" s="117" t="str">
        <f t="shared" si="1"/>
        <v>No</v>
      </c>
      <c r="L660" s="118" t="s">
        <v>116</v>
      </c>
      <c r="M660" s="119">
        <v>2.0</v>
      </c>
      <c r="N660" s="120">
        <v>1.0</v>
      </c>
      <c r="O660" s="121">
        <v>91.32</v>
      </c>
      <c r="P660" s="117">
        <v>1.0</v>
      </c>
      <c r="Q660" s="117">
        <f t="shared" si="2"/>
        <v>47</v>
      </c>
      <c r="R660" s="122">
        <f>+(IF(((M660*24)-P660)&lt;0,0,((M660*24)-P660)*'Estimación de pérdidas'!$F$72))*N660</f>
        <v>2710869.521</v>
      </c>
      <c r="S660" s="123" t="s">
        <v>117</v>
      </c>
      <c r="T660" s="124" t="s">
        <v>132</v>
      </c>
      <c r="U660" s="124">
        <f t="shared" si="3"/>
        <v>5</v>
      </c>
      <c r="V660" s="124">
        <v>2.0</v>
      </c>
      <c r="W660" s="124"/>
      <c r="X660" s="125"/>
      <c r="Y660" s="126"/>
      <c r="Z660" s="125">
        <f t="shared" si="4"/>
        <v>5</v>
      </c>
      <c r="AA660" s="127" t="str">
        <f t="shared" si="5"/>
        <v>Moderado</v>
      </c>
      <c r="AB660" s="128">
        <f t="shared" si="6"/>
        <v>15</v>
      </c>
      <c r="AC660" s="129">
        <f t="shared" si="7"/>
        <v>0.09633275663</v>
      </c>
      <c r="AD660" s="131"/>
    </row>
    <row r="661" ht="14.25" hidden="1" customHeight="1">
      <c r="A661" s="116" t="s">
        <v>539</v>
      </c>
      <c r="B661" s="117" t="s">
        <v>539</v>
      </c>
      <c r="C661" s="117" t="s">
        <v>1985</v>
      </c>
      <c r="D661" s="117" t="s">
        <v>2250</v>
      </c>
      <c r="E661" s="117" t="s">
        <v>2251</v>
      </c>
      <c r="F661" s="117" t="s">
        <v>2252</v>
      </c>
      <c r="G661" s="117" t="s">
        <v>1973</v>
      </c>
      <c r="H661" s="117" t="s">
        <v>1974</v>
      </c>
      <c r="I661" s="117">
        <v>1.0</v>
      </c>
      <c r="J661" s="117">
        <v>1.0</v>
      </c>
      <c r="K661" s="117" t="str">
        <f t="shared" si="1"/>
        <v>No</v>
      </c>
      <c r="L661" s="118" t="s">
        <v>116</v>
      </c>
      <c r="M661" s="119">
        <v>0.5</v>
      </c>
      <c r="N661" s="120">
        <v>0.0</v>
      </c>
      <c r="O661" s="121">
        <v>91.32</v>
      </c>
      <c r="P661" s="117">
        <v>1.0</v>
      </c>
      <c r="Q661" s="117">
        <f t="shared" si="2"/>
        <v>0</v>
      </c>
      <c r="R661" s="122">
        <f>+(IF(((M661*24)-P661)&lt;0,0,((M661*24)-P661)*'Estimación de pérdidas'!$F$72))*N661</f>
        <v>0</v>
      </c>
      <c r="S661" s="123" t="s">
        <v>117</v>
      </c>
      <c r="T661" s="124" t="s">
        <v>119</v>
      </c>
      <c r="U661" s="124">
        <f t="shared" si="3"/>
        <v>1</v>
      </c>
      <c r="V661" s="124">
        <v>1.0</v>
      </c>
      <c r="W661" s="124"/>
      <c r="X661" s="125"/>
      <c r="Y661" s="126"/>
      <c r="Z661" s="125">
        <f t="shared" si="4"/>
        <v>1</v>
      </c>
      <c r="AA661" s="127" t="str">
        <f t="shared" si="5"/>
        <v>Bajo</v>
      </c>
      <c r="AB661" s="128">
        <f t="shared" si="6"/>
        <v>4</v>
      </c>
      <c r="AC661" s="129">
        <f t="shared" si="7"/>
        <v>0.07589466384</v>
      </c>
    </row>
    <row r="662" ht="14.25" hidden="1" customHeight="1">
      <c r="A662" s="116" t="s">
        <v>539</v>
      </c>
      <c r="B662" s="117" t="s">
        <v>539</v>
      </c>
      <c r="C662" s="117" t="s">
        <v>2025</v>
      </c>
      <c r="D662" s="117" t="s">
        <v>2253</v>
      </c>
      <c r="E662" s="117" t="s">
        <v>1988</v>
      </c>
      <c r="F662" s="117" t="s">
        <v>1983</v>
      </c>
      <c r="G662" s="117" t="s">
        <v>1978</v>
      </c>
      <c r="H662" s="117" t="s">
        <v>1979</v>
      </c>
      <c r="I662" s="117">
        <v>1.0</v>
      </c>
      <c r="J662" s="117">
        <v>1.0</v>
      </c>
      <c r="K662" s="117" t="str">
        <f t="shared" si="1"/>
        <v>No</v>
      </c>
      <c r="L662" s="118" t="s">
        <v>116</v>
      </c>
      <c r="M662" s="119">
        <v>2.0</v>
      </c>
      <c r="N662" s="120">
        <v>0.0</v>
      </c>
      <c r="O662" s="121">
        <v>91.32</v>
      </c>
      <c r="P662" s="117">
        <v>1.0</v>
      </c>
      <c r="Q662" s="117">
        <f t="shared" si="2"/>
        <v>0</v>
      </c>
      <c r="R662" s="122">
        <f>+(IF(((M662*24)-P662)&lt;0,0,((M662*24)-P662)*'Estimación de pérdidas'!$F$72))*N662</f>
        <v>0</v>
      </c>
      <c r="S662" s="123" t="s">
        <v>117</v>
      </c>
      <c r="T662" s="124" t="s">
        <v>132</v>
      </c>
      <c r="U662" s="124">
        <f t="shared" si="3"/>
        <v>1</v>
      </c>
      <c r="V662" s="124">
        <v>2.0</v>
      </c>
      <c r="W662" s="124"/>
      <c r="X662" s="125"/>
      <c r="Y662" s="126"/>
      <c r="Z662" s="125">
        <f t="shared" si="4"/>
        <v>2</v>
      </c>
      <c r="AA662" s="127" t="str">
        <f t="shared" si="5"/>
        <v>Bajo</v>
      </c>
      <c r="AB662" s="128">
        <f t="shared" si="6"/>
        <v>3</v>
      </c>
      <c r="AC662" s="129">
        <f t="shared" si="7"/>
        <v>0.04</v>
      </c>
    </row>
    <row r="663" ht="14.25" hidden="1" customHeight="1">
      <c r="A663" s="116" t="s">
        <v>539</v>
      </c>
      <c r="B663" s="117" t="s">
        <v>539</v>
      </c>
      <c r="C663" s="117" t="s">
        <v>2077</v>
      </c>
      <c r="D663" s="117" t="s">
        <v>2254</v>
      </c>
      <c r="E663" s="117" t="s">
        <v>2042</v>
      </c>
      <c r="F663" s="117" t="s">
        <v>1993</v>
      </c>
      <c r="G663" s="117" t="s">
        <v>1994</v>
      </c>
      <c r="H663" s="117" t="s">
        <v>1995</v>
      </c>
      <c r="I663" s="117">
        <v>1.0</v>
      </c>
      <c r="J663" s="117">
        <v>1.0</v>
      </c>
      <c r="K663" s="117" t="str">
        <f t="shared" si="1"/>
        <v>No</v>
      </c>
      <c r="L663" s="118" t="s">
        <v>116</v>
      </c>
      <c r="M663" s="119">
        <v>3.0</v>
      </c>
      <c r="N663" s="120">
        <v>1.0</v>
      </c>
      <c r="O663" s="121">
        <v>91.32</v>
      </c>
      <c r="P663" s="117">
        <v>1.0</v>
      </c>
      <c r="Q663" s="117">
        <f t="shared" si="2"/>
        <v>71</v>
      </c>
      <c r="R663" s="122">
        <f>+(IF(((M663*24)-P663)&lt;0,0,((M663*24)-P663)*'Estimación de pérdidas'!$F$72))*N663</f>
        <v>4095143.319</v>
      </c>
      <c r="S663" s="123" t="s">
        <v>117</v>
      </c>
      <c r="T663" s="124" t="s">
        <v>132</v>
      </c>
      <c r="U663" s="124">
        <f t="shared" si="3"/>
        <v>5</v>
      </c>
      <c r="V663" s="124">
        <v>2.0</v>
      </c>
      <c r="W663" s="124"/>
      <c r="X663" s="125"/>
      <c r="Y663" s="126"/>
      <c r="Z663" s="125">
        <f t="shared" si="4"/>
        <v>5</v>
      </c>
      <c r="AA663" s="127" t="str">
        <f t="shared" si="5"/>
        <v>Moderado</v>
      </c>
      <c r="AB663" s="128">
        <f t="shared" si="6"/>
        <v>15</v>
      </c>
      <c r="AC663" s="129">
        <f t="shared" si="7"/>
        <v>0.09633275663</v>
      </c>
      <c r="AD663" s="131"/>
    </row>
    <row r="664" ht="14.25" hidden="1" customHeight="1">
      <c r="A664" s="116" t="s">
        <v>539</v>
      </c>
      <c r="B664" s="117" t="s">
        <v>539</v>
      </c>
      <c r="C664" s="117" t="s">
        <v>2077</v>
      </c>
      <c r="D664" s="117" t="s">
        <v>2255</v>
      </c>
      <c r="E664" s="117" t="s">
        <v>2042</v>
      </c>
      <c r="F664" s="117" t="s">
        <v>1993</v>
      </c>
      <c r="G664" s="117" t="s">
        <v>1994</v>
      </c>
      <c r="H664" s="117" t="s">
        <v>1995</v>
      </c>
      <c r="I664" s="117">
        <v>1.0</v>
      </c>
      <c r="J664" s="117">
        <v>1.0</v>
      </c>
      <c r="K664" s="117" t="str">
        <f t="shared" si="1"/>
        <v>No</v>
      </c>
      <c r="L664" s="118" t="s">
        <v>116</v>
      </c>
      <c r="M664" s="119">
        <v>3.0</v>
      </c>
      <c r="N664" s="120">
        <v>1.0</v>
      </c>
      <c r="O664" s="121">
        <v>91.32</v>
      </c>
      <c r="P664" s="117">
        <v>1.0</v>
      </c>
      <c r="Q664" s="117">
        <f t="shared" si="2"/>
        <v>71</v>
      </c>
      <c r="R664" s="122">
        <f>+(IF(((M664*24)-P664)&lt;0,0,((M664*24)-P664)*'Estimación de pérdidas'!$F$72))*N664</f>
        <v>4095143.319</v>
      </c>
      <c r="S664" s="123" t="s">
        <v>117</v>
      </c>
      <c r="T664" s="124" t="s">
        <v>132</v>
      </c>
      <c r="U664" s="124">
        <f t="shared" si="3"/>
        <v>5</v>
      </c>
      <c r="V664" s="124">
        <v>2.0</v>
      </c>
      <c r="W664" s="124"/>
      <c r="X664" s="125"/>
      <c r="Y664" s="126"/>
      <c r="Z664" s="125">
        <f t="shared" si="4"/>
        <v>5</v>
      </c>
      <c r="AA664" s="127" t="str">
        <f t="shared" si="5"/>
        <v>Moderado</v>
      </c>
      <c r="AB664" s="128">
        <f t="shared" si="6"/>
        <v>15</v>
      </c>
      <c r="AC664" s="129">
        <f t="shared" si="7"/>
        <v>0.09633275663</v>
      </c>
      <c r="AD664" s="131"/>
    </row>
    <row r="665" ht="14.25" hidden="1" customHeight="1">
      <c r="A665" s="116" t="s">
        <v>539</v>
      </c>
      <c r="B665" s="117" t="s">
        <v>539</v>
      </c>
      <c r="C665" s="117" t="s">
        <v>2054</v>
      </c>
      <c r="D665" s="117" t="s">
        <v>2256</v>
      </c>
      <c r="E665" s="117" t="s">
        <v>2054</v>
      </c>
      <c r="F665" s="117" t="s">
        <v>2056</v>
      </c>
      <c r="G665" s="117" t="s">
        <v>2057</v>
      </c>
      <c r="H665" s="117" t="s">
        <v>2058</v>
      </c>
      <c r="I665" s="117">
        <v>1.0</v>
      </c>
      <c r="J665" s="117">
        <v>1.0</v>
      </c>
      <c r="K665" s="117" t="str">
        <f t="shared" si="1"/>
        <v>No</v>
      </c>
      <c r="L665" s="118" t="s">
        <v>116</v>
      </c>
      <c r="M665" s="119">
        <v>0.5833333333333334</v>
      </c>
      <c r="N665" s="120">
        <v>1.0</v>
      </c>
      <c r="O665" s="121">
        <v>91.32</v>
      </c>
      <c r="P665" s="117">
        <v>1.0</v>
      </c>
      <c r="Q665" s="117">
        <f t="shared" si="2"/>
        <v>13</v>
      </c>
      <c r="R665" s="122">
        <f>+(IF(((M665*24)-P665)&lt;0,0,((M665*24)-P665)*'Estimación de pérdidas'!$F$72))*N665</f>
        <v>749814.9739</v>
      </c>
      <c r="S665" s="123" t="s">
        <v>117</v>
      </c>
      <c r="T665" s="124" t="s">
        <v>132</v>
      </c>
      <c r="U665" s="124">
        <f t="shared" si="3"/>
        <v>4</v>
      </c>
      <c r="V665" s="124">
        <v>1.0</v>
      </c>
      <c r="W665" s="124"/>
      <c r="X665" s="125"/>
      <c r="Y665" s="126"/>
      <c r="Z665" s="125">
        <f t="shared" si="4"/>
        <v>4</v>
      </c>
      <c r="AA665" s="127" t="str">
        <f t="shared" si="5"/>
        <v>Moderado</v>
      </c>
      <c r="AB665" s="128">
        <f t="shared" si="6"/>
        <v>10</v>
      </c>
      <c r="AC665" s="129">
        <f t="shared" si="7"/>
        <v>0.07375635566</v>
      </c>
      <c r="AD665" s="130"/>
    </row>
    <row r="666" ht="14.25" hidden="1" customHeight="1">
      <c r="A666" s="116" t="s">
        <v>539</v>
      </c>
      <c r="B666" s="117" t="s">
        <v>539</v>
      </c>
      <c r="C666" s="117" t="s">
        <v>2257</v>
      </c>
      <c r="D666" s="117" t="s">
        <v>2258</v>
      </c>
      <c r="E666" s="117" t="s">
        <v>2093</v>
      </c>
      <c r="F666" s="117" t="s">
        <v>2259</v>
      </c>
      <c r="G666" s="117" t="s">
        <v>2087</v>
      </c>
      <c r="H666" s="117" t="s">
        <v>2260</v>
      </c>
      <c r="I666" s="117">
        <v>1.0</v>
      </c>
      <c r="J666" s="117">
        <v>1.0</v>
      </c>
      <c r="K666" s="117" t="str">
        <f t="shared" si="1"/>
        <v>No</v>
      </c>
      <c r="L666" s="118" t="s">
        <v>116</v>
      </c>
      <c r="M666" s="119">
        <v>2.0</v>
      </c>
      <c r="N666" s="120">
        <v>0.0</v>
      </c>
      <c r="O666" s="121">
        <v>91.32</v>
      </c>
      <c r="P666" s="117">
        <v>1.0</v>
      </c>
      <c r="Q666" s="117">
        <f t="shared" si="2"/>
        <v>0</v>
      </c>
      <c r="R666" s="122">
        <f>+(IF(((M666*24)-P666)&lt;0,0,((M666*24)-P666)*'Estimación de pérdidas'!$F$72))*N666</f>
        <v>0</v>
      </c>
      <c r="S666" s="123" t="s">
        <v>117</v>
      </c>
      <c r="T666" s="124" t="s">
        <v>132</v>
      </c>
      <c r="U666" s="124">
        <f t="shared" si="3"/>
        <v>1</v>
      </c>
      <c r="V666" s="124">
        <v>2.0</v>
      </c>
      <c r="W666" s="124"/>
      <c r="X666" s="125"/>
      <c r="Y666" s="126"/>
      <c r="Z666" s="125">
        <f t="shared" si="4"/>
        <v>2</v>
      </c>
      <c r="AA666" s="127" t="str">
        <f t="shared" si="5"/>
        <v>Bajo</v>
      </c>
      <c r="AB666" s="128">
        <f t="shared" si="6"/>
        <v>3</v>
      </c>
      <c r="AC666" s="129">
        <f t="shared" si="7"/>
        <v>0.04</v>
      </c>
    </row>
    <row r="667" ht="14.25" hidden="1" customHeight="1">
      <c r="A667" s="116" t="s">
        <v>539</v>
      </c>
      <c r="B667" s="117" t="s">
        <v>539</v>
      </c>
      <c r="C667" s="117" t="s">
        <v>2031</v>
      </c>
      <c r="D667" s="117" t="s">
        <v>2261</v>
      </c>
      <c r="E667" s="117" t="s">
        <v>2031</v>
      </c>
      <c r="F667" s="117" t="s">
        <v>2033</v>
      </c>
      <c r="G667" s="117" t="s">
        <v>1973</v>
      </c>
      <c r="H667" s="117" t="s">
        <v>2034</v>
      </c>
      <c r="I667" s="117">
        <v>1.0</v>
      </c>
      <c r="J667" s="117">
        <v>1.0</v>
      </c>
      <c r="K667" s="117" t="str">
        <f t="shared" si="1"/>
        <v>No</v>
      </c>
      <c r="L667" s="118" t="s">
        <v>116</v>
      </c>
      <c r="M667" s="119">
        <v>0.5</v>
      </c>
      <c r="N667" s="120">
        <v>1.0</v>
      </c>
      <c r="O667" s="121">
        <v>91.32</v>
      </c>
      <c r="P667" s="117">
        <v>1.0</v>
      </c>
      <c r="Q667" s="117">
        <f t="shared" si="2"/>
        <v>11</v>
      </c>
      <c r="R667" s="122">
        <f>+(IF(((M667*24)-P667)&lt;0,0,((M667*24)-P667)*'Estimación de pérdidas'!$F$72))*N667</f>
        <v>634458.8241</v>
      </c>
      <c r="S667" s="123" t="s">
        <v>117</v>
      </c>
      <c r="T667" s="124" t="s">
        <v>119</v>
      </c>
      <c r="U667" s="124">
        <f t="shared" si="3"/>
        <v>4</v>
      </c>
      <c r="V667" s="124">
        <v>2.0</v>
      </c>
      <c r="W667" s="124"/>
      <c r="X667" s="125"/>
      <c r="Y667" s="126"/>
      <c r="Z667" s="125">
        <f t="shared" si="4"/>
        <v>4</v>
      </c>
      <c r="AA667" s="127" t="str">
        <f t="shared" si="5"/>
        <v>Moderado</v>
      </c>
      <c r="AB667" s="128">
        <f t="shared" si="6"/>
        <v>18</v>
      </c>
      <c r="AC667" s="129">
        <f t="shared" si="7"/>
        <v>0.24</v>
      </c>
      <c r="AD667" s="130"/>
    </row>
    <row r="668" ht="14.25" hidden="1" customHeight="1">
      <c r="A668" s="116" t="s">
        <v>539</v>
      </c>
      <c r="B668" s="117" t="s">
        <v>539</v>
      </c>
      <c r="C668" s="117" t="s">
        <v>2035</v>
      </c>
      <c r="D668" s="117" t="s">
        <v>2262</v>
      </c>
      <c r="E668" s="117" t="s">
        <v>2035</v>
      </c>
      <c r="F668" s="117" t="s">
        <v>2037</v>
      </c>
      <c r="G668" s="117" t="s">
        <v>2038</v>
      </c>
      <c r="H668" s="117" t="s">
        <v>2039</v>
      </c>
      <c r="I668" s="117">
        <v>1.0</v>
      </c>
      <c r="J668" s="117">
        <v>1.0</v>
      </c>
      <c r="K668" s="117" t="str">
        <f t="shared" si="1"/>
        <v>No</v>
      </c>
      <c r="L668" s="118" t="s">
        <v>116</v>
      </c>
      <c r="M668" s="119">
        <v>0.5</v>
      </c>
      <c r="N668" s="120">
        <v>1.0</v>
      </c>
      <c r="O668" s="121">
        <v>91.32</v>
      </c>
      <c r="P668" s="117">
        <v>1.0</v>
      </c>
      <c r="Q668" s="117">
        <f t="shared" si="2"/>
        <v>11</v>
      </c>
      <c r="R668" s="122">
        <f>+(IF(((M668*24)-P668)&lt;0,0,((M668*24)-P668)*'Estimación de pérdidas'!$F$72))*N668</f>
        <v>634458.8241</v>
      </c>
      <c r="S668" s="123" t="s">
        <v>117</v>
      </c>
      <c r="T668" s="124" t="s">
        <v>119</v>
      </c>
      <c r="U668" s="124">
        <f t="shared" si="3"/>
        <v>4</v>
      </c>
      <c r="V668" s="124">
        <v>2.0</v>
      </c>
      <c r="W668" s="124"/>
      <c r="X668" s="125"/>
      <c r="Y668" s="126"/>
      <c r="Z668" s="125">
        <f t="shared" si="4"/>
        <v>4</v>
      </c>
      <c r="AA668" s="127" t="str">
        <f t="shared" si="5"/>
        <v>Moderado</v>
      </c>
      <c r="AB668" s="128">
        <f t="shared" si="6"/>
        <v>18</v>
      </c>
      <c r="AC668" s="129">
        <f t="shared" si="7"/>
        <v>0.24</v>
      </c>
      <c r="AD668" s="130"/>
    </row>
    <row r="669" ht="14.25" hidden="1" customHeight="1">
      <c r="A669" s="116" t="s">
        <v>539</v>
      </c>
      <c r="B669" s="117" t="s">
        <v>575</v>
      </c>
      <c r="C669" s="117" t="s">
        <v>2263</v>
      </c>
      <c r="D669" s="117" t="s">
        <v>2264</v>
      </c>
      <c r="E669" s="117" t="s">
        <v>2265</v>
      </c>
      <c r="F669" s="117" t="s">
        <v>2266</v>
      </c>
      <c r="G669" s="117" t="s">
        <v>2047</v>
      </c>
      <c r="H669" s="117" t="s">
        <v>2161</v>
      </c>
      <c r="I669" s="117">
        <v>3.0</v>
      </c>
      <c r="J669" s="117">
        <v>2.0</v>
      </c>
      <c r="K669" s="117" t="str">
        <f t="shared" si="1"/>
        <v>Si</v>
      </c>
      <c r="L669" s="118" t="s">
        <v>287</v>
      </c>
      <c r="M669" s="119">
        <v>0.3333333333333333</v>
      </c>
      <c r="N669" s="120">
        <v>0.0</v>
      </c>
      <c r="O669" s="121">
        <v>91.32</v>
      </c>
      <c r="P669" s="117">
        <v>1.0</v>
      </c>
      <c r="Q669" s="117">
        <f t="shared" si="2"/>
        <v>0</v>
      </c>
      <c r="R669" s="122">
        <f>+(IF(((M669*24)-P669)&lt;0,0,((M669*24)-P669)*'Estimación de pérdidas'!$F$72))*N669</f>
        <v>0</v>
      </c>
      <c r="S669" s="123" t="s">
        <v>117</v>
      </c>
      <c r="T669" s="124" t="s">
        <v>119</v>
      </c>
      <c r="U669" s="124">
        <f t="shared" si="3"/>
        <v>1</v>
      </c>
      <c r="V669" s="124">
        <v>2.0</v>
      </c>
      <c r="W669" s="124"/>
      <c r="X669" s="125"/>
      <c r="Y669" s="126"/>
      <c r="Z669" s="125">
        <f t="shared" si="4"/>
        <v>2</v>
      </c>
      <c r="AA669" s="127" t="str">
        <f t="shared" si="5"/>
        <v>Moderado</v>
      </c>
      <c r="AB669" s="128">
        <f t="shared" si="6"/>
        <v>8</v>
      </c>
      <c r="AC669" s="129">
        <f t="shared" si="7"/>
        <v>0.12</v>
      </c>
      <c r="AD669" s="131"/>
    </row>
    <row r="670" ht="14.25" hidden="1" customHeight="1">
      <c r="A670" s="116" t="s">
        <v>539</v>
      </c>
      <c r="B670" s="117" t="s">
        <v>575</v>
      </c>
      <c r="C670" s="117" t="s">
        <v>2267</v>
      </c>
      <c r="D670" s="117" t="s">
        <v>2268</v>
      </c>
      <c r="E670" s="117" t="s">
        <v>2269</v>
      </c>
      <c r="F670" s="117" t="s">
        <v>2270</v>
      </c>
      <c r="G670" s="117" t="s">
        <v>2047</v>
      </c>
      <c r="H670" s="117" t="s">
        <v>2161</v>
      </c>
      <c r="I670" s="117">
        <v>3.0</v>
      </c>
      <c r="J670" s="117">
        <v>2.0</v>
      </c>
      <c r="K670" s="117" t="str">
        <f t="shared" si="1"/>
        <v>Si</v>
      </c>
      <c r="L670" s="118" t="s">
        <v>287</v>
      </c>
      <c r="M670" s="119">
        <v>0.3333333333333333</v>
      </c>
      <c r="N670" s="120">
        <v>0.0</v>
      </c>
      <c r="O670" s="121">
        <v>91.32</v>
      </c>
      <c r="P670" s="117">
        <v>1.0</v>
      </c>
      <c r="Q670" s="117">
        <f t="shared" si="2"/>
        <v>0</v>
      </c>
      <c r="R670" s="122">
        <f>+(IF(((M670*24)-P670)&lt;0,0,((M670*24)-P670)*'Estimación de pérdidas'!$F$72))*N670</f>
        <v>0</v>
      </c>
      <c r="S670" s="123" t="s">
        <v>117</v>
      </c>
      <c r="T670" s="124" t="s">
        <v>119</v>
      </c>
      <c r="U670" s="124">
        <f t="shared" si="3"/>
        <v>1</v>
      </c>
      <c r="V670" s="124">
        <v>2.0</v>
      </c>
      <c r="W670" s="124"/>
      <c r="X670" s="125"/>
      <c r="Y670" s="126"/>
      <c r="Z670" s="125">
        <f t="shared" si="4"/>
        <v>2</v>
      </c>
      <c r="AA670" s="127" t="str">
        <f t="shared" si="5"/>
        <v>Moderado</v>
      </c>
      <c r="AB670" s="128">
        <f t="shared" si="6"/>
        <v>8</v>
      </c>
      <c r="AC670" s="129">
        <f t="shared" si="7"/>
        <v>0.12</v>
      </c>
      <c r="AD670" s="131"/>
    </row>
    <row r="671" ht="14.25" hidden="1" customHeight="1">
      <c r="A671" s="116" t="s">
        <v>539</v>
      </c>
      <c r="B671" s="117" t="s">
        <v>575</v>
      </c>
      <c r="C671" s="117" t="s">
        <v>2271</v>
      </c>
      <c r="D671" s="117" t="s">
        <v>2272</v>
      </c>
      <c r="E671" s="117" t="s">
        <v>2273</v>
      </c>
      <c r="F671" s="117" t="s">
        <v>2274</v>
      </c>
      <c r="G671" s="117" t="s">
        <v>2047</v>
      </c>
      <c r="H671" s="117" t="s">
        <v>2161</v>
      </c>
      <c r="I671" s="117">
        <v>3.0</v>
      </c>
      <c r="J671" s="117">
        <v>2.0</v>
      </c>
      <c r="K671" s="117" t="str">
        <f t="shared" si="1"/>
        <v>Si</v>
      </c>
      <c r="L671" s="118" t="s">
        <v>287</v>
      </c>
      <c r="M671" s="119">
        <v>0.3333333333333333</v>
      </c>
      <c r="N671" s="120">
        <v>0.0</v>
      </c>
      <c r="O671" s="121">
        <v>91.32</v>
      </c>
      <c r="P671" s="117">
        <v>1.0</v>
      </c>
      <c r="Q671" s="117">
        <f t="shared" si="2"/>
        <v>0</v>
      </c>
      <c r="R671" s="122">
        <f>+(IF(((M671*24)-P671)&lt;0,0,((M671*24)-P671)*'Estimación de pérdidas'!$F$72))*N671</f>
        <v>0</v>
      </c>
      <c r="S671" s="123" t="s">
        <v>117</v>
      </c>
      <c r="T671" s="124" t="s">
        <v>119</v>
      </c>
      <c r="U671" s="124">
        <f t="shared" si="3"/>
        <v>1</v>
      </c>
      <c r="V671" s="124">
        <v>2.0</v>
      </c>
      <c r="W671" s="124"/>
      <c r="X671" s="125"/>
      <c r="Y671" s="126"/>
      <c r="Z671" s="125">
        <f t="shared" si="4"/>
        <v>2</v>
      </c>
      <c r="AA671" s="127" t="str">
        <f t="shared" si="5"/>
        <v>Moderado</v>
      </c>
      <c r="AB671" s="128">
        <f t="shared" si="6"/>
        <v>8</v>
      </c>
      <c r="AC671" s="129">
        <f t="shared" si="7"/>
        <v>0.12</v>
      </c>
      <c r="AD671" s="131"/>
    </row>
    <row r="672" ht="14.25" hidden="1" customHeight="1">
      <c r="A672" s="116" t="s">
        <v>927</v>
      </c>
      <c r="B672" s="117" t="s">
        <v>927</v>
      </c>
      <c r="C672" s="117" t="s">
        <v>2077</v>
      </c>
      <c r="D672" s="117" t="s">
        <v>2275</v>
      </c>
      <c r="E672" s="117" t="s">
        <v>2042</v>
      </c>
      <c r="F672" s="117" t="s">
        <v>1993</v>
      </c>
      <c r="G672" s="117" t="s">
        <v>1994</v>
      </c>
      <c r="H672" s="117" t="s">
        <v>1995</v>
      </c>
      <c r="I672" s="117">
        <v>1.0</v>
      </c>
      <c r="J672" s="117">
        <v>1.0</v>
      </c>
      <c r="K672" s="117" t="str">
        <f t="shared" si="1"/>
        <v>No</v>
      </c>
      <c r="L672" s="118" t="s">
        <v>116</v>
      </c>
      <c r="M672" s="119">
        <v>3.0</v>
      </c>
      <c r="N672" s="120">
        <v>1.0</v>
      </c>
      <c r="O672" s="121">
        <v>91.32</v>
      </c>
      <c r="P672" s="117">
        <v>1.0</v>
      </c>
      <c r="Q672" s="117">
        <f t="shared" si="2"/>
        <v>71</v>
      </c>
      <c r="R672" s="122">
        <f>+(IF(((M672*24)-P672)&lt;0,0,((M672*24)-P672)*'Estimación de pérdidas'!$F$72))*N672</f>
        <v>4095143.319</v>
      </c>
      <c r="S672" s="123" t="s">
        <v>117</v>
      </c>
      <c r="T672" s="124" t="s">
        <v>132</v>
      </c>
      <c r="U672" s="124">
        <f t="shared" si="3"/>
        <v>5</v>
      </c>
      <c r="V672" s="124">
        <v>2.0</v>
      </c>
      <c r="W672" s="124"/>
      <c r="X672" s="125"/>
      <c r="Y672" s="126"/>
      <c r="Z672" s="125">
        <f t="shared" si="4"/>
        <v>5</v>
      </c>
      <c r="AA672" s="127" t="str">
        <f t="shared" si="5"/>
        <v>Moderado</v>
      </c>
      <c r="AB672" s="128">
        <f t="shared" si="6"/>
        <v>15</v>
      </c>
      <c r="AC672" s="129">
        <f t="shared" si="7"/>
        <v>0.09633275663</v>
      </c>
      <c r="AD672" s="131"/>
    </row>
    <row r="673" ht="14.25" hidden="1" customHeight="1">
      <c r="A673" s="116" t="s">
        <v>1345</v>
      </c>
      <c r="B673" s="117" t="s">
        <v>1345</v>
      </c>
      <c r="C673" s="117" t="s">
        <v>2077</v>
      </c>
      <c r="D673" s="117" t="s">
        <v>2276</v>
      </c>
      <c r="E673" s="117" t="s">
        <v>2042</v>
      </c>
      <c r="F673" s="117" t="s">
        <v>1993</v>
      </c>
      <c r="G673" s="117" t="s">
        <v>1994</v>
      </c>
      <c r="H673" s="117" t="s">
        <v>1995</v>
      </c>
      <c r="I673" s="117">
        <v>1.0</v>
      </c>
      <c r="J673" s="117">
        <v>1.0</v>
      </c>
      <c r="K673" s="117" t="str">
        <f t="shared" si="1"/>
        <v>No</v>
      </c>
      <c r="L673" s="118" t="s">
        <v>116</v>
      </c>
      <c r="M673" s="119">
        <v>3.0</v>
      </c>
      <c r="N673" s="120">
        <v>1.0</v>
      </c>
      <c r="O673" s="121">
        <v>91.32</v>
      </c>
      <c r="P673" s="117">
        <v>1.0</v>
      </c>
      <c r="Q673" s="117">
        <f t="shared" si="2"/>
        <v>71</v>
      </c>
      <c r="R673" s="122">
        <f>+(IF(((M673*24)-P673)&lt;0,0,((M673*24)-P673)*'Estimación de pérdidas'!$F$72))*N673</f>
        <v>4095143.319</v>
      </c>
      <c r="S673" s="123" t="s">
        <v>117</v>
      </c>
      <c r="T673" s="124" t="s">
        <v>132</v>
      </c>
      <c r="U673" s="124">
        <f t="shared" si="3"/>
        <v>5</v>
      </c>
      <c r="V673" s="124">
        <v>2.0</v>
      </c>
      <c r="W673" s="124"/>
      <c r="X673" s="125"/>
      <c r="Y673" s="126"/>
      <c r="Z673" s="125">
        <f t="shared" si="4"/>
        <v>5</v>
      </c>
      <c r="AA673" s="127" t="str">
        <f t="shared" si="5"/>
        <v>Moderado</v>
      </c>
      <c r="AB673" s="128">
        <f t="shared" si="6"/>
        <v>15</v>
      </c>
      <c r="AC673" s="129">
        <f t="shared" si="7"/>
        <v>0.09633275663</v>
      </c>
      <c r="AD673" s="131"/>
    </row>
    <row r="674" ht="14.25" hidden="1" customHeight="1">
      <c r="A674" s="116" t="s">
        <v>1345</v>
      </c>
      <c r="B674" s="117" t="s">
        <v>1345</v>
      </c>
      <c r="C674" s="117" t="s">
        <v>2077</v>
      </c>
      <c r="D674" s="117" t="s">
        <v>2277</v>
      </c>
      <c r="E674" s="117" t="s">
        <v>2042</v>
      </c>
      <c r="F674" s="117" t="s">
        <v>1993</v>
      </c>
      <c r="G674" s="117" t="s">
        <v>1994</v>
      </c>
      <c r="H674" s="117" t="s">
        <v>1995</v>
      </c>
      <c r="I674" s="117">
        <v>1.0</v>
      </c>
      <c r="J674" s="117">
        <v>1.0</v>
      </c>
      <c r="K674" s="117" t="str">
        <f t="shared" si="1"/>
        <v>No</v>
      </c>
      <c r="L674" s="118" t="s">
        <v>116</v>
      </c>
      <c r="M674" s="119">
        <v>3.0</v>
      </c>
      <c r="N674" s="120">
        <v>1.0</v>
      </c>
      <c r="O674" s="121">
        <v>91.32</v>
      </c>
      <c r="P674" s="117">
        <v>1.0</v>
      </c>
      <c r="Q674" s="117">
        <f t="shared" si="2"/>
        <v>71</v>
      </c>
      <c r="R674" s="122">
        <f>+(IF(((M674*24)-P674)&lt;0,0,((M674*24)-P674)*'Estimación de pérdidas'!$F$72))*N674</f>
        <v>4095143.319</v>
      </c>
      <c r="S674" s="123" t="s">
        <v>117</v>
      </c>
      <c r="T674" s="124" t="s">
        <v>132</v>
      </c>
      <c r="U674" s="124">
        <f t="shared" si="3"/>
        <v>5</v>
      </c>
      <c r="V674" s="124">
        <v>2.0</v>
      </c>
      <c r="W674" s="124"/>
      <c r="X674" s="125"/>
      <c r="Y674" s="126"/>
      <c r="Z674" s="125">
        <f t="shared" si="4"/>
        <v>5</v>
      </c>
      <c r="AA674" s="127" t="str">
        <f t="shared" si="5"/>
        <v>Moderado</v>
      </c>
      <c r="AB674" s="128">
        <f t="shared" si="6"/>
        <v>15</v>
      </c>
      <c r="AC674" s="129">
        <f t="shared" si="7"/>
        <v>0.09633275663</v>
      </c>
      <c r="AD674" s="131"/>
    </row>
    <row r="675" ht="14.25" hidden="1" customHeight="1">
      <c r="A675" s="116" t="s">
        <v>1345</v>
      </c>
      <c r="B675" s="117" t="s">
        <v>1378</v>
      </c>
      <c r="C675" s="117" t="s">
        <v>2278</v>
      </c>
      <c r="D675" s="117" t="s">
        <v>2279</v>
      </c>
      <c r="E675" s="117" t="s">
        <v>2280</v>
      </c>
      <c r="F675" s="117" t="s">
        <v>2281</v>
      </c>
      <c r="G675" s="117" t="s">
        <v>2047</v>
      </c>
      <c r="H675" s="117" t="s">
        <v>2161</v>
      </c>
      <c r="I675" s="117">
        <v>2.0</v>
      </c>
      <c r="J675" s="117">
        <v>1.0</v>
      </c>
      <c r="K675" s="117" t="str">
        <f t="shared" si="1"/>
        <v>Si</v>
      </c>
      <c r="L675" s="118" t="s">
        <v>287</v>
      </c>
      <c r="M675" s="119">
        <v>0.3333333333333333</v>
      </c>
      <c r="N675" s="120">
        <v>0.0</v>
      </c>
      <c r="O675" s="121">
        <v>91.32</v>
      </c>
      <c r="P675" s="117">
        <v>1.0</v>
      </c>
      <c r="Q675" s="117">
        <f t="shared" si="2"/>
        <v>0</v>
      </c>
      <c r="R675" s="122">
        <f>+(IF(((M675*24)-P675)&lt;0,0,((M675*24)-P675)*'Estimación de pérdidas'!$F$72))*N675</f>
        <v>0</v>
      </c>
      <c r="S675" s="123" t="s">
        <v>117</v>
      </c>
      <c r="T675" s="124" t="s">
        <v>119</v>
      </c>
      <c r="U675" s="124">
        <f t="shared" si="3"/>
        <v>1</v>
      </c>
      <c r="V675" s="124">
        <v>2.0</v>
      </c>
      <c r="W675" s="124"/>
      <c r="X675" s="125"/>
      <c r="Y675" s="126"/>
      <c r="Z675" s="125">
        <f t="shared" si="4"/>
        <v>2</v>
      </c>
      <c r="AA675" s="127" t="str">
        <f t="shared" si="5"/>
        <v>Moderado</v>
      </c>
      <c r="AB675" s="128">
        <f t="shared" si="6"/>
        <v>8</v>
      </c>
      <c r="AC675" s="129">
        <f t="shared" si="7"/>
        <v>0.12</v>
      </c>
      <c r="AD675" s="131"/>
    </row>
    <row r="676" ht="14.25" hidden="1" customHeight="1">
      <c r="A676" s="116" t="s">
        <v>1345</v>
      </c>
      <c r="B676" s="117" t="s">
        <v>1378</v>
      </c>
      <c r="C676" s="117" t="s">
        <v>2282</v>
      </c>
      <c r="D676" s="117" t="s">
        <v>2283</v>
      </c>
      <c r="E676" s="117" t="s">
        <v>2284</v>
      </c>
      <c r="F676" s="117" t="s">
        <v>2285</v>
      </c>
      <c r="G676" s="117" t="s">
        <v>2047</v>
      </c>
      <c r="H676" s="117" t="s">
        <v>2161</v>
      </c>
      <c r="I676" s="117">
        <v>2.0</v>
      </c>
      <c r="J676" s="117">
        <v>1.0</v>
      </c>
      <c r="K676" s="117" t="str">
        <f t="shared" si="1"/>
        <v>Si</v>
      </c>
      <c r="L676" s="118" t="s">
        <v>287</v>
      </c>
      <c r="M676" s="119">
        <v>0.3333333333333333</v>
      </c>
      <c r="N676" s="120">
        <v>0.0</v>
      </c>
      <c r="O676" s="121">
        <v>91.32</v>
      </c>
      <c r="P676" s="117">
        <v>1.0</v>
      </c>
      <c r="Q676" s="117">
        <f t="shared" si="2"/>
        <v>0</v>
      </c>
      <c r="R676" s="122">
        <f>+(IF(((M676*24)-P676)&lt;0,0,((M676*24)-P676)*'Estimación de pérdidas'!$F$72))*N676</f>
        <v>0</v>
      </c>
      <c r="S676" s="123" t="s">
        <v>117</v>
      </c>
      <c r="T676" s="124" t="s">
        <v>119</v>
      </c>
      <c r="U676" s="124">
        <f t="shared" si="3"/>
        <v>1</v>
      </c>
      <c r="V676" s="124">
        <v>2.0</v>
      </c>
      <c r="W676" s="124"/>
      <c r="X676" s="125"/>
      <c r="Y676" s="126"/>
      <c r="Z676" s="125">
        <f t="shared" si="4"/>
        <v>2</v>
      </c>
      <c r="AA676" s="127" t="str">
        <f t="shared" si="5"/>
        <v>Moderado</v>
      </c>
      <c r="AB676" s="128">
        <f t="shared" si="6"/>
        <v>8</v>
      </c>
      <c r="AC676" s="129">
        <f t="shared" si="7"/>
        <v>0.12</v>
      </c>
      <c r="AD676" s="131"/>
    </row>
    <row r="677" ht="14.25" hidden="1" customHeight="1">
      <c r="A677" s="116" t="s">
        <v>1345</v>
      </c>
      <c r="B677" s="117" t="s">
        <v>1378</v>
      </c>
      <c r="C677" s="117" t="s">
        <v>2286</v>
      </c>
      <c r="D677" s="117" t="s">
        <v>2287</v>
      </c>
      <c r="E677" s="117" t="s">
        <v>2288</v>
      </c>
      <c r="F677" s="117" t="s">
        <v>2289</v>
      </c>
      <c r="G677" s="117" t="s">
        <v>2047</v>
      </c>
      <c r="H677" s="117" t="s">
        <v>2161</v>
      </c>
      <c r="I677" s="117">
        <v>2.0</v>
      </c>
      <c r="J677" s="117">
        <v>1.0</v>
      </c>
      <c r="K677" s="117" t="str">
        <f t="shared" si="1"/>
        <v>Si</v>
      </c>
      <c r="L677" s="118" t="s">
        <v>287</v>
      </c>
      <c r="M677" s="119">
        <v>0.3333333333333333</v>
      </c>
      <c r="N677" s="120">
        <v>0.0</v>
      </c>
      <c r="O677" s="121">
        <v>91.32</v>
      </c>
      <c r="P677" s="117">
        <v>1.0</v>
      </c>
      <c r="Q677" s="117">
        <f t="shared" si="2"/>
        <v>0</v>
      </c>
      <c r="R677" s="122">
        <f>+(IF(((M677*24)-P677)&lt;0,0,((M677*24)-P677)*'Estimación de pérdidas'!$F$72))*N677</f>
        <v>0</v>
      </c>
      <c r="S677" s="123" t="s">
        <v>117</v>
      </c>
      <c r="T677" s="124" t="s">
        <v>119</v>
      </c>
      <c r="U677" s="124">
        <f t="shared" si="3"/>
        <v>1</v>
      </c>
      <c r="V677" s="124">
        <v>2.0</v>
      </c>
      <c r="W677" s="124"/>
      <c r="X677" s="125"/>
      <c r="Y677" s="126"/>
      <c r="Z677" s="125">
        <f t="shared" si="4"/>
        <v>2</v>
      </c>
      <c r="AA677" s="127" t="str">
        <f t="shared" si="5"/>
        <v>Moderado</v>
      </c>
      <c r="AB677" s="128">
        <f t="shared" si="6"/>
        <v>8</v>
      </c>
      <c r="AC677" s="129">
        <f t="shared" si="7"/>
        <v>0.12</v>
      </c>
      <c r="AD677" s="131"/>
    </row>
    <row r="678" ht="14.25" hidden="1" customHeight="1">
      <c r="A678" s="116" t="s">
        <v>1345</v>
      </c>
      <c r="B678" s="117" t="s">
        <v>1378</v>
      </c>
      <c r="C678" s="117" t="s">
        <v>2290</v>
      </c>
      <c r="D678" s="117" t="s">
        <v>2291</v>
      </c>
      <c r="E678" s="117" t="s">
        <v>2292</v>
      </c>
      <c r="F678" s="117" t="s">
        <v>2293</v>
      </c>
      <c r="G678" s="117" t="s">
        <v>2047</v>
      </c>
      <c r="H678" s="117" t="s">
        <v>2161</v>
      </c>
      <c r="I678" s="117">
        <v>2.0</v>
      </c>
      <c r="J678" s="117">
        <v>1.0</v>
      </c>
      <c r="K678" s="117" t="str">
        <f t="shared" si="1"/>
        <v>Si</v>
      </c>
      <c r="L678" s="118" t="s">
        <v>287</v>
      </c>
      <c r="M678" s="119">
        <v>0.3333333333333333</v>
      </c>
      <c r="N678" s="120">
        <v>0.0</v>
      </c>
      <c r="O678" s="121">
        <v>91.32</v>
      </c>
      <c r="P678" s="117">
        <v>1.0</v>
      </c>
      <c r="Q678" s="117">
        <f t="shared" si="2"/>
        <v>0</v>
      </c>
      <c r="R678" s="122">
        <f>+(IF(((M678*24)-P678)&lt;0,0,((M678*24)-P678)*'Estimación de pérdidas'!$F$72))*N678</f>
        <v>0</v>
      </c>
      <c r="S678" s="123" t="s">
        <v>117</v>
      </c>
      <c r="T678" s="124" t="s">
        <v>119</v>
      </c>
      <c r="U678" s="124">
        <f t="shared" si="3"/>
        <v>1</v>
      </c>
      <c r="V678" s="124">
        <v>2.0</v>
      </c>
      <c r="W678" s="124"/>
      <c r="X678" s="125"/>
      <c r="Y678" s="126"/>
      <c r="Z678" s="125">
        <f t="shared" si="4"/>
        <v>2</v>
      </c>
      <c r="AA678" s="127" t="str">
        <f t="shared" si="5"/>
        <v>Moderado</v>
      </c>
      <c r="AB678" s="128">
        <f t="shared" si="6"/>
        <v>8</v>
      </c>
      <c r="AC678" s="129">
        <f t="shared" si="7"/>
        <v>0.12</v>
      </c>
      <c r="AD678" s="131"/>
    </row>
    <row r="679" ht="14.25" hidden="1" customHeight="1">
      <c r="A679" s="116" t="s">
        <v>847</v>
      </c>
      <c r="B679" s="117" t="s">
        <v>847</v>
      </c>
      <c r="C679" s="117" t="s">
        <v>2077</v>
      </c>
      <c r="D679" s="117" t="s">
        <v>2294</v>
      </c>
      <c r="E679" s="117" t="s">
        <v>2042</v>
      </c>
      <c r="F679" s="117" t="s">
        <v>1993</v>
      </c>
      <c r="G679" s="117" t="s">
        <v>1994</v>
      </c>
      <c r="H679" s="117" t="s">
        <v>1995</v>
      </c>
      <c r="I679" s="117">
        <v>1.0</v>
      </c>
      <c r="J679" s="117">
        <v>1.0</v>
      </c>
      <c r="K679" s="117" t="str">
        <f t="shared" si="1"/>
        <v>No</v>
      </c>
      <c r="L679" s="118" t="s">
        <v>116</v>
      </c>
      <c r="M679" s="119">
        <v>3.0</v>
      </c>
      <c r="N679" s="120">
        <v>1.0</v>
      </c>
      <c r="O679" s="121">
        <v>91.32</v>
      </c>
      <c r="P679" s="117">
        <v>1.0</v>
      </c>
      <c r="Q679" s="117">
        <f t="shared" si="2"/>
        <v>71</v>
      </c>
      <c r="R679" s="122">
        <f>+(IF(((M679*24)-P679)&lt;0,0,((M679*24)-P679)*'Estimación de pérdidas'!$F$72))*N679</f>
        <v>4095143.319</v>
      </c>
      <c r="S679" s="123" t="s">
        <v>117</v>
      </c>
      <c r="T679" s="124" t="s">
        <v>132</v>
      </c>
      <c r="U679" s="124">
        <f t="shared" si="3"/>
        <v>5</v>
      </c>
      <c r="V679" s="124">
        <v>2.0</v>
      </c>
      <c r="W679" s="124"/>
      <c r="X679" s="125"/>
      <c r="Y679" s="126"/>
      <c r="Z679" s="125">
        <f t="shared" si="4"/>
        <v>5</v>
      </c>
      <c r="AA679" s="127" t="str">
        <f t="shared" si="5"/>
        <v>Moderado</v>
      </c>
      <c r="AB679" s="128">
        <f t="shared" si="6"/>
        <v>15</v>
      </c>
      <c r="AC679" s="129">
        <f t="shared" si="7"/>
        <v>0.09633275663</v>
      </c>
      <c r="AD679" s="131"/>
    </row>
    <row r="680" ht="14.25" hidden="1" customHeight="1">
      <c r="A680" s="116" t="s">
        <v>847</v>
      </c>
      <c r="B680" s="117" t="s">
        <v>847</v>
      </c>
      <c r="C680" s="117" t="s">
        <v>2077</v>
      </c>
      <c r="D680" s="117" t="s">
        <v>2295</v>
      </c>
      <c r="E680" s="117" t="s">
        <v>2042</v>
      </c>
      <c r="F680" s="117" t="s">
        <v>1993</v>
      </c>
      <c r="G680" s="117" t="s">
        <v>1994</v>
      </c>
      <c r="H680" s="117" t="s">
        <v>1995</v>
      </c>
      <c r="I680" s="117">
        <v>1.0</v>
      </c>
      <c r="J680" s="117">
        <v>1.0</v>
      </c>
      <c r="K680" s="117" t="str">
        <f t="shared" si="1"/>
        <v>No</v>
      </c>
      <c r="L680" s="118" t="s">
        <v>116</v>
      </c>
      <c r="M680" s="119">
        <v>3.0</v>
      </c>
      <c r="N680" s="120">
        <v>1.0</v>
      </c>
      <c r="O680" s="121">
        <v>91.32</v>
      </c>
      <c r="P680" s="117">
        <v>1.0</v>
      </c>
      <c r="Q680" s="117">
        <f t="shared" si="2"/>
        <v>71</v>
      </c>
      <c r="R680" s="122">
        <f>+(IF(((M680*24)-P680)&lt;0,0,((M680*24)-P680)*'Estimación de pérdidas'!$F$72))*N680</f>
        <v>4095143.319</v>
      </c>
      <c r="S680" s="123" t="s">
        <v>117</v>
      </c>
      <c r="T680" s="124" t="s">
        <v>132</v>
      </c>
      <c r="U680" s="124">
        <f t="shared" si="3"/>
        <v>5</v>
      </c>
      <c r="V680" s="124">
        <v>2.0</v>
      </c>
      <c r="W680" s="124"/>
      <c r="X680" s="125"/>
      <c r="Y680" s="126"/>
      <c r="Z680" s="125">
        <f t="shared" si="4"/>
        <v>5</v>
      </c>
      <c r="AA680" s="127" t="str">
        <f t="shared" si="5"/>
        <v>Moderado</v>
      </c>
      <c r="AB680" s="128">
        <f t="shared" si="6"/>
        <v>15</v>
      </c>
      <c r="AC680" s="129">
        <f t="shared" si="7"/>
        <v>0.09633275663</v>
      </c>
      <c r="AD680" s="131"/>
    </row>
    <row r="681" ht="14.25" hidden="1" customHeight="1">
      <c r="A681" s="116" t="s">
        <v>1345</v>
      </c>
      <c r="B681" s="117" t="s">
        <v>1345</v>
      </c>
      <c r="C681" s="117" t="s">
        <v>2001</v>
      </c>
      <c r="D681" s="117" t="s">
        <v>2296</v>
      </c>
      <c r="E681" s="117" t="s">
        <v>2003</v>
      </c>
      <c r="F681" s="117" t="s">
        <v>2004</v>
      </c>
      <c r="G681" s="117" t="s">
        <v>2005</v>
      </c>
      <c r="H681" s="117" t="s">
        <v>2060</v>
      </c>
      <c r="I681" s="117">
        <v>1.0</v>
      </c>
      <c r="J681" s="117">
        <v>1.0</v>
      </c>
      <c r="K681" s="117" t="str">
        <f t="shared" si="1"/>
        <v>No</v>
      </c>
      <c r="L681" s="118" t="s">
        <v>116</v>
      </c>
      <c r="M681" s="119">
        <v>0.3333333333333333</v>
      </c>
      <c r="N681" s="120">
        <v>1.0</v>
      </c>
      <c r="O681" s="121">
        <v>91.32</v>
      </c>
      <c r="P681" s="117">
        <v>1.0</v>
      </c>
      <c r="Q681" s="117">
        <f t="shared" si="2"/>
        <v>7</v>
      </c>
      <c r="R681" s="122">
        <f>+(IF(((M681*24)-P681)&lt;0,0,((M681*24)-P681)*'Estimación de pérdidas'!$F$72))*N681</f>
        <v>403746.5244</v>
      </c>
      <c r="S681" s="123" t="s">
        <v>117</v>
      </c>
      <c r="T681" s="124" t="s">
        <v>119</v>
      </c>
      <c r="U681" s="124">
        <f t="shared" si="3"/>
        <v>3</v>
      </c>
      <c r="V681" s="124">
        <v>2.0</v>
      </c>
      <c r="W681" s="124"/>
      <c r="X681" s="125"/>
      <c r="Y681" s="126"/>
      <c r="Z681" s="125">
        <f t="shared" si="4"/>
        <v>3</v>
      </c>
      <c r="AA681" s="127" t="str">
        <f t="shared" si="5"/>
        <v>Moderado</v>
      </c>
      <c r="AB681" s="128">
        <f t="shared" si="6"/>
        <v>13</v>
      </c>
      <c r="AC681" s="129">
        <f t="shared" si="7"/>
        <v>0.193494186</v>
      </c>
      <c r="AD681" s="131"/>
    </row>
    <row r="682" ht="14.25" hidden="1" customHeight="1">
      <c r="A682" s="116" t="s">
        <v>1345</v>
      </c>
      <c r="B682" s="117" t="s">
        <v>1345</v>
      </c>
      <c r="C682" s="117" t="s">
        <v>1970</v>
      </c>
      <c r="D682" s="117" t="s">
        <v>2297</v>
      </c>
      <c r="E682" s="117" t="s">
        <v>1970</v>
      </c>
      <c r="F682" s="117" t="s">
        <v>2298</v>
      </c>
      <c r="G682" s="117" t="s">
        <v>1973</v>
      </c>
      <c r="H682" s="117" t="s">
        <v>1974</v>
      </c>
      <c r="I682" s="117">
        <v>1.0</v>
      </c>
      <c r="J682" s="117">
        <v>1.0</v>
      </c>
      <c r="K682" s="117" t="str">
        <f t="shared" si="1"/>
        <v>No</v>
      </c>
      <c r="L682" s="118" t="s">
        <v>116</v>
      </c>
      <c r="M682" s="119">
        <v>0.5</v>
      </c>
      <c r="N682" s="120">
        <v>0.0</v>
      </c>
      <c r="O682" s="121">
        <v>91.32</v>
      </c>
      <c r="P682" s="117">
        <v>1.0</v>
      </c>
      <c r="Q682" s="117">
        <f t="shared" si="2"/>
        <v>0</v>
      </c>
      <c r="R682" s="122">
        <f>+(IF(((M682*24)-P682)&lt;0,0,((M682*24)-P682)*'Estimación de pérdidas'!$F$72))*N682</f>
        <v>0</v>
      </c>
      <c r="S682" s="123" t="s">
        <v>117</v>
      </c>
      <c r="T682" s="124" t="s">
        <v>119</v>
      </c>
      <c r="U682" s="124">
        <f t="shared" si="3"/>
        <v>1</v>
      </c>
      <c r="V682" s="124">
        <v>2.0</v>
      </c>
      <c r="W682" s="124"/>
      <c r="X682" s="125"/>
      <c r="Y682" s="126"/>
      <c r="Z682" s="125">
        <f t="shared" si="4"/>
        <v>2</v>
      </c>
      <c r="AA682" s="127" t="str">
        <f t="shared" si="5"/>
        <v>Moderado</v>
      </c>
      <c r="AB682" s="128">
        <f t="shared" si="6"/>
        <v>8</v>
      </c>
      <c r="AC682" s="129">
        <f t="shared" si="7"/>
        <v>0.12</v>
      </c>
      <c r="AD682" s="131"/>
    </row>
    <row r="683" ht="14.25" hidden="1" customHeight="1">
      <c r="A683" s="116" t="s">
        <v>1345</v>
      </c>
      <c r="B683" s="117" t="s">
        <v>1345</v>
      </c>
      <c r="C683" s="117" t="s">
        <v>2009</v>
      </c>
      <c r="D683" s="117" t="s">
        <v>2299</v>
      </c>
      <c r="E683" s="117" t="s">
        <v>2009</v>
      </c>
      <c r="F683" s="117" t="s">
        <v>2300</v>
      </c>
      <c r="G683" s="117" t="s">
        <v>1973</v>
      </c>
      <c r="H683" s="117" t="s">
        <v>1974</v>
      </c>
      <c r="I683" s="117">
        <v>1.0</v>
      </c>
      <c r="J683" s="117">
        <v>1.0</v>
      </c>
      <c r="K683" s="117" t="str">
        <f t="shared" si="1"/>
        <v>No</v>
      </c>
      <c r="L683" s="118" t="s">
        <v>116</v>
      </c>
      <c r="M683" s="119">
        <v>0.5</v>
      </c>
      <c r="N683" s="120">
        <v>0.0</v>
      </c>
      <c r="O683" s="121">
        <v>91.32</v>
      </c>
      <c r="P683" s="117">
        <v>1.0</v>
      </c>
      <c r="Q683" s="117">
        <f t="shared" si="2"/>
        <v>0</v>
      </c>
      <c r="R683" s="122">
        <f>+(IF(((M683*24)-P683)&lt;0,0,((M683*24)-P683)*'Estimación de pérdidas'!$F$72))*N683</f>
        <v>0</v>
      </c>
      <c r="S683" s="123" t="s">
        <v>117</v>
      </c>
      <c r="T683" s="124" t="s">
        <v>119</v>
      </c>
      <c r="U683" s="124">
        <f t="shared" si="3"/>
        <v>1</v>
      </c>
      <c r="V683" s="124">
        <v>2.0</v>
      </c>
      <c r="W683" s="124"/>
      <c r="X683" s="125"/>
      <c r="Y683" s="126"/>
      <c r="Z683" s="125">
        <f t="shared" si="4"/>
        <v>2</v>
      </c>
      <c r="AA683" s="127" t="str">
        <f t="shared" si="5"/>
        <v>Moderado</v>
      </c>
      <c r="AB683" s="128">
        <f t="shared" si="6"/>
        <v>8</v>
      </c>
      <c r="AC683" s="129">
        <f t="shared" si="7"/>
        <v>0.12</v>
      </c>
      <c r="AD683" s="131"/>
    </row>
    <row r="684" ht="14.25" hidden="1" customHeight="1">
      <c r="A684" s="116" t="s">
        <v>1345</v>
      </c>
      <c r="B684" s="117" t="s">
        <v>1345</v>
      </c>
      <c r="C684" s="117" t="s">
        <v>2013</v>
      </c>
      <c r="D684" s="117" t="s">
        <v>2301</v>
      </c>
      <c r="E684" s="117" t="s">
        <v>1975</v>
      </c>
      <c r="F684" s="117" t="s">
        <v>1983</v>
      </c>
      <c r="G684" s="117" t="s">
        <v>1978</v>
      </c>
      <c r="H684" s="117" t="s">
        <v>1979</v>
      </c>
      <c r="I684" s="117">
        <v>1.0</v>
      </c>
      <c r="J684" s="117">
        <v>1.0</v>
      </c>
      <c r="K684" s="117" t="str">
        <f t="shared" si="1"/>
        <v>No</v>
      </c>
      <c r="L684" s="118" t="s">
        <v>116</v>
      </c>
      <c r="M684" s="119">
        <v>1.0</v>
      </c>
      <c r="N684" s="120">
        <v>0.0</v>
      </c>
      <c r="O684" s="121">
        <v>91.32</v>
      </c>
      <c r="P684" s="117">
        <v>1.0</v>
      </c>
      <c r="Q684" s="117">
        <f t="shared" si="2"/>
        <v>0</v>
      </c>
      <c r="R684" s="122">
        <f>+(IF(((M684*24)-P684)&lt;0,0,((M684*24)-P684)*'Estimación de pérdidas'!$F$72))*N684</f>
        <v>0</v>
      </c>
      <c r="S684" s="123" t="s">
        <v>117</v>
      </c>
      <c r="T684" s="124" t="s">
        <v>132</v>
      </c>
      <c r="U684" s="124">
        <f t="shared" si="3"/>
        <v>1</v>
      </c>
      <c r="V684" s="124">
        <v>2.0</v>
      </c>
      <c r="W684" s="124"/>
      <c r="X684" s="125"/>
      <c r="Y684" s="126"/>
      <c r="Z684" s="125">
        <f t="shared" si="4"/>
        <v>2</v>
      </c>
      <c r="AA684" s="127" t="str">
        <f t="shared" si="5"/>
        <v>Bajo</v>
      </c>
      <c r="AB684" s="128">
        <f t="shared" si="6"/>
        <v>3</v>
      </c>
      <c r="AC684" s="129">
        <f t="shared" si="7"/>
        <v>0.04</v>
      </c>
    </row>
    <row r="685" ht="14.25" hidden="1" customHeight="1">
      <c r="A685" s="116" t="s">
        <v>1345</v>
      </c>
      <c r="B685" s="117" t="s">
        <v>1345</v>
      </c>
      <c r="C685" s="117" t="s">
        <v>2016</v>
      </c>
      <c r="D685" s="117" t="s">
        <v>2302</v>
      </c>
      <c r="E685" s="117" t="s">
        <v>2016</v>
      </c>
      <c r="F685" s="117" t="s">
        <v>2303</v>
      </c>
      <c r="G685" s="117" t="s">
        <v>1973</v>
      </c>
      <c r="H685" s="117" t="s">
        <v>2019</v>
      </c>
      <c r="I685" s="117">
        <v>1.0</v>
      </c>
      <c r="J685" s="117">
        <v>1.0</v>
      </c>
      <c r="K685" s="117" t="str">
        <f t="shared" si="1"/>
        <v>No</v>
      </c>
      <c r="L685" s="118" t="s">
        <v>116</v>
      </c>
      <c r="M685" s="119">
        <v>0.5</v>
      </c>
      <c r="N685" s="120">
        <v>1.0</v>
      </c>
      <c r="O685" s="121">
        <v>91.32</v>
      </c>
      <c r="P685" s="117">
        <v>1.0</v>
      </c>
      <c r="Q685" s="117">
        <f t="shared" si="2"/>
        <v>11</v>
      </c>
      <c r="R685" s="122">
        <f>+(IF(((M685*24)-P685)&lt;0,0,((M685*24)-P685)*'Estimación de pérdidas'!$F$72))*N685</f>
        <v>634458.8241</v>
      </c>
      <c r="S685" s="123" t="s">
        <v>117</v>
      </c>
      <c r="T685" s="124" t="s">
        <v>119</v>
      </c>
      <c r="U685" s="124">
        <f t="shared" si="3"/>
        <v>4</v>
      </c>
      <c r="V685" s="124">
        <v>1.0</v>
      </c>
      <c r="W685" s="124"/>
      <c r="X685" s="125"/>
      <c r="Y685" s="126"/>
      <c r="Z685" s="125">
        <f t="shared" si="4"/>
        <v>4</v>
      </c>
      <c r="AA685" s="127" t="str">
        <f t="shared" si="5"/>
        <v>Moderado</v>
      </c>
      <c r="AB685" s="128">
        <f t="shared" si="6"/>
        <v>18</v>
      </c>
      <c r="AC685" s="129">
        <f t="shared" si="7"/>
        <v>0.221269067</v>
      </c>
      <c r="AD685" s="130"/>
    </row>
    <row r="686" ht="14.25" hidden="1" customHeight="1">
      <c r="A686" s="116" t="s">
        <v>1345</v>
      </c>
      <c r="B686" s="117" t="s">
        <v>1345</v>
      </c>
      <c r="C686" s="117" t="s">
        <v>1985</v>
      </c>
      <c r="D686" s="117" t="s">
        <v>2304</v>
      </c>
      <c r="E686" s="117" t="s">
        <v>1985</v>
      </c>
      <c r="F686" s="117" t="s">
        <v>2305</v>
      </c>
      <c r="G686" s="117" t="s">
        <v>1973</v>
      </c>
      <c r="H686" s="117" t="s">
        <v>1974</v>
      </c>
      <c r="I686" s="117">
        <v>1.0</v>
      </c>
      <c r="J686" s="117">
        <v>1.0</v>
      </c>
      <c r="K686" s="117" t="str">
        <f t="shared" si="1"/>
        <v>No</v>
      </c>
      <c r="L686" s="118" t="s">
        <v>116</v>
      </c>
      <c r="M686" s="119">
        <v>0.5</v>
      </c>
      <c r="N686" s="120">
        <v>0.0</v>
      </c>
      <c r="O686" s="121">
        <v>91.32</v>
      </c>
      <c r="P686" s="117">
        <v>1.0</v>
      </c>
      <c r="Q686" s="117">
        <f t="shared" si="2"/>
        <v>0</v>
      </c>
      <c r="R686" s="122">
        <f>+(IF(((M686*24)-P686)&lt;0,0,((M686*24)-P686)*'Estimación de pérdidas'!$F$72))*N686</f>
        <v>0</v>
      </c>
      <c r="S686" s="123" t="s">
        <v>117</v>
      </c>
      <c r="T686" s="124" t="s">
        <v>119</v>
      </c>
      <c r="U686" s="124">
        <f t="shared" si="3"/>
        <v>1</v>
      </c>
      <c r="V686" s="124">
        <v>1.0</v>
      </c>
      <c r="W686" s="124"/>
      <c r="X686" s="125"/>
      <c r="Y686" s="126"/>
      <c r="Z686" s="125">
        <f t="shared" si="4"/>
        <v>1</v>
      </c>
      <c r="AA686" s="127" t="str">
        <f t="shared" si="5"/>
        <v>Bajo</v>
      </c>
      <c r="AB686" s="128">
        <f t="shared" si="6"/>
        <v>4</v>
      </c>
      <c r="AC686" s="129">
        <f t="shared" si="7"/>
        <v>0.07589466384</v>
      </c>
    </row>
    <row r="687" ht="14.25" hidden="1" customHeight="1">
      <c r="A687" s="116" t="s">
        <v>1345</v>
      </c>
      <c r="B687" s="117" t="s">
        <v>1345</v>
      </c>
      <c r="C687" s="117" t="s">
        <v>2025</v>
      </c>
      <c r="D687" s="117" t="s">
        <v>2306</v>
      </c>
      <c r="E687" s="117" t="s">
        <v>1988</v>
      </c>
      <c r="F687" s="117" t="s">
        <v>1983</v>
      </c>
      <c r="G687" s="117" t="s">
        <v>1978</v>
      </c>
      <c r="H687" s="117" t="s">
        <v>1979</v>
      </c>
      <c r="I687" s="117">
        <v>1.0</v>
      </c>
      <c r="J687" s="117">
        <v>1.0</v>
      </c>
      <c r="K687" s="117" t="str">
        <f t="shared" si="1"/>
        <v>No</v>
      </c>
      <c r="L687" s="118" t="s">
        <v>116</v>
      </c>
      <c r="M687" s="119">
        <v>2.0</v>
      </c>
      <c r="N687" s="120">
        <v>0.0</v>
      </c>
      <c r="O687" s="121">
        <v>91.32</v>
      </c>
      <c r="P687" s="117">
        <v>1.0</v>
      </c>
      <c r="Q687" s="117">
        <f t="shared" si="2"/>
        <v>0</v>
      </c>
      <c r="R687" s="122">
        <f>+(IF(((M687*24)-P687)&lt;0,0,((M687*24)-P687)*'Estimación de pérdidas'!$F$72))*N687</f>
        <v>0</v>
      </c>
      <c r="S687" s="123" t="s">
        <v>117</v>
      </c>
      <c r="T687" s="124" t="s">
        <v>132</v>
      </c>
      <c r="U687" s="124">
        <f t="shared" si="3"/>
        <v>1</v>
      </c>
      <c r="V687" s="124">
        <v>2.0</v>
      </c>
      <c r="W687" s="124"/>
      <c r="X687" s="125"/>
      <c r="Y687" s="126"/>
      <c r="Z687" s="125">
        <f t="shared" si="4"/>
        <v>2</v>
      </c>
      <c r="AA687" s="127" t="str">
        <f t="shared" si="5"/>
        <v>Bajo</v>
      </c>
      <c r="AB687" s="128">
        <f t="shared" si="6"/>
        <v>3</v>
      </c>
      <c r="AC687" s="129">
        <f t="shared" si="7"/>
        <v>0.04</v>
      </c>
    </row>
    <row r="688" ht="14.25" hidden="1" customHeight="1">
      <c r="A688" s="116" t="s">
        <v>1345</v>
      </c>
      <c r="B688" s="117" t="s">
        <v>1345</v>
      </c>
      <c r="C688" s="117" t="s">
        <v>2077</v>
      </c>
      <c r="D688" s="117" t="s">
        <v>2307</v>
      </c>
      <c r="E688" s="117" t="s">
        <v>2042</v>
      </c>
      <c r="F688" s="117" t="s">
        <v>1993</v>
      </c>
      <c r="G688" s="117" t="s">
        <v>1994</v>
      </c>
      <c r="H688" s="117" t="s">
        <v>1995</v>
      </c>
      <c r="I688" s="117">
        <v>1.0</v>
      </c>
      <c r="J688" s="117">
        <v>1.0</v>
      </c>
      <c r="K688" s="117" t="str">
        <f t="shared" si="1"/>
        <v>No</v>
      </c>
      <c r="L688" s="118" t="s">
        <v>116</v>
      </c>
      <c r="M688" s="119">
        <v>3.0</v>
      </c>
      <c r="N688" s="120">
        <v>1.0</v>
      </c>
      <c r="O688" s="121">
        <v>91.32</v>
      </c>
      <c r="P688" s="117">
        <v>1.0</v>
      </c>
      <c r="Q688" s="117">
        <f t="shared" si="2"/>
        <v>71</v>
      </c>
      <c r="R688" s="122">
        <f>+(IF(((M688*24)-P688)&lt;0,0,((M688*24)-P688)*'Estimación de pérdidas'!$F$72))*N688</f>
        <v>4095143.319</v>
      </c>
      <c r="S688" s="123" t="s">
        <v>272</v>
      </c>
      <c r="T688" s="124" t="s">
        <v>132</v>
      </c>
      <c r="U688" s="124">
        <f t="shared" si="3"/>
        <v>5</v>
      </c>
      <c r="V688" s="124">
        <v>2.0</v>
      </c>
      <c r="W688" s="124"/>
      <c r="X688" s="125"/>
      <c r="Y688" s="126"/>
      <c r="Z688" s="125">
        <f t="shared" si="4"/>
        <v>5</v>
      </c>
      <c r="AA688" s="127" t="str">
        <f t="shared" si="5"/>
        <v>Moderado</v>
      </c>
      <c r="AB688" s="128">
        <f t="shared" si="6"/>
        <v>15</v>
      </c>
      <c r="AC688" s="129">
        <f t="shared" si="7"/>
        <v>0.09633275663</v>
      </c>
      <c r="AD688" s="131"/>
    </row>
    <row r="689" ht="14.25" hidden="1" customHeight="1">
      <c r="A689" s="116" t="s">
        <v>1345</v>
      </c>
      <c r="B689" s="117" t="s">
        <v>1345</v>
      </c>
      <c r="C689" s="117" t="s">
        <v>2308</v>
      </c>
      <c r="D689" s="117" t="s">
        <v>2309</v>
      </c>
      <c r="E689" s="117" t="s">
        <v>2310</v>
      </c>
      <c r="F689" s="117" t="s">
        <v>1993</v>
      </c>
      <c r="G689" s="117" t="s">
        <v>1994</v>
      </c>
      <c r="H689" s="117" t="s">
        <v>1995</v>
      </c>
      <c r="I689" s="117">
        <v>1.0</v>
      </c>
      <c r="J689" s="117">
        <v>1.0</v>
      </c>
      <c r="K689" s="117" t="str">
        <f t="shared" si="1"/>
        <v>No</v>
      </c>
      <c r="L689" s="118" t="s">
        <v>116</v>
      </c>
      <c r="M689" s="119">
        <v>3.0</v>
      </c>
      <c r="N689" s="120">
        <v>1.0</v>
      </c>
      <c r="O689" s="121">
        <v>91.32</v>
      </c>
      <c r="P689" s="117">
        <v>1.0</v>
      </c>
      <c r="Q689" s="117">
        <f t="shared" si="2"/>
        <v>71</v>
      </c>
      <c r="R689" s="122">
        <f>+(IF(((M689*24)-P689)&lt;0,0,((M689*24)-P689)*'Estimación de pérdidas'!$F$72))*N689</f>
        <v>4095143.319</v>
      </c>
      <c r="S689" s="123" t="s">
        <v>272</v>
      </c>
      <c r="T689" s="124" t="s">
        <v>132</v>
      </c>
      <c r="U689" s="124">
        <f t="shared" si="3"/>
        <v>5</v>
      </c>
      <c r="V689" s="124">
        <v>2.0</v>
      </c>
      <c r="W689" s="124"/>
      <c r="X689" s="125"/>
      <c r="Y689" s="126"/>
      <c r="Z689" s="125">
        <f t="shared" si="4"/>
        <v>5</v>
      </c>
      <c r="AA689" s="127" t="str">
        <f t="shared" si="5"/>
        <v>Moderado</v>
      </c>
      <c r="AB689" s="128">
        <f t="shared" si="6"/>
        <v>15</v>
      </c>
      <c r="AC689" s="129">
        <f t="shared" si="7"/>
        <v>0.09633275663</v>
      </c>
      <c r="AD689" s="131"/>
    </row>
    <row r="690" ht="14.25" hidden="1" customHeight="1">
      <c r="A690" s="116" t="s">
        <v>1345</v>
      </c>
      <c r="B690" s="117" t="s">
        <v>1345</v>
      </c>
      <c r="C690" s="117" t="s">
        <v>2054</v>
      </c>
      <c r="D690" s="117" t="s">
        <v>2311</v>
      </c>
      <c r="E690" s="117" t="s">
        <v>2054</v>
      </c>
      <c r="F690" s="117" t="s">
        <v>2056</v>
      </c>
      <c r="G690" s="117" t="s">
        <v>2057</v>
      </c>
      <c r="H690" s="117" t="s">
        <v>2058</v>
      </c>
      <c r="I690" s="117">
        <v>1.0</v>
      </c>
      <c r="J690" s="117">
        <v>1.0</v>
      </c>
      <c r="K690" s="117" t="str">
        <f t="shared" si="1"/>
        <v>No</v>
      </c>
      <c r="L690" s="118" t="s">
        <v>116</v>
      </c>
      <c r="M690" s="119">
        <v>0.5833333333333334</v>
      </c>
      <c r="N690" s="120">
        <v>1.0</v>
      </c>
      <c r="O690" s="121">
        <v>91.32</v>
      </c>
      <c r="P690" s="117">
        <v>1.0</v>
      </c>
      <c r="Q690" s="117">
        <f t="shared" si="2"/>
        <v>13</v>
      </c>
      <c r="R690" s="122">
        <f>+(IF(((M690*24)-P690)&lt;0,0,((M690*24)-P690)*'Estimación de pérdidas'!$F$72))*N690</f>
        <v>749814.9739</v>
      </c>
      <c r="S690" s="123" t="s">
        <v>117</v>
      </c>
      <c r="T690" s="124" t="s">
        <v>132</v>
      </c>
      <c r="U690" s="124">
        <f t="shared" si="3"/>
        <v>4</v>
      </c>
      <c r="V690" s="124">
        <v>1.0</v>
      </c>
      <c r="W690" s="124"/>
      <c r="X690" s="125"/>
      <c r="Y690" s="126"/>
      <c r="Z690" s="125">
        <f t="shared" si="4"/>
        <v>4</v>
      </c>
      <c r="AA690" s="127" t="str">
        <f t="shared" si="5"/>
        <v>Moderado</v>
      </c>
      <c r="AB690" s="128">
        <f t="shared" si="6"/>
        <v>10</v>
      </c>
      <c r="AC690" s="129">
        <f t="shared" si="7"/>
        <v>0.07375635566</v>
      </c>
      <c r="AD690" s="130"/>
    </row>
    <row r="691" ht="14.25" hidden="1" customHeight="1">
      <c r="A691" s="116" t="s">
        <v>1345</v>
      </c>
      <c r="B691" s="117" t="s">
        <v>1345</v>
      </c>
      <c r="C691" s="117" t="s">
        <v>2093</v>
      </c>
      <c r="D691" s="117" t="s">
        <v>2312</v>
      </c>
      <c r="E691" s="117" t="s">
        <v>2093</v>
      </c>
      <c r="F691" s="117" t="s">
        <v>2313</v>
      </c>
      <c r="G691" s="117" t="s">
        <v>2087</v>
      </c>
      <c r="H691" s="117" t="s">
        <v>2260</v>
      </c>
      <c r="I691" s="117">
        <v>1.0</v>
      </c>
      <c r="J691" s="117">
        <v>1.0</v>
      </c>
      <c r="K691" s="117" t="str">
        <f t="shared" si="1"/>
        <v>No</v>
      </c>
      <c r="L691" s="118" t="s">
        <v>116</v>
      </c>
      <c r="M691" s="119">
        <v>2.0</v>
      </c>
      <c r="N691" s="120">
        <v>0.0</v>
      </c>
      <c r="O691" s="121">
        <v>91.32</v>
      </c>
      <c r="P691" s="117">
        <v>1.0</v>
      </c>
      <c r="Q691" s="117">
        <f t="shared" si="2"/>
        <v>0</v>
      </c>
      <c r="R691" s="122">
        <f>+(IF(((M691*24)-P691)&lt;0,0,((M691*24)-P691)*'Estimación de pérdidas'!$F$72))*N691</f>
        <v>0</v>
      </c>
      <c r="S691" s="123" t="s">
        <v>117</v>
      </c>
      <c r="T691" s="124" t="s">
        <v>132</v>
      </c>
      <c r="U691" s="124">
        <f t="shared" si="3"/>
        <v>1</v>
      </c>
      <c r="V691" s="124">
        <v>2.0</v>
      </c>
      <c r="W691" s="124"/>
      <c r="X691" s="125"/>
      <c r="Y691" s="126"/>
      <c r="Z691" s="125">
        <f t="shared" si="4"/>
        <v>2</v>
      </c>
      <c r="AA691" s="127" t="str">
        <f t="shared" si="5"/>
        <v>Bajo</v>
      </c>
      <c r="AB691" s="128">
        <f t="shared" si="6"/>
        <v>3</v>
      </c>
      <c r="AC691" s="129">
        <f t="shared" si="7"/>
        <v>0.04</v>
      </c>
    </row>
    <row r="692" ht="14.25" hidden="1" customHeight="1">
      <c r="A692" s="116" t="s">
        <v>1345</v>
      </c>
      <c r="B692" s="117" t="s">
        <v>1345</v>
      </c>
      <c r="C692" s="117" t="s">
        <v>2031</v>
      </c>
      <c r="D692" s="117" t="s">
        <v>2314</v>
      </c>
      <c r="E692" s="117" t="s">
        <v>2031</v>
      </c>
      <c r="F692" s="117" t="s">
        <v>2033</v>
      </c>
      <c r="G692" s="117" t="s">
        <v>1973</v>
      </c>
      <c r="H692" s="117" t="s">
        <v>2034</v>
      </c>
      <c r="I692" s="117">
        <v>1.0</v>
      </c>
      <c r="J692" s="117">
        <v>1.0</v>
      </c>
      <c r="K692" s="117" t="str">
        <f t="shared" si="1"/>
        <v>No</v>
      </c>
      <c r="L692" s="118" t="s">
        <v>116</v>
      </c>
      <c r="M692" s="119">
        <v>0.5</v>
      </c>
      <c r="N692" s="120">
        <v>1.0</v>
      </c>
      <c r="O692" s="121">
        <v>91.32</v>
      </c>
      <c r="P692" s="117">
        <v>1.0</v>
      </c>
      <c r="Q692" s="117">
        <f t="shared" si="2"/>
        <v>11</v>
      </c>
      <c r="R692" s="122">
        <f>+(IF(((M692*24)-P692)&lt;0,0,((M692*24)-P692)*'Estimación de pérdidas'!$F$72))*N692</f>
        <v>634458.8241</v>
      </c>
      <c r="S692" s="123" t="s">
        <v>117</v>
      </c>
      <c r="T692" s="124" t="s">
        <v>119</v>
      </c>
      <c r="U692" s="124">
        <f t="shared" si="3"/>
        <v>4</v>
      </c>
      <c r="V692" s="124">
        <v>2.0</v>
      </c>
      <c r="W692" s="124"/>
      <c r="X692" s="125"/>
      <c r="Y692" s="126"/>
      <c r="Z692" s="125">
        <f t="shared" si="4"/>
        <v>4</v>
      </c>
      <c r="AA692" s="127" t="str">
        <f t="shared" si="5"/>
        <v>Moderado</v>
      </c>
      <c r="AB692" s="128">
        <f t="shared" si="6"/>
        <v>18</v>
      </c>
      <c r="AC692" s="129">
        <f t="shared" si="7"/>
        <v>0.24</v>
      </c>
      <c r="AD692" s="130"/>
    </row>
    <row r="693" ht="14.25" hidden="1" customHeight="1">
      <c r="A693" s="116" t="s">
        <v>1345</v>
      </c>
      <c r="B693" s="117" t="s">
        <v>1345</v>
      </c>
      <c r="C693" s="117" t="s">
        <v>2035</v>
      </c>
      <c r="D693" s="117" t="s">
        <v>2315</v>
      </c>
      <c r="E693" s="117" t="s">
        <v>2035</v>
      </c>
      <c r="F693" s="117" t="s">
        <v>2037</v>
      </c>
      <c r="G693" s="117" t="s">
        <v>2038</v>
      </c>
      <c r="H693" s="117" t="s">
        <v>2039</v>
      </c>
      <c r="I693" s="117">
        <v>1.0</v>
      </c>
      <c r="J693" s="117">
        <v>1.0</v>
      </c>
      <c r="K693" s="117" t="str">
        <f t="shared" si="1"/>
        <v>No</v>
      </c>
      <c r="L693" s="118" t="s">
        <v>116</v>
      </c>
      <c r="M693" s="119">
        <v>0.5</v>
      </c>
      <c r="N693" s="120">
        <v>1.0</v>
      </c>
      <c r="O693" s="121">
        <v>91.32</v>
      </c>
      <c r="P693" s="117">
        <v>1.0</v>
      </c>
      <c r="Q693" s="117">
        <f t="shared" si="2"/>
        <v>11</v>
      </c>
      <c r="R693" s="122">
        <f>+(IF(((M693*24)-P693)&lt;0,0,((M693*24)-P693)*'Estimación de pérdidas'!$F$72))*N693</f>
        <v>634458.8241</v>
      </c>
      <c r="S693" s="123" t="s">
        <v>117</v>
      </c>
      <c r="T693" s="124" t="s">
        <v>119</v>
      </c>
      <c r="U693" s="124">
        <f t="shared" si="3"/>
        <v>4</v>
      </c>
      <c r="V693" s="124">
        <v>2.0</v>
      </c>
      <c r="W693" s="124"/>
      <c r="X693" s="125"/>
      <c r="Y693" s="126"/>
      <c r="Z693" s="125">
        <f t="shared" si="4"/>
        <v>4</v>
      </c>
      <c r="AA693" s="127" t="str">
        <f t="shared" si="5"/>
        <v>Moderado</v>
      </c>
      <c r="AB693" s="128">
        <f t="shared" si="6"/>
        <v>18</v>
      </c>
      <c r="AC693" s="129">
        <f t="shared" si="7"/>
        <v>0.24</v>
      </c>
      <c r="AD693" s="130"/>
    </row>
    <row r="694" ht="14.25" hidden="1" customHeight="1">
      <c r="A694" s="116" t="s">
        <v>1345</v>
      </c>
      <c r="B694" s="117" t="s">
        <v>1414</v>
      </c>
      <c r="C694" s="117" t="s">
        <v>2316</v>
      </c>
      <c r="D694" s="117" t="s">
        <v>2317</v>
      </c>
      <c r="E694" s="117" t="s">
        <v>2318</v>
      </c>
      <c r="F694" s="117" t="s">
        <v>2319</v>
      </c>
      <c r="G694" s="117" t="s">
        <v>2047</v>
      </c>
      <c r="H694" s="117" t="s">
        <v>2161</v>
      </c>
      <c r="I694" s="117">
        <v>3.0</v>
      </c>
      <c r="J694" s="117">
        <v>2.0</v>
      </c>
      <c r="K694" s="117" t="str">
        <f t="shared" si="1"/>
        <v>Si</v>
      </c>
      <c r="L694" s="118" t="s">
        <v>287</v>
      </c>
      <c r="M694" s="119">
        <v>0.3333333333333333</v>
      </c>
      <c r="N694" s="120">
        <v>0.33</v>
      </c>
      <c r="O694" s="121">
        <v>91.32</v>
      </c>
      <c r="P694" s="117">
        <v>1.0</v>
      </c>
      <c r="Q694" s="117">
        <f t="shared" si="2"/>
        <v>2.31</v>
      </c>
      <c r="R694" s="122">
        <f>+(IF(((M694*24)-P694)&lt;0,0,((M694*24)-P694)*'Estimación de pérdidas'!$F$72))*N694</f>
        <v>133236.3531</v>
      </c>
      <c r="S694" s="123" t="s">
        <v>117</v>
      </c>
      <c r="T694" s="124" t="s">
        <v>119</v>
      </c>
      <c r="U694" s="124">
        <f t="shared" si="3"/>
        <v>2</v>
      </c>
      <c r="V694" s="124">
        <v>2.0</v>
      </c>
      <c r="W694" s="124"/>
      <c r="X694" s="125"/>
      <c r="Y694" s="126"/>
      <c r="Z694" s="125">
        <f t="shared" si="4"/>
        <v>2</v>
      </c>
      <c r="AA694" s="127" t="str">
        <f t="shared" si="5"/>
        <v>Moderado</v>
      </c>
      <c r="AB694" s="128">
        <f t="shared" si="6"/>
        <v>8</v>
      </c>
      <c r="AC694" s="129">
        <f t="shared" si="7"/>
        <v>0.1517893277</v>
      </c>
      <c r="AD694" s="131"/>
    </row>
    <row r="695" ht="14.25" hidden="1" customHeight="1">
      <c r="A695" s="116" t="s">
        <v>1345</v>
      </c>
      <c r="B695" s="117" t="s">
        <v>1414</v>
      </c>
      <c r="C695" s="117" t="s">
        <v>2320</v>
      </c>
      <c r="D695" s="117" t="s">
        <v>2321</v>
      </c>
      <c r="E695" s="117" t="s">
        <v>2322</v>
      </c>
      <c r="F695" s="117" t="s">
        <v>2323</v>
      </c>
      <c r="G695" s="117" t="s">
        <v>2047</v>
      </c>
      <c r="H695" s="117" t="s">
        <v>2161</v>
      </c>
      <c r="I695" s="117">
        <v>3.0</v>
      </c>
      <c r="J695" s="117">
        <v>2.0</v>
      </c>
      <c r="K695" s="117" t="str">
        <f t="shared" si="1"/>
        <v>Si</v>
      </c>
      <c r="L695" s="118" t="s">
        <v>287</v>
      </c>
      <c r="M695" s="119">
        <v>0.3333333333333333</v>
      </c>
      <c r="N695" s="120">
        <v>0.33</v>
      </c>
      <c r="O695" s="121">
        <v>91.32</v>
      </c>
      <c r="P695" s="117">
        <v>1.0</v>
      </c>
      <c r="Q695" s="117">
        <f t="shared" si="2"/>
        <v>2.31</v>
      </c>
      <c r="R695" s="122">
        <f>+(IF(((M695*24)-P695)&lt;0,0,((M695*24)-P695)*'Estimación de pérdidas'!$F$72))*N695</f>
        <v>133236.3531</v>
      </c>
      <c r="S695" s="123" t="s">
        <v>117</v>
      </c>
      <c r="T695" s="124" t="s">
        <v>119</v>
      </c>
      <c r="U695" s="124">
        <f t="shared" si="3"/>
        <v>2</v>
      </c>
      <c r="V695" s="124">
        <v>2.0</v>
      </c>
      <c r="W695" s="124"/>
      <c r="X695" s="125"/>
      <c r="Y695" s="126"/>
      <c r="Z695" s="125">
        <f t="shared" si="4"/>
        <v>2</v>
      </c>
      <c r="AA695" s="127" t="str">
        <f t="shared" si="5"/>
        <v>Moderado</v>
      </c>
      <c r="AB695" s="128">
        <f t="shared" si="6"/>
        <v>8</v>
      </c>
      <c r="AC695" s="129">
        <f t="shared" si="7"/>
        <v>0.1517893277</v>
      </c>
      <c r="AD695" s="131"/>
    </row>
    <row r="696" ht="14.25" hidden="1" customHeight="1">
      <c r="A696" s="116" t="s">
        <v>1345</v>
      </c>
      <c r="B696" s="117" t="s">
        <v>1414</v>
      </c>
      <c r="C696" s="117" t="s">
        <v>2324</v>
      </c>
      <c r="D696" s="117" t="s">
        <v>2325</v>
      </c>
      <c r="E696" s="117" t="s">
        <v>2326</v>
      </c>
      <c r="F696" s="117" t="s">
        <v>2327</v>
      </c>
      <c r="G696" s="117" t="s">
        <v>2047</v>
      </c>
      <c r="H696" s="117" t="s">
        <v>2161</v>
      </c>
      <c r="I696" s="117">
        <v>3.0</v>
      </c>
      <c r="J696" s="117">
        <v>2.0</v>
      </c>
      <c r="K696" s="117" t="str">
        <f t="shared" si="1"/>
        <v>Si</v>
      </c>
      <c r="L696" s="118" t="s">
        <v>287</v>
      </c>
      <c r="M696" s="119">
        <v>0.3333333333333333</v>
      </c>
      <c r="N696" s="120">
        <v>0.33</v>
      </c>
      <c r="O696" s="121">
        <v>91.32</v>
      </c>
      <c r="P696" s="117">
        <v>1.0</v>
      </c>
      <c r="Q696" s="117">
        <f t="shared" si="2"/>
        <v>2.31</v>
      </c>
      <c r="R696" s="122">
        <f>+(IF(((M696*24)-P696)&lt;0,0,((M696*24)-P696)*'Estimación de pérdidas'!$F$72))*N696</f>
        <v>133236.3531</v>
      </c>
      <c r="S696" s="123" t="s">
        <v>117</v>
      </c>
      <c r="T696" s="124" t="s">
        <v>119</v>
      </c>
      <c r="U696" s="124">
        <f t="shared" si="3"/>
        <v>2</v>
      </c>
      <c r="V696" s="124">
        <v>2.0</v>
      </c>
      <c r="W696" s="124"/>
      <c r="X696" s="125"/>
      <c r="Y696" s="126"/>
      <c r="Z696" s="125">
        <f t="shared" si="4"/>
        <v>2</v>
      </c>
      <c r="AA696" s="127" t="str">
        <f t="shared" si="5"/>
        <v>Moderado</v>
      </c>
      <c r="AB696" s="128">
        <f t="shared" si="6"/>
        <v>8</v>
      </c>
      <c r="AC696" s="129">
        <f t="shared" si="7"/>
        <v>0.1517893277</v>
      </c>
      <c r="AD696" s="131"/>
    </row>
    <row r="697" ht="14.25" hidden="1" customHeight="1">
      <c r="A697" s="116" t="s">
        <v>1345</v>
      </c>
      <c r="B697" s="117" t="s">
        <v>1414</v>
      </c>
      <c r="C697" s="117" t="s">
        <v>2328</v>
      </c>
      <c r="D697" s="117" t="s">
        <v>2329</v>
      </c>
      <c r="E697" s="117" t="s">
        <v>2330</v>
      </c>
      <c r="F697" s="117" t="s">
        <v>2331</v>
      </c>
      <c r="G697" s="117" t="s">
        <v>2047</v>
      </c>
      <c r="H697" s="117" t="s">
        <v>2161</v>
      </c>
      <c r="I697" s="117">
        <v>3.0</v>
      </c>
      <c r="J697" s="117">
        <v>2.0</v>
      </c>
      <c r="K697" s="117" t="str">
        <f t="shared" si="1"/>
        <v>Si</v>
      </c>
      <c r="L697" s="118" t="s">
        <v>287</v>
      </c>
      <c r="M697" s="119">
        <v>0.3333333333333333</v>
      </c>
      <c r="N697" s="120">
        <v>0.0</v>
      </c>
      <c r="O697" s="121">
        <v>91.32</v>
      </c>
      <c r="P697" s="117">
        <v>1.0</v>
      </c>
      <c r="Q697" s="117">
        <f t="shared" si="2"/>
        <v>0</v>
      </c>
      <c r="R697" s="122">
        <f>+(IF(((M697*24)-P697)&lt;0,0,((M697*24)-P697)*'Estimación de pérdidas'!$F$72))*N697</f>
        <v>0</v>
      </c>
      <c r="S697" s="123" t="s">
        <v>117</v>
      </c>
      <c r="T697" s="124" t="s">
        <v>119</v>
      </c>
      <c r="U697" s="124">
        <f t="shared" si="3"/>
        <v>1</v>
      </c>
      <c r="V697" s="124">
        <v>2.0</v>
      </c>
      <c r="W697" s="124"/>
      <c r="X697" s="125"/>
      <c r="Y697" s="126"/>
      <c r="Z697" s="125">
        <f t="shared" si="4"/>
        <v>2</v>
      </c>
      <c r="AA697" s="127" t="str">
        <f t="shared" si="5"/>
        <v>Moderado</v>
      </c>
      <c r="AB697" s="128">
        <f t="shared" si="6"/>
        <v>8</v>
      </c>
      <c r="AC697" s="129">
        <f t="shared" si="7"/>
        <v>0.12</v>
      </c>
      <c r="AD697" s="131"/>
    </row>
    <row r="698" ht="14.25" hidden="1" customHeight="1">
      <c r="A698" s="116" t="s">
        <v>1345</v>
      </c>
      <c r="B698" s="117" t="s">
        <v>1414</v>
      </c>
      <c r="C698" s="117" t="s">
        <v>2332</v>
      </c>
      <c r="D698" s="117" t="s">
        <v>2333</v>
      </c>
      <c r="E698" s="117" t="s">
        <v>2334</v>
      </c>
      <c r="F698" s="117" t="s">
        <v>2335</v>
      </c>
      <c r="G698" s="117" t="s">
        <v>2047</v>
      </c>
      <c r="H698" s="117" t="s">
        <v>2161</v>
      </c>
      <c r="I698" s="117">
        <v>3.0</v>
      </c>
      <c r="J698" s="117">
        <v>2.0</v>
      </c>
      <c r="K698" s="117" t="str">
        <f t="shared" si="1"/>
        <v>Si</v>
      </c>
      <c r="L698" s="118" t="s">
        <v>287</v>
      </c>
      <c r="M698" s="119">
        <v>0.3333333333333333</v>
      </c>
      <c r="N698" s="120">
        <v>0.0</v>
      </c>
      <c r="O698" s="121">
        <v>91.32</v>
      </c>
      <c r="P698" s="117">
        <v>1.0</v>
      </c>
      <c r="Q698" s="117">
        <f t="shared" si="2"/>
        <v>0</v>
      </c>
      <c r="R698" s="122">
        <f>+(IF(((M698*24)-P698)&lt;0,0,((M698*24)-P698)*'Estimación de pérdidas'!$F$72))*N698</f>
        <v>0</v>
      </c>
      <c r="S698" s="123" t="s">
        <v>117</v>
      </c>
      <c r="T698" s="124" t="s">
        <v>119</v>
      </c>
      <c r="U698" s="124">
        <f t="shared" si="3"/>
        <v>1</v>
      </c>
      <c r="V698" s="124">
        <v>2.0</v>
      </c>
      <c r="W698" s="124"/>
      <c r="X698" s="125"/>
      <c r="Y698" s="126"/>
      <c r="Z698" s="125">
        <f t="shared" si="4"/>
        <v>2</v>
      </c>
      <c r="AA698" s="127" t="str">
        <f t="shared" si="5"/>
        <v>Moderado</v>
      </c>
      <c r="AB698" s="128">
        <f t="shared" si="6"/>
        <v>8</v>
      </c>
      <c r="AC698" s="129">
        <f t="shared" si="7"/>
        <v>0.12</v>
      </c>
      <c r="AD698" s="131"/>
    </row>
    <row r="699" ht="14.25" hidden="1" customHeight="1">
      <c r="A699" s="116" t="s">
        <v>1345</v>
      </c>
      <c r="B699" s="117" t="s">
        <v>1414</v>
      </c>
      <c r="C699" s="117" t="s">
        <v>2336</v>
      </c>
      <c r="D699" s="117" t="s">
        <v>2337</v>
      </c>
      <c r="E699" s="117" t="s">
        <v>2338</v>
      </c>
      <c r="F699" s="117" t="s">
        <v>2339</v>
      </c>
      <c r="G699" s="117" t="s">
        <v>2047</v>
      </c>
      <c r="H699" s="117" t="s">
        <v>2161</v>
      </c>
      <c r="I699" s="117">
        <v>3.0</v>
      </c>
      <c r="J699" s="117">
        <v>2.0</v>
      </c>
      <c r="K699" s="117" t="str">
        <f t="shared" si="1"/>
        <v>Si</v>
      </c>
      <c r="L699" s="118" t="s">
        <v>287</v>
      </c>
      <c r="M699" s="119">
        <v>0.3333333333333333</v>
      </c>
      <c r="N699" s="120">
        <v>0.0</v>
      </c>
      <c r="O699" s="121">
        <v>91.32</v>
      </c>
      <c r="P699" s="117">
        <v>1.0</v>
      </c>
      <c r="Q699" s="117">
        <f t="shared" si="2"/>
        <v>0</v>
      </c>
      <c r="R699" s="122">
        <f>+(IF(((M699*24)-P699)&lt;0,0,((M699*24)-P699)*'Estimación de pérdidas'!$F$72))*N699</f>
        <v>0</v>
      </c>
      <c r="S699" s="123" t="s">
        <v>117</v>
      </c>
      <c r="T699" s="124" t="s">
        <v>119</v>
      </c>
      <c r="U699" s="124">
        <f t="shared" si="3"/>
        <v>1</v>
      </c>
      <c r="V699" s="124">
        <v>2.0</v>
      </c>
      <c r="W699" s="124"/>
      <c r="X699" s="125"/>
      <c r="Y699" s="126"/>
      <c r="Z699" s="125">
        <f t="shared" si="4"/>
        <v>2</v>
      </c>
      <c r="AA699" s="127" t="str">
        <f t="shared" si="5"/>
        <v>Moderado</v>
      </c>
      <c r="AB699" s="128">
        <f t="shared" si="6"/>
        <v>8</v>
      </c>
      <c r="AC699" s="129">
        <f t="shared" si="7"/>
        <v>0.12</v>
      </c>
      <c r="AD699" s="131"/>
    </row>
    <row r="700" ht="14.25" hidden="1" customHeight="1">
      <c r="A700" s="116" t="s">
        <v>1345</v>
      </c>
      <c r="B700" s="117" t="s">
        <v>1414</v>
      </c>
      <c r="C700" s="117" t="s">
        <v>2340</v>
      </c>
      <c r="D700" s="117" t="s">
        <v>2341</v>
      </c>
      <c r="E700" s="117" t="s">
        <v>2342</v>
      </c>
      <c r="F700" s="117" t="s">
        <v>2343</v>
      </c>
      <c r="G700" s="117" t="s">
        <v>2047</v>
      </c>
      <c r="H700" s="117" t="s">
        <v>2161</v>
      </c>
      <c r="I700" s="117">
        <v>3.0</v>
      </c>
      <c r="J700" s="117">
        <v>2.0</v>
      </c>
      <c r="K700" s="117" t="str">
        <f t="shared" si="1"/>
        <v>Si</v>
      </c>
      <c r="L700" s="118" t="s">
        <v>287</v>
      </c>
      <c r="M700" s="119">
        <v>0.3333333333333333</v>
      </c>
      <c r="N700" s="120">
        <v>0.0</v>
      </c>
      <c r="O700" s="121">
        <v>3.2</v>
      </c>
      <c r="P700" s="117">
        <v>21.13</v>
      </c>
      <c r="Q700" s="117">
        <f t="shared" si="2"/>
        <v>0</v>
      </c>
      <c r="R700" s="122">
        <f>+(IF(((M700*24)-P700)&lt;0,0,((M700*24)-P700)*'Estimación de pérdidas'!$F$72))*N700</f>
        <v>0</v>
      </c>
      <c r="S700" s="123" t="s">
        <v>117</v>
      </c>
      <c r="T700" s="124" t="s">
        <v>119</v>
      </c>
      <c r="U700" s="124">
        <f t="shared" si="3"/>
        <v>1</v>
      </c>
      <c r="V700" s="124">
        <v>2.0</v>
      </c>
      <c r="W700" s="124"/>
      <c r="X700" s="125"/>
      <c r="Y700" s="126"/>
      <c r="Z700" s="125">
        <f t="shared" si="4"/>
        <v>2</v>
      </c>
      <c r="AA700" s="127" t="str">
        <f t="shared" si="5"/>
        <v>Moderado</v>
      </c>
      <c r="AB700" s="128">
        <f t="shared" si="6"/>
        <v>8</v>
      </c>
      <c r="AC700" s="129">
        <f t="shared" si="7"/>
        <v>0.12</v>
      </c>
      <c r="AD700" s="131"/>
    </row>
    <row r="701" ht="14.25" hidden="1" customHeight="1">
      <c r="A701" s="116" t="s">
        <v>1345</v>
      </c>
      <c r="B701" s="117" t="s">
        <v>1414</v>
      </c>
      <c r="C701" s="117" t="s">
        <v>2344</v>
      </c>
      <c r="D701" s="117" t="s">
        <v>2345</v>
      </c>
      <c r="E701" s="117" t="s">
        <v>2346</v>
      </c>
      <c r="F701" s="117" t="s">
        <v>2347</v>
      </c>
      <c r="G701" s="117" t="s">
        <v>2047</v>
      </c>
      <c r="H701" s="117" t="s">
        <v>2161</v>
      </c>
      <c r="I701" s="117">
        <v>3.0</v>
      </c>
      <c r="J701" s="117">
        <v>2.0</v>
      </c>
      <c r="K701" s="117" t="str">
        <f t="shared" si="1"/>
        <v>Si</v>
      </c>
      <c r="L701" s="118" t="s">
        <v>287</v>
      </c>
      <c r="M701" s="119">
        <v>0.3333333333333333</v>
      </c>
      <c r="N701" s="120">
        <v>0.0</v>
      </c>
      <c r="O701" s="121">
        <v>3.2</v>
      </c>
      <c r="P701" s="117">
        <v>21.13</v>
      </c>
      <c r="Q701" s="117">
        <f t="shared" si="2"/>
        <v>0</v>
      </c>
      <c r="R701" s="122">
        <f>+(IF(((M701*24)-P701)&lt;0,0,((M701*24)-P701)*'Estimación de pérdidas'!$F$72))*N701</f>
        <v>0</v>
      </c>
      <c r="S701" s="123" t="s">
        <v>117</v>
      </c>
      <c r="T701" s="124" t="s">
        <v>119</v>
      </c>
      <c r="U701" s="124">
        <f t="shared" si="3"/>
        <v>1</v>
      </c>
      <c r="V701" s="124">
        <v>2.0</v>
      </c>
      <c r="W701" s="124"/>
      <c r="X701" s="125"/>
      <c r="Y701" s="126"/>
      <c r="Z701" s="125">
        <f t="shared" si="4"/>
        <v>2</v>
      </c>
      <c r="AA701" s="127" t="str">
        <f t="shared" si="5"/>
        <v>Moderado</v>
      </c>
      <c r="AB701" s="128">
        <f t="shared" si="6"/>
        <v>8</v>
      </c>
      <c r="AC701" s="129">
        <f t="shared" si="7"/>
        <v>0.12</v>
      </c>
      <c r="AD701" s="131"/>
    </row>
    <row r="702" ht="14.25" hidden="1" customHeight="1">
      <c r="A702" s="116" t="s">
        <v>1345</v>
      </c>
      <c r="B702" s="117" t="s">
        <v>1414</v>
      </c>
      <c r="C702" s="117" t="s">
        <v>2348</v>
      </c>
      <c r="D702" s="117" t="s">
        <v>2349</v>
      </c>
      <c r="E702" s="117" t="s">
        <v>2350</v>
      </c>
      <c r="F702" s="117" t="s">
        <v>2351</v>
      </c>
      <c r="G702" s="117" t="s">
        <v>2047</v>
      </c>
      <c r="H702" s="117" t="s">
        <v>2161</v>
      </c>
      <c r="I702" s="117">
        <v>3.0</v>
      </c>
      <c r="J702" s="117">
        <v>2.0</v>
      </c>
      <c r="K702" s="117" t="str">
        <f t="shared" si="1"/>
        <v>Si</v>
      </c>
      <c r="L702" s="118" t="s">
        <v>287</v>
      </c>
      <c r="M702" s="119">
        <v>0.3333333333333333</v>
      </c>
      <c r="N702" s="120">
        <v>0.0</v>
      </c>
      <c r="O702" s="121">
        <v>3.2</v>
      </c>
      <c r="P702" s="117">
        <v>21.13</v>
      </c>
      <c r="Q702" s="117">
        <f t="shared" si="2"/>
        <v>0</v>
      </c>
      <c r="R702" s="122">
        <f>+(IF(((M702*24)-P702)&lt;0,0,((M702*24)-P702)*'Estimación de pérdidas'!$F$72))*N702</f>
        <v>0</v>
      </c>
      <c r="S702" s="123" t="s">
        <v>117</v>
      </c>
      <c r="T702" s="124" t="s">
        <v>119</v>
      </c>
      <c r="U702" s="124">
        <f t="shared" si="3"/>
        <v>1</v>
      </c>
      <c r="V702" s="124">
        <v>2.0</v>
      </c>
      <c r="W702" s="124"/>
      <c r="X702" s="125"/>
      <c r="Y702" s="126"/>
      <c r="Z702" s="125">
        <f t="shared" si="4"/>
        <v>2</v>
      </c>
      <c r="AA702" s="127" t="str">
        <f t="shared" si="5"/>
        <v>Moderado</v>
      </c>
      <c r="AB702" s="128">
        <f t="shared" si="6"/>
        <v>8</v>
      </c>
      <c r="AC702" s="129">
        <f t="shared" si="7"/>
        <v>0.12</v>
      </c>
      <c r="AD702" s="131"/>
    </row>
    <row r="703" ht="14.25" hidden="1" customHeight="1">
      <c r="A703" s="116" t="s">
        <v>1345</v>
      </c>
      <c r="B703" s="117" t="s">
        <v>1414</v>
      </c>
      <c r="C703" s="117" t="s">
        <v>2352</v>
      </c>
      <c r="D703" s="117" t="s">
        <v>2353</v>
      </c>
      <c r="E703" s="117" t="s">
        <v>2354</v>
      </c>
      <c r="F703" s="117" t="s">
        <v>2355</v>
      </c>
      <c r="G703" s="117" t="s">
        <v>2047</v>
      </c>
      <c r="H703" s="117" t="s">
        <v>2142</v>
      </c>
      <c r="I703" s="117">
        <v>1.0</v>
      </c>
      <c r="J703" s="117">
        <v>1.0</v>
      </c>
      <c r="K703" s="117" t="str">
        <f t="shared" si="1"/>
        <v>No</v>
      </c>
      <c r="L703" s="118" t="s">
        <v>116</v>
      </c>
      <c r="M703" s="119">
        <v>0.3333333333333333</v>
      </c>
      <c r="N703" s="120">
        <v>0.33</v>
      </c>
      <c r="O703" s="121">
        <v>91.32</v>
      </c>
      <c r="P703" s="117">
        <v>1.0</v>
      </c>
      <c r="Q703" s="117">
        <f t="shared" si="2"/>
        <v>2.31</v>
      </c>
      <c r="R703" s="122">
        <f>+(IF(((M703*24)-P703)&lt;0,0,((M703*24)-P703)*'Estimación de pérdidas'!$F$72))*N703</f>
        <v>133236.3531</v>
      </c>
      <c r="S703" s="123" t="s">
        <v>117</v>
      </c>
      <c r="T703" s="124" t="s">
        <v>119</v>
      </c>
      <c r="U703" s="124">
        <f t="shared" si="3"/>
        <v>2</v>
      </c>
      <c r="V703" s="124">
        <v>2.0</v>
      </c>
      <c r="W703" s="124"/>
      <c r="X703" s="125"/>
      <c r="Y703" s="126"/>
      <c r="Z703" s="125">
        <f t="shared" si="4"/>
        <v>2</v>
      </c>
      <c r="AA703" s="127" t="str">
        <f t="shared" si="5"/>
        <v>Moderado</v>
      </c>
      <c r="AB703" s="128">
        <f t="shared" si="6"/>
        <v>8</v>
      </c>
      <c r="AC703" s="129">
        <f t="shared" si="7"/>
        <v>0.1517893277</v>
      </c>
      <c r="AD703" s="131"/>
    </row>
    <row r="704" ht="14.25" hidden="1" customHeight="1">
      <c r="A704" s="116" t="s">
        <v>1345</v>
      </c>
      <c r="B704" s="117" t="s">
        <v>1414</v>
      </c>
      <c r="C704" s="117" t="s">
        <v>2356</v>
      </c>
      <c r="D704" s="117" t="s">
        <v>2357</v>
      </c>
      <c r="E704" s="117" t="s">
        <v>2358</v>
      </c>
      <c r="F704" s="117" t="s">
        <v>2359</v>
      </c>
      <c r="G704" s="117" t="s">
        <v>2047</v>
      </c>
      <c r="H704" s="117" t="s">
        <v>2142</v>
      </c>
      <c r="I704" s="117">
        <v>1.0</v>
      </c>
      <c r="J704" s="117">
        <v>1.0</v>
      </c>
      <c r="K704" s="117" t="str">
        <f t="shared" si="1"/>
        <v>No</v>
      </c>
      <c r="L704" s="118" t="s">
        <v>116</v>
      </c>
      <c r="M704" s="119">
        <v>0.3333333333333333</v>
      </c>
      <c r="N704" s="120">
        <v>0.33</v>
      </c>
      <c r="O704" s="121">
        <v>91.32</v>
      </c>
      <c r="P704" s="117">
        <v>1.0</v>
      </c>
      <c r="Q704" s="117">
        <f t="shared" si="2"/>
        <v>2.31</v>
      </c>
      <c r="R704" s="122">
        <f>+(IF(((M704*24)-P704)&lt;0,0,((M704*24)-P704)*'Estimación de pérdidas'!$F$72))*N704</f>
        <v>133236.3531</v>
      </c>
      <c r="S704" s="123" t="s">
        <v>117</v>
      </c>
      <c r="T704" s="124" t="s">
        <v>119</v>
      </c>
      <c r="U704" s="124">
        <f t="shared" si="3"/>
        <v>2</v>
      </c>
      <c r="V704" s="124">
        <v>2.0</v>
      </c>
      <c r="W704" s="124"/>
      <c r="X704" s="125"/>
      <c r="Y704" s="126"/>
      <c r="Z704" s="125">
        <f t="shared" si="4"/>
        <v>2</v>
      </c>
      <c r="AA704" s="127" t="str">
        <f t="shared" si="5"/>
        <v>Moderado</v>
      </c>
      <c r="AB704" s="128">
        <f t="shared" si="6"/>
        <v>8</v>
      </c>
      <c r="AC704" s="129">
        <f t="shared" si="7"/>
        <v>0.1517893277</v>
      </c>
      <c r="AD704" s="131"/>
    </row>
    <row r="705" ht="14.25" hidden="1" customHeight="1">
      <c r="A705" s="116" t="s">
        <v>539</v>
      </c>
      <c r="B705" s="117" t="s">
        <v>575</v>
      </c>
      <c r="C705" s="117" t="s">
        <v>2360</v>
      </c>
      <c r="D705" s="117" t="s">
        <v>2361</v>
      </c>
      <c r="E705" s="117" t="s">
        <v>2362</v>
      </c>
      <c r="F705" s="117" t="s">
        <v>2363</v>
      </c>
      <c r="G705" s="117" t="s">
        <v>270</v>
      </c>
      <c r="H705" s="117" t="s">
        <v>1186</v>
      </c>
      <c r="I705" s="117">
        <v>1.0</v>
      </c>
      <c r="J705" s="117">
        <v>1.0</v>
      </c>
      <c r="K705" s="117" t="str">
        <f t="shared" si="1"/>
        <v>No</v>
      </c>
      <c r="L705" s="118" t="s">
        <v>116</v>
      </c>
      <c r="M705" s="119">
        <v>0.3333333333333333</v>
      </c>
      <c r="N705" s="120">
        <v>0.0</v>
      </c>
      <c r="O705" s="121">
        <v>91.32</v>
      </c>
      <c r="P705" s="117">
        <v>1.0</v>
      </c>
      <c r="Q705" s="117">
        <f t="shared" si="2"/>
        <v>0</v>
      </c>
      <c r="R705" s="122">
        <f>+(IF(((M705*24)-P705)&lt;0,0,((M705*24)-P705)*'Estimación de pérdidas'!$F$72))*N705</f>
        <v>0</v>
      </c>
      <c r="S705" s="123" t="s">
        <v>272</v>
      </c>
      <c r="T705" s="124" t="s">
        <v>119</v>
      </c>
      <c r="U705" s="124">
        <f t="shared" si="3"/>
        <v>1</v>
      </c>
      <c r="V705" s="124">
        <v>1.0</v>
      </c>
      <c r="W705" s="124"/>
      <c r="X705" s="125">
        <v>2.0</v>
      </c>
      <c r="Y705" s="126"/>
      <c r="Z705" s="125">
        <f t="shared" si="4"/>
        <v>2</v>
      </c>
      <c r="AA705" s="127" t="str">
        <f t="shared" si="5"/>
        <v>Moderado</v>
      </c>
      <c r="AB705" s="128">
        <f t="shared" si="6"/>
        <v>8</v>
      </c>
      <c r="AC705" s="129">
        <f t="shared" si="7"/>
        <v>0.1314534138</v>
      </c>
      <c r="AD705" s="131"/>
    </row>
    <row r="706" ht="14.25" hidden="1" customHeight="1">
      <c r="A706" s="116" t="s">
        <v>2364</v>
      </c>
      <c r="B706" s="117" t="s">
        <v>2364</v>
      </c>
      <c r="C706" s="117" t="s">
        <v>1996</v>
      </c>
      <c r="D706" s="117" t="s">
        <v>2365</v>
      </c>
      <c r="E706" s="117" t="s">
        <v>1996</v>
      </c>
      <c r="F706" s="117" t="s">
        <v>1998</v>
      </c>
      <c r="G706" s="117" t="s">
        <v>1999</v>
      </c>
      <c r="H706" s="117" t="s">
        <v>2204</v>
      </c>
      <c r="I706" s="117">
        <v>1.0</v>
      </c>
      <c r="J706" s="117">
        <v>1.0</v>
      </c>
      <c r="K706" s="117" t="str">
        <f t="shared" si="1"/>
        <v>No</v>
      </c>
      <c r="L706" s="118" t="s">
        <v>116</v>
      </c>
      <c r="M706" s="119">
        <v>0.25</v>
      </c>
      <c r="N706" s="120">
        <v>1.0</v>
      </c>
      <c r="O706" s="121">
        <v>91.32</v>
      </c>
      <c r="P706" s="117">
        <v>1.0</v>
      </c>
      <c r="Q706" s="117">
        <f t="shared" si="2"/>
        <v>5</v>
      </c>
      <c r="R706" s="122">
        <f>+(IF(((M706*24)-P706)&lt;0,0,((M706*24)-P706)*'Estimación de pérdidas'!$F$72))*N706</f>
        <v>288390.3746</v>
      </c>
      <c r="S706" s="123" t="s">
        <v>272</v>
      </c>
      <c r="T706" s="124" t="s">
        <v>119</v>
      </c>
      <c r="U706" s="124">
        <f t="shared" si="3"/>
        <v>3</v>
      </c>
      <c r="V706" s="124">
        <v>2.0</v>
      </c>
      <c r="W706" s="124"/>
      <c r="X706" s="125"/>
      <c r="Y706" s="126"/>
      <c r="Z706" s="125">
        <f t="shared" si="4"/>
        <v>3</v>
      </c>
      <c r="AA706" s="127" t="str">
        <f t="shared" si="5"/>
        <v>Moderado</v>
      </c>
      <c r="AB706" s="128">
        <f t="shared" si="6"/>
        <v>13</v>
      </c>
      <c r="AC706" s="129">
        <f t="shared" si="7"/>
        <v>0.193494186</v>
      </c>
      <c r="AD706" s="131"/>
    </row>
    <row r="707" ht="14.25" hidden="1" customHeight="1">
      <c r="A707" s="116" t="s">
        <v>2364</v>
      </c>
      <c r="B707" s="117" t="s">
        <v>2364</v>
      </c>
      <c r="C707" s="117" t="s">
        <v>2207</v>
      </c>
      <c r="D707" s="117" t="s">
        <v>2366</v>
      </c>
      <c r="E707" s="117" t="s">
        <v>2207</v>
      </c>
      <c r="F707" s="117" t="s">
        <v>2208</v>
      </c>
      <c r="G707" s="117" t="s">
        <v>2209</v>
      </c>
      <c r="H707" s="117" t="s">
        <v>2210</v>
      </c>
      <c r="I707" s="117">
        <v>1.0</v>
      </c>
      <c r="J707" s="117">
        <v>1.0</v>
      </c>
      <c r="K707" s="117" t="str">
        <f t="shared" si="1"/>
        <v>No</v>
      </c>
      <c r="L707" s="118" t="s">
        <v>116</v>
      </c>
      <c r="M707" s="119">
        <v>0.25</v>
      </c>
      <c r="N707" s="120">
        <v>1.0</v>
      </c>
      <c r="O707" s="121">
        <v>91.32</v>
      </c>
      <c r="P707" s="117">
        <v>1.0</v>
      </c>
      <c r="Q707" s="117">
        <f t="shared" si="2"/>
        <v>5</v>
      </c>
      <c r="R707" s="122">
        <f>+(IF(((M707*24)-P707)&lt;0,0,((M707*24)-P707)*'Estimación de pérdidas'!$F$72))*N707</f>
        <v>288390.3746</v>
      </c>
      <c r="S707" s="123" t="s">
        <v>272</v>
      </c>
      <c r="T707" s="124" t="s">
        <v>118</v>
      </c>
      <c r="U707" s="124">
        <f t="shared" si="3"/>
        <v>3</v>
      </c>
      <c r="V707" s="124">
        <v>1.0</v>
      </c>
      <c r="W707" s="124"/>
      <c r="X707" s="125"/>
      <c r="Y707" s="126"/>
      <c r="Z707" s="125">
        <f t="shared" si="4"/>
        <v>3</v>
      </c>
      <c r="AA707" s="127" t="str">
        <f t="shared" si="5"/>
        <v>Moderado</v>
      </c>
      <c r="AB707" s="128">
        <f t="shared" si="6"/>
        <v>9</v>
      </c>
      <c r="AC707" s="129">
        <f t="shared" si="7"/>
        <v>0.113137085</v>
      </c>
      <c r="AD707" s="131"/>
    </row>
    <row r="708" ht="14.25" hidden="1" customHeight="1">
      <c r="A708" s="116" t="s">
        <v>2364</v>
      </c>
      <c r="B708" s="117" t="s">
        <v>2364</v>
      </c>
      <c r="C708" s="117" t="s">
        <v>2207</v>
      </c>
      <c r="D708" s="117" t="s">
        <v>2367</v>
      </c>
      <c r="E708" s="117" t="s">
        <v>2207</v>
      </c>
      <c r="F708" s="117" t="s">
        <v>2208</v>
      </c>
      <c r="G708" s="117" t="s">
        <v>2209</v>
      </c>
      <c r="H708" s="117" t="s">
        <v>2210</v>
      </c>
      <c r="I708" s="117">
        <v>1.0</v>
      </c>
      <c r="J708" s="117">
        <v>1.0</v>
      </c>
      <c r="K708" s="117" t="str">
        <f t="shared" si="1"/>
        <v>No</v>
      </c>
      <c r="L708" s="118" t="s">
        <v>116</v>
      </c>
      <c r="M708" s="119">
        <v>0.25</v>
      </c>
      <c r="N708" s="120">
        <v>1.0</v>
      </c>
      <c r="O708" s="121">
        <v>91.32</v>
      </c>
      <c r="P708" s="117">
        <v>1.0</v>
      </c>
      <c r="Q708" s="117">
        <f t="shared" si="2"/>
        <v>5</v>
      </c>
      <c r="R708" s="122">
        <f>+(IF(((M708*24)-P708)&lt;0,0,((M708*24)-P708)*'Estimación de pérdidas'!$F$72))*N708</f>
        <v>288390.3746</v>
      </c>
      <c r="S708" s="123" t="s">
        <v>272</v>
      </c>
      <c r="T708" s="124" t="s">
        <v>118</v>
      </c>
      <c r="U708" s="124">
        <f t="shared" si="3"/>
        <v>3</v>
      </c>
      <c r="V708" s="124">
        <v>1.0</v>
      </c>
      <c r="W708" s="124"/>
      <c r="X708" s="125"/>
      <c r="Y708" s="126"/>
      <c r="Z708" s="125">
        <f t="shared" si="4"/>
        <v>3</v>
      </c>
      <c r="AA708" s="127" t="str">
        <f t="shared" si="5"/>
        <v>Moderado</v>
      </c>
      <c r="AB708" s="128">
        <f t="shared" si="6"/>
        <v>9</v>
      </c>
      <c r="AC708" s="129">
        <f t="shared" si="7"/>
        <v>0.113137085</v>
      </c>
      <c r="AD708" s="131"/>
    </row>
    <row r="709" ht="14.25" hidden="1" customHeight="1">
      <c r="A709" s="116" t="s">
        <v>2364</v>
      </c>
      <c r="B709" s="117" t="s">
        <v>2364</v>
      </c>
      <c r="C709" s="117" t="s">
        <v>2001</v>
      </c>
      <c r="D709" s="117" t="s">
        <v>2368</v>
      </c>
      <c r="E709" s="117" t="s">
        <v>2003</v>
      </c>
      <c r="F709" s="117" t="s">
        <v>2004</v>
      </c>
      <c r="G709" s="117" t="s">
        <v>2005</v>
      </c>
      <c r="H709" s="117" t="s">
        <v>2060</v>
      </c>
      <c r="I709" s="117">
        <v>1.0</v>
      </c>
      <c r="J709" s="117">
        <v>1.0</v>
      </c>
      <c r="K709" s="117" t="str">
        <f t="shared" si="1"/>
        <v>No</v>
      </c>
      <c r="L709" s="118" t="s">
        <v>116</v>
      </c>
      <c r="M709" s="119">
        <v>0.3333333333333333</v>
      </c>
      <c r="N709" s="120">
        <v>1.0</v>
      </c>
      <c r="O709" s="121">
        <v>91.32</v>
      </c>
      <c r="P709" s="117">
        <v>1.0</v>
      </c>
      <c r="Q709" s="117">
        <f t="shared" si="2"/>
        <v>7</v>
      </c>
      <c r="R709" s="122">
        <f>+(IF(((M709*24)-P709)&lt;0,0,((M709*24)-P709)*'Estimación de pérdidas'!$F$72))*N709</f>
        <v>403746.5244</v>
      </c>
      <c r="S709" s="123" t="s">
        <v>117</v>
      </c>
      <c r="T709" s="124" t="s">
        <v>119</v>
      </c>
      <c r="U709" s="124">
        <f t="shared" si="3"/>
        <v>3</v>
      </c>
      <c r="V709" s="124">
        <v>2.0</v>
      </c>
      <c r="W709" s="124"/>
      <c r="X709" s="125"/>
      <c r="Y709" s="126"/>
      <c r="Z709" s="125">
        <f t="shared" si="4"/>
        <v>3</v>
      </c>
      <c r="AA709" s="127" t="str">
        <f t="shared" si="5"/>
        <v>Moderado</v>
      </c>
      <c r="AB709" s="128">
        <f t="shared" si="6"/>
        <v>13</v>
      </c>
      <c r="AC709" s="129">
        <f t="shared" si="7"/>
        <v>0.193494186</v>
      </c>
      <c r="AD709" s="131"/>
    </row>
    <row r="710" ht="14.25" hidden="1" customHeight="1">
      <c r="A710" s="116" t="s">
        <v>2364</v>
      </c>
      <c r="B710" s="117" t="s">
        <v>2364</v>
      </c>
      <c r="C710" s="117" t="s">
        <v>1970</v>
      </c>
      <c r="D710" s="117" t="s">
        <v>2369</v>
      </c>
      <c r="E710" s="117" t="s">
        <v>2370</v>
      </c>
      <c r="F710" s="117" t="s">
        <v>2371</v>
      </c>
      <c r="G710" s="117" t="s">
        <v>1973</v>
      </c>
      <c r="H710" s="117" t="s">
        <v>1974</v>
      </c>
      <c r="I710" s="117">
        <v>1.0</v>
      </c>
      <c r="J710" s="117">
        <v>1.0</v>
      </c>
      <c r="K710" s="117" t="str">
        <f t="shared" si="1"/>
        <v>No</v>
      </c>
      <c r="L710" s="118" t="s">
        <v>116</v>
      </c>
      <c r="M710" s="119">
        <v>0.5</v>
      </c>
      <c r="N710" s="120">
        <v>0.0</v>
      </c>
      <c r="O710" s="121">
        <v>91.32</v>
      </c>
      <c r="P710" s="117">
        <v>1.0</v>
      </c>
      <c r="Q710" s="117">
        <f t="shared" si="2"/>
        <v>0</v>
      </c>
      <c r="R710" s="122">
        <f>+(IF(((M710*24)-P710)&lt;0,0,((M710*24)-P710)*'Estimación de pérdidas'!$F$72))*N710</f>
        <v>0</v>
      </c>
      <c r="S710" s="123" t="s">
        <v>117</v>
      </c>
      <c r="T710" s="124" t="s">
        <v>119</v>
      </c>
      <c r="U710" s="124">
        <f t="shared" si="3"/>
        <v>1</v>
      </c>
      <c r="V710" s="124">
        <v>2.0</v>
      </c>
      <c r="W710" s="124"/>
      <c r="X710" s="125"/>
      <c r="Y710" s="126"/>
      <c r="Z710" s="125">
        <f t="shared" si="4"/>
        <v>2</v>
      </c>
      <c r="AA710" s="127" t="str">
        <f t="shared" si="5"/>
        <v>Moderado</v>
      </c>
      <c r="AB710" s="128">
        <f t="shared" si="6"/>
        <v>8</v>
      </c>
      <c r="AC710" s="129">
        <f t="shared" si="7"/>
        <v>0.12</v>
      </c>
      <c r="AD710" s="131"/>
    </row>
    <row r="711" ht="14.25" hidden="1" customHeight="1">
      <c r="A711" s="116" t="s">
        <v>2364</v>
      </c>
      <c r="B711" s="117" t="s">
        <v>2364</v>
      </c>
      <c r="C711" s="117" t="s">
        <v>2009</v>
      </c>
      <c r="D711" s="117" t="s">
        <v>2372</v>
      </c>
      <c r="E711" s="117" t="s">
        <v>2009</v>
      </c>
      <c r="F711" s="117" t="s">
        <v>2373</v>
      </c>
      <c r="G711" s="117" t="s">
        <v>1973</v>
      </c>
      <c r="H711" s="117" t="s">
        <v>1974</v>
      </c>
      <c r="I711" s="117">
        <v>1.0</v>
      </c>
      <c r="J711" s="117">
        <v>1.0</v>
      </c>
      <c r="K711" s="117" t="str">
        <f t="shared" si="1"/>
        <v>No</v>
      </c>
      <c r="L711" s="118" t="s">
        <v>116</v>
      </c>
      <c r="M711" s="119">
        <v>0.5</v>
      </c>
      <c r="N711" s="120">
        <v>0.0</v>
      </c>
      <c r="O711" s="121">
        <v>91.32</v>
      </c>
      <c r="P711" s="117">
        <v>1.0</v>
      </c>
      <c r="Q711" s="117">
        <f t="shared" si="2"/>
        <v>0</v>
      </c>
      <c r="R711" s="122">
        <f>+(IF(((M711*24)-P711)&lt;0,0,((M711*24)-P711)*'Estimación de pérdidas'!$F$72))*N711</f>
        <v>0</v>
      </c>
      <c r="S711" s="123" t="s">
        <v>117</v>
      </c>
      <c r="T711" s="124" t="s">
        <v>119</v>
      </c>
      <c r="U711" s="124">
        <f t="shared" si="3"/>
        <v>1</v>
      </c>
      <c r="V711" s="124">
        <v>2.0</v>
      </c>
      <c r="W711" s="124"/>
      <c r="X711" s="125"/>
      <c r="Y711" s="126"/>
      <c r="Z711" s="125">
        <f t="shared" si="4"/>
        <v>2</v>
      </c>
      <c r="AA711" s="127" t="str">
        <f t="shared" si="5"/>
        <v>Moderado</v>
      </c>
      <c r="AB711" s="128">
        <f t="shared" si="6"/>
        <v>8</v>
      </c>
      <c r="AC711" s="129">
        <f t="shared" si="7"/>
        <v>0.12</v>
      </c>
      <c r="AD711" s="131"/>
    </row>
    <row r="712" ht="14.25" hidden="1" customHeight="1">
      <c r="A712" s="116" t="s">
        <v>2364</v>
      </c>
      <c r="B712" s="117" t="s">
        <v>2364</v>
      </c>
      <c r="C712" s="117" t="s">
        <v>2013</v>
      </c>
      <c r="D712" s="117" t="s">
        <v>2374</v>
      </c>
      <c r="E712" s="117" t="s">
        <v>1975</v>
      </c>
      <c r="F712" s="117" t="s">
        <v>1983</v>
      </c>
      <c r="G712" s="117" t="s">
        <v>1978</v>
      </c>
      <c r="H712" s="117" t="s">
        <v>1979</v>
      </c>
      <c r="I712" s="117">
        <v>1.0</v>
      </c>
      <c r="J712" s="117">
        <v>1.0</v>
      </c>
      <c r="K712" s="117" t="str">
        <f t="shared" si="1"/>
        <v>No</v>
      </c>
      <c r="L712" s="118" t="s">
        <v>116</v>
      </c>
      <c r="M712" s="119">
        <v>1.0</v>
      </c>
      <c r="N712" s="120">
        <v>0.0</v>
      </c>
      <c r="O712" s="121">
        <v>91.32</v>
      </c>
      <c r="P712" s="117">
        <v>1.0</v>
      </c>
      <c r="Q712" s="117">
        <f t="shared" si="2"/>
        <v>0</v>
      </c>
      <c r="R712" s="122">
        <f>+(IF(((M712*24)-P712)&lt;0,0,((M712*24)-P712)*'Estimación de pérdidas'!$F$72))*N712</f>
        <v>0</v>
      </c>
      <c r="S712" s="123" t="s">
        <v>117</v>
      </c>
      <c r="T712" s="124" t="s">
        <v>132</v>
      </c>
      <c r="U712" s="124">
        <f t="shared" si="3"/>
        <v>1</v>
      </c>
      <c r="V712" s="124">
        <v>2.0</v>
      </c>
      <c r="W712" s="124"/>
      <c r="X712" s="125"/>
      <c r="Y712" s="126"/>
      <c r="Z712" s="125">
        <f t="shared" si="4"/>
        <v>2</v>
      </c>
      <c r="AA712" s="127" t="str">
        <f t="shared" si="5"/>
        <v>Bajo</v>
      </c>
      <c r="AB712" s="128">
        <f t="shared" si="6"/>
        <v>3</v>
      </c>
      <c r="AC712" s="129">
        <f t="shared" si="7"/>
        <v>0.04</v>
      </c>
    </row>
    <row r="713" ht="14.25" hidden="1" customHeight="1">
      <c r="A713" s="116" t="s">
        <v>2364</v>
      </c>
      <c r="B713" s="117" t="s">
        <v>2364</v>
      </c>
      <c r="C713" s="117" t="s">
        <v>2016</v>
      </c>
      <c r="D713" s="117" t="s">
        <v>2375</v>
      </c>
      <c r="E713" s="117" t="s">
        <v>2376</v>
      </c>
      <c r="F713" s="117" t="s">
        <v>2377</v>
      </c>
      <c r="G713" s="117" t="s">
        <v>1973</v>
      </c>
      <c r="H713" s="117" t="s">
        <v>2019</v>
      </c>
      <c r="I713" s="117">
        <v>1.0</v>
      </c>
      <c r="J713" s="117">
        <v>1.0</v>
      </c>
      <c r="K713" s="117" t="str">
        <f t="shared" si="1"/>
        <v>No</v>
      </c>
      <c r="L713" s="118" t="s">
        <v>116</v>
      </c>
      <c r="M713" s="119">
        <v>0.5</v>
      </c>
      <c r="N713" s="120">
        <v>1.0</v>
      </c>
      <c r="O713" s="121">
        <v>91.32</v>
      </c>
      <c r="P713" s="117">
        <v>1.0</v>
      </c>
      <c r="Q713" s="117">
        <f t="shared" si="2"/>
        <v>11</v>
      </c>
      <c r="R713" s="122">
        <f>+(IF(((M713*24)-P713)&lt;0,0,((M713*24)-P713)*'Estimación de pérdidas'!$F$72))*N713</f>
        <v>634458.8241</v>
      </c>
      <c r="S713" s="123" t="s">
        <v>117</v>
      </c>
      <c r="T713" s="124" t="s">
        <v>119</v>
      </c>
      <c r="U713" s="124">
        <f t="shared" si="3"/>
        <v>4</v>
      </c>
      <c r="V713" s="124">
        <v>1.0</v>
      </c>
      <c r="W713" s="124"/>
      <c r="X713" s="125"/>
      <c r="Y713" s="126"/>
      <c r="Z713" s="125">
        <f t="shared" si="4"/>
        <v>4</v>
      </c>
      <c r="AA713" s="127" t="str">
        <f t="shared" si="5"/>
        <v>Moderado</v>
      </c>
      <c r="AB713" s="128">
        <f t="shared" si="6"/>
        <v>18</v>
      </c>
      <c r="AC713" s="129">
        <f t="shared" si="7"/>
        <v>0.221269067</v>
      </c>
      <c r="AD713" s="130"/>
    </row>
    <row r="714" ht="14.25" hidden="1" customHeight="1">
      <c r="A714" s="116" t="s">
        <v>2364</v>
      </c>
      <c r="B714" s="117" t="s">
        <v>2364</v>
      </c>
      <c r="C714" s="117" t="s">
        <v>2071</v>
      </c>
      <c r="D714" s="117" t="s">
        <v>2378</v>
      </c>
      <c r="E714" s="117" t="s">
        <v>1982</v>
      </c>
      <c r="F714" s="117" t="s">
        <v>1983</v>
      </c>
      <c r="G714" s="117" t="s">
        <v>1978</v>
      </c>
      <c r="H714" s="117" t="s">
        <v>1984</v>
      </c>
      <c r="I714" s="117">
        <v>1.0</v>
      </c>
      <c r="J714" s="117">
        <v>1.0</v>
      </c>
      <c r="K714" s="117" t="str">
        <f t="shared" si="1"/>
        <v>No</v>
      </c>
      <c r="L714" s="118" t="s">
        <v>116</v>
      </c>
      <c r="M714" s="119">
        <v>2.0</v>
      </c>
      <c r="N714" s="120">
        <v>1.0</v>
      </c>
      <c r="O714" s="121">
        <v>91.32</v>
      </c>
      <c r="P714" s="117">
        <v>1.0</v>
      </c>
      <c r="Q714" s="117">
        <f t="shared" si="2"/>
        <v>47</v>
      </c>
      <c r="R714" s="122">
        <f>+(IF(((M714*24)-P714)&lt;0,0,((M714*24)-P714)*'Estimación de pérdidas'!$F$72))*N714</f>
        <v>2710869.521</v>
      </c>
      <c r="S714" s="123" t="s">
        <v>117</v>
      </c>
      <c r="T714" s="124" t="s">
        <v>132</v>
      </c>
      <c r="U714" s="124">
        <f t="shared" si="3"/>
        <v>5</v>
      </c>
      <c r="V714" s="124">
        <v>2.0</v>
      </c>
      <c r="W714" s="124"/>
      <c r="X714" s="125"/>
      <c r="Y714" s="126"/>
      <c r="Z714" s="125">
        <f t="shared" si="4"/>
        <v>5</v>
      </c>
      <c r="AA714" s="127" t="str">
        <f t="shared" si="5"/>
        <v>Moderado</v>
      </c>
      <c r="AB714" s="128">
        <f t="shared" si="6"/>
        <v>15</v>
      </c>
      <c r="AC714" s="129">
        <f t="shared" si="7"/>
        <v>0.09633275663</v>
      </c>
      <c r="AD714" s="131"/>
    </row>
    <row r="715" ht="14.25" hidden="1" customHeight="1">
      <c r="A715" s="116" t="s">
        <v>2364</v>
      </c>
      <c r="B715" s="117" t="s">
        <v>2364</v>
      </c>
      <c r="C715" s="117" t="s">
        <v>1985</v>
      </c>
      <c r="D715" s="117" t="s">
        <v>2379</v>
      </c>
      <c r="E715" s="117" t="s">
        <v>2251</v>
      </c>
      <c r="F715" s="117" t="s">
        <v>2380</v>
      </c>
      <c r="G715" s="117" t="s">
        <v>1973</v>
      </c>
      <c r="H715" s="117" t="s">
        <v>1974</v>
      </c>
      <c r="I715" s="117">
        <v>1.0</v>
      </c>
      <c r="J715" s="117">
        <v>1.0</v>
      </c>
      <c r="K715" s="117" t="str">
        <f t="shared" si="1"/>
        <v>No</v>
      </c>
      <c r="L715" s="118" t="s">
        <v>116</v>
      </c>
      <c r="M715" s="119">
        <v>0.5</v>
      </c>
      <c r="N715" s="120">
        <v>0.0</v>
      </c>
      <c r="O715" s="121">
        <v>91.32</v>
      </c>
      <c r="P715" s="117">
        <v>1.0</v>
      </c>
      <c r="Q715" s="117">
        <f t="shared" si="2"/>
        <v>0</v>
      </c>
      <c r="R715" s="122">
        <f>+(IF(((M715*24)-P715)&lt;0,0,((M715*24)-P715)*'Estimación de pérdidas'!$F$72))*N715</f>
        <v>0</v>
      </c>
      <c r="S715" s="123" t="s">
        <v>117</v>
      </c>
      <c r="T715" s="124" t="s">
        <v>119</v>
      </c>
      <c r="U715" s="124">
        <f t="shared" si="3"/>
        <v>1</v>
      </c>
      <c r="V715" s="124">
        <v>1.0</v>
      </c>
      <c r="W715" s="124"/>
      <c r="X715" s="125"/>
      <c r="Y715" s="126"/>
      <c r="Z715" s="125">
        <f t="shared" si="4"/>
        <v>1</v>
      </c>
      <c r="AA715" s="127" t="str">
        <f t="shared" si="5"/>
        <v>Bajo</v>
      </c>
      <c r="AB715" s="128">
        <f t="shared" si="6"/>
        <v>4</v>
      </c>
      <c r="AC715" s="129">
        <f t="shared" si="7"/>
        <v>0.07589466384</v>
      </c>
    </row>
    <row r="716" ht="14.25" hidden="1" customHeight="1">
      <c r="A716" s="116" t="s">
        <v>2364</v>
      </c>
      <c r="B716" s="117" t="s">
        <v>2364</v>
      </c>
      <c r="C716" s="117" t="s">
        <v>2025</v>
      </c>
      <c r="D716" s="117" t="s">
        <v>2381</v>
      </c>
      <c r="E716" s="117" t="s">
        <v>1988</v>
      </c>
      <c r="F716" s="117" t="s">
        <v>1983</v>
      </c>
      <c r="G716" s="117" t="s">
        <v>1978</v>
      </c>
      <c r="H716" s="117" t="s">
        <v>1979</v>
      </c>
      <c r="I716" s="117">
        <v>1.0</v>
      </c>
      <c r="J716" s="117">
        <v>1.0</v>
      </c>
      <c r="K716" s="117" t="str">
        <f t="shared" si="1"/>
        <v>No</v>
      </c>
      <c r="L716" s="118" t="s">
        <v>116</v>
      </c>
      <c r="M716" s="119">
        <v>2.0</v>
      </c>
      <c r="N716" s="120">
        <v>0.0</v>
      </c>
      <c r="O716" s="121">
        <v>91.32</v>
      </c>
      <c r="P716" s="117">
        <v>1.0</v>
      </c>
      <c r="Q716" s="117">
        <f t="shared" si="2"/>
        <v>0</v>
      </c>
      <c r="R716" s="122">
        <f>+(IF(((M716*24)-P716)&lt;0,0,((M716*24)-P716)*'Estimación de pérdidas'!$F$72))*N716</f>
        <v>0</v>
      </c>
      <c r="S716" s="123" t="s">
        <v>117</v>
      </c>
      <c r="T716" s="124" t="s">
        <v>132</v>
      </c>
      <c r="U716" s="124">
        <f t="shared" si="3"/>
        <v>1</v>
      </c>
      <c r="V716" s="124">
        <v>2.0</v>
      </c>
      <c r="W716" s="124"/>
      <c r="X716" s="125"/>
      <c r="Y716" s="126"/>
      <c r="Z716" s="125">
        <f t="shared" si="4"/>
        <v>2</v>
      </c>
      <c r="AA716" s="127" t="str">
        <f t="shared" si="5"/>
        <v>Bajo</v>
      </c>
      <c r="AB716" s="128">
        <f t="shared" si="6"/>
        <v>3</v>
      </c>
      <c r="AC716" s="129">
        <f t="shared" si="7"/>
        <v>0.04</v>
      </c>
    </row>
    <row r="717" ht="14.25" hidden="1" customHeight="1">
      <c r="A717" s="116" t="s">
        <v>2364</v>
      </c>
      <c r="B717" s="117" t="s">
        <v>2364</v>
      </c>
      <c r="C717" s="117" t="s">
        <v>2079</v>
      </c>
      <c r="D717" s="117" t="s">
        <v>2382</v>
      </c>
      <c r="E717" s="117" t="s">
        <v>2081</v>
      </c>
      <c r="F717" s="117" t="s">
        <v>1993</v>
      </c>
      <c r="G717" s="117" t="s">
        <v>1994</v>
      </c>
      <c r="H717" s="117" t="s">
        <v>1995</v>
      </c>
      <c r="I717" s="117">
        <v>1.0</v>
      </c>
      <c r="J717" s="117">
        <v>1.0</v>
      </c>
      <c r="K717" s="117" t="str">
        <f t="shared" si="1"/>
        <v>No</v>
      </c>
      <c r="L717" s="118" t="s">
        <v>116</v>
      </c>
      <c r="M717" s="119">
        <v>3.0</v>
      </c>
      <c r="N717" s="120">
        <v>1.0</v>
      </c>
      <c r="O717" s="121">
        <v>91.32</v>
      </c>
      <c r="P717" s="117">
        <v>1.0</v>
      </c>
      <c r="Q717" s="117">
        <f t="shared" si="2"/>
        <v>71</v>
      </c>
      <c r="R717" s="122">
        <f>+(IF(((M717*24)-P717)&lt;0,0,((M717*24)-P717)*'Estimación de pérdidas'!$F$72))*N717</f>
        <v>4095143.319</v>
      </c>
      <c r="S717" s="123" t="s">
        <v>117</v>
      </c>
      <c r="T717" s="124" t="s">
        <v>132</v>
      </c>
      <c r="U717" s="124">
        <f t="shared" si="3"/>
        <v>5</v>
      </c>
      <c r="V717" s="124">
        <v>2.0</v>
      </c>
      <c r="W717" s="124"/>
      <c r="X717" s="125"/>
      <c r="Y717" s="126"/>
      <c r="Z717" s="125">
        <f t="shared" si="4"/>
        <v>5</v>
      </c>
      <c r="AA717" s="127" t="str">
        <f t="shared" si="5"/>
        <v>Moderado</v>
      </c>
      <c r="AB717" s="128">
        <f t="shared" si="6"/>
        <v>15</v>
      </c>
      <c r="AC717" s="129">
        <f t="shared" si="7"/>
        <v>0.09633275663</v>
      </c>
      <c r="AD717" s="131"/>
    </row>
    <row r="718" ht="14.25" hidden="1" customHeight="1">
      <c r="A718" s="116" t="s">
        <v>2364</v>
      </c>
      <c r="B718" s="117" t="s">
        <v>2364</v>
      </c>
      <c r="C718" s="117" t="s">
        <v>2054</v>
      </c>
      <c r="D718" s="117" t="s">
        <v>2383</v>
      </c>
      <c r="E718" s="117" t="s">
        <v>2054</v>
      </c>
      <c r="F718" s="117" t="s">
        <v>2056</v>
      </c>
      <c r="G718" s="117" t="s">
        <v>2384</v>
      </c>
      <c r="H718" s="117" t="s">
        <v>2058</v>
      </c>
      <c r="I718" s="117">
        <v>1.0</v>
      </c>
      <c r="J718" s="117">
        <v>1.0</v>
      </c>
      <c r="K718" s="117" t="str">
        <f t="shared" si="1"/>
        <v>No</v>
      </c>
      <c r="L718" s="118" t="s">
        <v>116</v>
      </c>
      <c r="M718" s="119">
        <v>0.5833333333333334</v>
      </c>
      <c r="N718" s="120">
        <v>1.0</v>
      </c>
      <c r="O718" s="121">
        <v>91.32</v>
      </c>
      <c r="P718" s="117">
        <v>1.0</v>
      </c>
      <c r="Q718" s="117">
        <f t="shared" si="2"/>
        <v>13</v>
      </c>
      <c r="R718" s="122">
        <f>+(IF(((M718*24)-P718)&lt;0,0,((M718*24)-P718)*'Estimación de pérdidas'!$F$72))*N718</f>
        <v>749814.9739</v>
      </c>
      <c r="S718" s="123" t="s">
        <v>117</v>
      </c>
      <c r="T718" s="124" t="s">
        <v>132</v>
      </c>
      <c r="U718" s="124">
        <f t="shared" si="3"/>
        <v>4</v>
      </c>
      <c r="V718" s="124">
        <v>1.0</v>
      </c>
      <c r="W718" s="124"/>
      <c r="X718" s="125"/>
      <c r="Y718" s="126"/>
      <c r="Z718" s="125">
        <f t="shared" si="4"/>
        <v>4</v>
      </c>
      <c r="AA718" s="127" t="str">
        <f t="shared" si="5"/>
        <v>Moderado</v>
      </c>
      <c r="AB718" s="128">
        <f t="shared" si="6"/>
        <v>10</v>
      </c>
      <c r="AC718" s="129">
        <f t="shared" si="7"/>
        <v>0.07375635566</v>
      </c>
      <c r="AD718" s="130"/>
    </row>
    <row r="719" ht="14.25" hidden="1" customHeight="1">
      <c r="A719" s="116" t="s">
        <v>2364</v>
      </c>
      <c r="B719" s="117" t="s">
        <v>2364</v>
      </c>
      <c r="C719" s="117" t="s">
        <v>2385</v>
      </c>
      <c r="D719" s="117" t="s">
        <v>2386</v>
      </c>
      <c r="E719" s="117" t="s">
        <v>2385</v>
      </c>
      <c r="F719" s="117" t="s">
        <v>2387</v>
      </c>
      <c r="G719" s="117" t="s">
        <v>2087</v>
      </c>
      <c r="H719" s="117" t="s">
        <v>2260</v>
      </c>
      <c r="I719" s="117">
        <v>1.0</v>
      </c>
      <c r="J719" s="117">
        <v>1.0</v>
      </c>
      <c r="K719" s="117" t="str">
        <f t="shared" si="1"/>
        <v>No</v>
      </c>
      <c r="L719" s="118" t="s">
        <v>116</v>
      </c>
      <c r="M719" s="119">
        <v>2.0</v>
      </c>
      <c r="N719" s="120">
        <v>0.0</v>
      </c>
      <c r="O719" s="121">
        <v>91.32</v>
      </c>
      <c r="P719" s="117">
        <v>1.0</v>
      </c>
      <c r="Q719" s="117">
        <f t="shared" si="2"/>
        <v>0</v>
      </c>
      <c r="R719" s="122">
        <f>+(IF(((M719*24)-P719)&lt;0,0,((M719*24)-P719)*'Estimación de pérdidas'!$F$72))*N719</f>
        <v>0</v>
      </c>
      <c r="S719" s="123" t="s">
        <v>117</v>
      </c>
      <c r="T719" s="124" t="s">
        <v>132</v>
      </c>
      <c r="U719" s="124">
        <f t="shared" si="3"/>
        <v>1</v>
      </c>
      <c r="V719" s="124">
        <v>2.0</v>
      </c>
      <c r="W719" s="124"/>
      <c r="X719" s="125"/>
      <c r="Y719" s="126"/>
      <c r="Z719" s="125">
        <f t="shared" si="4"/>
        <v>2</v>
      </c>
      <c r="AA719" s="127" t="str">
        <f t="shared" si="5"/>
        <v>Bajo</v>
      </c>
      <c r="AB719" s="128">
        <f t="shared" si="6"/>
        <v>3</v>
      </c>
      <c r="AC719" s="129">
        <f t="shared" si="7"/>
        <v>0.04</v>
      </c>
    </row>
    <row r="720" ht="14.25" hidden="1" customHeight="1">
      <c r="A720" s="116" t="s">
        <v>2364</v>
      </c>
      <c r="B720" s="117" t="s">
        <v>2364</v>
      </c>
      <c r="C720" s="117" t="s">
        <v>2031</v>
      </c>
      <c r="D720" s="117" t="s">
        <v>2388</v>
      </c>
      <c r="E720" s="117" t="s">
        <v>2031</v>
      </c>
      <c r="F720" s="117" t="s">
        <v>2033</v>
      </c>
      <c r="G720" s="117" t="s">
        <v>1973</v>
      </c>
      <c r="H720" s="117" t="s">
        <v>2034</v>
      </c>
      <c r="I720" s="117">
        <v>1.0</v>
      </c>
      <c r="J720" s="117">
        <v>1.0</v>
      </c>
      <c r="K720" s="117" t="str">
        <f t="shared" si="1"/>
        <v>No</v>
      </c>
      <c r="L720" s="118" t="s">
        <v>116</v>
      </c>
      <c r="M720" s="119">
        <v>0.5</v>
      </c>
      <c r="N720" s="120">
        <v>1.0</v>
      </c>
      <c r="O720" s="121">
        <v>91.32</v>
      </c>
      <c r="P720" s="117">
        <v>1.0</v>
      </c>
      <c r="Q720" s="117">
        <f t="shared" si="2"/>
        <v>11</v>
      </c>
      <c r="R720" s="122">
        <f>+(IF(((M720*24)-P720)&lt;0,0,((M720*24)-P720)*'Estimación de pérdidas'!$F$72))*N720</f>
        <v>634458.8241</v>
      </c>
      <c r="S720" s="123" t="s">
        <v>117</v>
      </c>
      <c r="T720" s="124" t="s">
        <v>119</v>
      </c>
      <c r="U720" s="124">
        <f t="shared" si="3"/>
        <v>4</v>
      </c>
      <c r="V720" s="124">
        <v>2.0</v>
      </c>
      <c r="W720" s="124"/>
      <c r="X720" s="125"/>
      <c r="Y720" s="126"/>
      <c r="Z720" s="125">
        <f t="shared" si="4"/>
        <v>4</v>
      </c>
      <c r="AA720" s="127" t="str">
        <f t="shared" si="5"/>
        <v>Moderado</v>
      </c>
      <c r="AB720" s="128">
        <f t="shared" si="6"/>
        <v>18</v>
      </c>
      <c r="AC720" s="129">
        <f t="shared" si="7"/>
        <v>0.24</v>
      </c>
      <c r="AD720" s="130"/>
    </row>
    <row r="721" ht="14.25" hidden="1" customHeight="1">
      <c r="A721" s="116" t="s">
        <v>2364</v>
      </c>
      <c r="B721" s="117" t="s">
        <v>2364</v>
      </c>
      <c r="C721" s="117" t="s">
        <v>2035</v>
      </c>
      <c r="D721" s="117" t="s">
        <v>2389</v>
      </c>
      <c r="E721" s="117" t="s">
        <v>2035</v>
      </c>
      <c r="F721" s="117" t="s">
        <v>2037</v>
      </c>
      <c r="G721" s="117" t="s">
        <v>2038</v>
      </c>
      <c r="H721" s="117" t="s">
        <v>2039</v>
      </c>
      <c r="I721" s="117">
        <v>1.0</v>
      </c>
      <c r="J721" s="117">
        <v>1.0</v>
      </c>
      <c r="K721" s="117" t="str">
        <f t="shared" si="1"/>
        <v>No</v>
      </c>
      <c r="L721" s="118" t="s">
        <v>116</v>
      </c>
      <c r="M721" s="119">
        <v>0.5</v>
      </c>
      <c r="N721" s="120">
        <v>1.0</v>
      </c>
      <c r="O721" s="121">
        <v>91.32</v>
      </c>
      <c r="P721" s="117">
        <v>1.0</v>
      </c>
      <c r="Q721" s="117">
        <f t="shared" si="2"/>
        <v>11</v>
      </c>
      <c r="R721" s="122">
        <f>+(IF(((M721*24)-P721)&lt;0,0,((M721*24)-P721)*'Estimación de pérdidas'!$F$72))*N721</f>
        <v>634458.8241</v>
      </c>
      <c r="S721" s="123" t="s">
        <v>117</v>
      </c>
      <c r="T721" s="124" t="s">
        <v>119</v>
      </c>
      <c r="U721" s="124">
        <f t="shared" si="3"/>
        <v>4</v>
      </c>
      <c r="V721" s="124">
        <v>2.0</v>
      </c>
      <c r="W721" s="124"/>
      <c r="X721" s="125"/>
      <c r="Y721" s="126"/>
      <c r="Z721" s="125">
        <f t="shared" si="4"/>
        <v>4</v>
      </c>
      <c r="AA721" s="127" t="str">
        <f t="shared" si="5"/>
        <v>Moderado</v>
      </c>
      <c r="AB721" s="128">
        <f t="shared" si="6"/>
        <v>18</v>
      </c>
      <c r="AC721" s="129">
        <f t="shared" si="7"/>
        <v>0.24</v>
      </c>
      <c r="AD721" s="130"/>
    </row>
    <row r="722" ht="14.25" hidden="1" customHeight="1">
      <c r="A722" s="116" t="s">
        <v>2364</v>
      </c>
      <c r="B722" s="117" t="s">
        <v>2364</v>
      </c>
      <c r="C722" s="117" t="s">
        <v>2035</v>
      </c>
      <c r="D722" s="117" t="s">
        <v>2389</v>
      </c>
      <c r="E722" s="117" t="s">
        <v>2035</v>
      </c>
      <c r="F722" s="117" t="s">
        <v>2037</v>
      </c>
      <c r="G722" s="117" t="s">
        <v>2038</v>
      </c>
      <c r="H722" s="117" t="s">
        <v>2039</v>
      </c>
      <c r="I722" s="117">
        <v>1.0</v>
      </c>
      <c r="J722" s="117">
        <v>1.0</v>
      </c>
      <c r="K722" s="117" t="str">
        <f t="shared" si="1"/>
        <v>No</v>
      </c>
      <c r="L722" s="118" t="s">
        <v>116</v>
      </c>
      <c r="M722" s="119">
        <v>0.5</v>
      </c>
      <c r="N722" s="120">
        <v>1.0</v>
      </c>
      <c r="O722" s="121">
        <v>91.32</v>
      </c>
      <c r="P722" s="117">
        <v>1.0</v>
      </c>
      <c r="Q722" s="117">
        <f t="shared" si="2"/>
        <v>11</v>
      </c>
      <c r="R722" s="122">
        <f>+(IF(((M722*24)-P722)&lt;0,0,((M722*24)-P722)*'Estimación de pérdidas'!$F$72))*N722</f>
        <v>634458.8241</v>
      </c>
      <c r="S722" s="123" t="s">
        <v>117</v>
      </c>
      <c r="T722" s="124" t="s">
        <v>119</v>
      </c>
      <c r="U722" s="124">
        <f t="shared" si="3"/>
        <v>4</v>
      </c>
      <c r="V722" s="124">
        <v>2.0</v>
      </c>
      <c r="W722" s="124"/>
      <c r="X722" s="125"/>
      <c r="Y722" s="126"/>
      <c r="Z722" s="125">
        <f t="shared" si="4"/>
        <v>4</v>
      </c>
      <c r="AA722" s="127" t="str">
        <f t="shared" si="5"/>
        <v>Moderado</v>
      </c>
      <c r="AB722" s="128">
        <f t="shared" si="6"/>
        <v>18</v>
      </c>
      <c r="AC722" s="129">
        <f t="shared" si="7"/>
        <v>0.24</v>
      </c>
      <c r="AD722" s="130"/>
    </row>
    <row r="723" ht="14.25" hidden="1" customHeight="1">
      <c r="A723" s="116" t="s">
        <v>1345</v>
      </c>
      <c r="B723" s="117" t="s">
        <v>1414</v>
      </c>
      <c r="C723" s="117" t="s">
        <v>2390</v>
      </c>
      <c r="D723" s="117" t="s">
        <v>2391</v>
      </c>
      <c r="E723" s="117" t="s">
        <v>2392</v>
      </c>
      <c r="F723" s="117" t="s">
        <v>2393</v>
      </c>
      <c r="G723" s="117" t="s">
        <v>592</v>
      </c>
      <c r="H723" s="117" t="s">
        <v>593</v>
      </c>
      <c r="I723" s="117">
        <v>1.0</v>
      </c>
      <c r="J723" s="117">
        <v>1.0</v>
      </c>
      <c r="K723" s="117" t="str">
        <f t="shared" si="1"/>
        <v>No</v>
      </c>
      <c r="L723" s="118" t="s">
        <v>116</v>
      </c>
      <c r="M723" s="119">
        <v>0.16666666666666666</v>
      </c>
      <c r="N723" s="120">
        <v>0.0</v>
      </c>
      <c r="O723" s="121"/>
      <c r="P723" s="117">
        <v>0.0</v>
      </c>
      <c r="Q723" s="117">
        <f t="shared" si="2"/>
        <v>0</v>
      </c>
      <c r="R723" s="122">
        <f>+(IF(((M723*24)-P723)&lt;0,0,((M723*24)-P723)*'Estimación de pérdidas'!$F$72))*N723</f>
        <v>0</v>
      </c>
      <c r="S723" s="123" t="s">
        <v>117</v>
      </c>
      <c r="T723" s="124" t="s">
        <v>119</v>
      </c>
      <c r="U723" s="124">
        <f t="shared" si="3"/>
        <v>1</v>
      </c>
      <c r="V723" s="124">
        <v>1.0</v>
      </c>
      <c r="W723" s="124"/>
      <c r="X723" s="125"/>
      <c r="Y723" s="126"/>
      <c r="Z723" s="125">
        <f t="shared" si="4"/>
        <v>1</v>
      </c>
      <c r="AA723" s="127" t="str">
        <f t="shared" si="5"/>
        <v>Bajo</v>
      </c>
      <c r="AB723" s="128">
        <f t="shared" si="6"/>
        <v>4</v>
      </c>
      <c r="AC723" s="129">
        <f t="shared" si="7"/>
        <v>0.07589466384</v>
      </c>
    </row>
    <row r="724" ht="14.25" hidden="1" customHeight="1">
      <c r="A724" s="116" t="s">
        <v>1345</v>
      </c>
      <c r="B724" s="117" t="s">
        <v>1414</v>
      </c>
      <c r="C724" s="117" t="s">
        <v>2394</v>
      </c>
      <c r="D724" s="117" t="s">
        <v>2395</v>
      </c>
      <c r="E724" s="117" t="s">
        <v>2396</v>
      </c>
      <c r="F724" s="117" t="s">
        <v>2397</v>
      </c>
      <c r="G724" s="117" t="s">
        <v>592</v>
      </c>
      <c r="H724" s="117" t="s">
        <v>593</v>
      </c>
      <c r="I724" s="117">
        <v>1.0</v>
      </c>
      <c r="J724" s="117">
        <v>1.0</v>
      </c>
      <c r="K724" s="117" t="str">
        <f t="shared" si="1"/>
        <v>No</v>
      </c>
      <c r="L724" s="118" t="s">
        <v>116</v>
      </c>
      <c r="M724" s="119">
        <v>0.16666666666666666</v>
      </c>
      <c r="N724" s="120">
        <v>0.0</v>
      </c>
      <c r="O724" s="121"/>
      <c r="P724" s="117">
        <v>0.0</v>
      </c>
      <c r="Q724" s="117">
        <f t="shared" si="2"/>
        <v>0</v>
      </c>
      <c r="R724" s="122">
        <f>+(IF(((M724*24)-P724)&lt;0,0,((M724*24)-P724)*'Estimación de pérdidas'!$F$72))*N724</f>
        <v>0</v>
      </c>
      <c r="S724" s="123" t="s">
        <v>117</v>
      </c>
      <c r="T724" s="124" t="s">
        <v>119</v>
      </c>
      <c r="U724" s="124">
        <f t="shared" si="3"/>
        <v>1</v>
      </c>
      <c r="V724" s="124">
        <v>1.0</v>
      </c>
      <c r="W724" s="124"/>
      <c r="X724" s="125"/>
      <c r="Y724" s="126"/>
      <c r="Z724" s="125">
        <f t="shared" si="4"/>
        <v>1</v>
      </c>
      <c r="AA724" s="127" t="str">
        <f t="shared" si="5"/>
        <v>Bajo</v>
      </c>
      <c r="AB724" s="128">
        <f t="shared" si="6"/>
        <v>4</v>
      </c>
      <c r="AC724" s="129">
        <f t="shared" si="7"/>
        <v>0.07589466384</v>
      </c>
    </row>
    <row r="725" ht="14.25" hidden="1" customHeight="1">
      <c r="A725" s="116" t="s">
        <v>1345</v>
      </c>
      <c r="B725" s="117" t="s">
        <v>1414</v>
      </c>
      <c r="C725" s="117" t="s">
        <v>2398</v>
      </c>
      <c r="D725" s="117" t="s">
        <v>2399</v>
      </c>
      <c r="E725" s="117" t="s">
        <v>2400</v>
      </c>
      <c r="F725" s="117" t="s">
        <v>2401</v>
      </c>
      <c r="G725" s="117" t="s">
        <v>1903</v>
      </c>
      <c r="H725" s="117" t="s">
        <v>1904</v>
      </c>
      <c r="I725" s="117">
        <v>1.0</v>
      </c>
      <c r="J725" s="117">
        <v>1.0</v>
      </c>
      <c r="K725" s="117" t="str">
        <f t="shared" si="1"/>
        <v>No</v>
      </c>
      <c r="L725" s="118" t="s">
        <v>116</v>
      </c>
      <c r="M725" s="119">
        <v>0.5</v>
      </c>
      <c r="N725" s="120">
        <v>1.0</v>
      </c>
      <c r="O725" s="121">
        <v>91.32</v>
      </c>
      <c r="P725" s="117">
        <v>1.0</v>
      </c>
      <c r="Q725" s="117">
        <f t="shared" si="2"/>
        <v>11</v>
      </c>
      <c r="R725" s="122">
        <f>+(IF(((M725*24)-P725)&lt;0,0,((M725*24)-P725)*'Estimación de pérdidas'!$F$72))*N725</f>
        <v>634458.8241</v>
      </c>
      <c r="S725" s="123" t="s">
        <v>117</v>
      </c>
      <c r="T725" s="124" t="s">
        <v>132</v>
      </c>
      <c r="U725" s="124">
        <f t="shared" si="3"/>
        <v>4</v>
      </c>
      <c r="V725" s="124">
        <v>1.0</v>
      </c>
      <c r="W725" s="124"/>
      <c r="X725" s="125"/>
      <c r="Y725" s="126"/>
      <c r="Z725" s="125">
        <f t="shared" si="4"/>
        <v>4</v>
      </c>
      <c r="AA725" s="127" t="str">
        <f t="shared" si="5"/>
        <v>Moderado</v>
      </c>
      <c r="AB725" s="128">
        <f t="shared" si="6"/>
        <v>10</v>
      </c>
      <c r="AC725" s="129">
        <f t="shared" si="7"/>
        <v>0.07375635566</v>
      </c>
      <c r="AD725" s="130"/>
    </row>
    <row r="726" ht="14.25" hidden="1" customHeight="1">
      <c r="A726" s="116" t="s">
        <v>1345</v>
      </c>
      <c r="B726" s="117" t="s">
        <v>1414</v>
      </c>
      <c r="C726" s="117" t="s">
        <v>2402</v>
      </c>
      <c r="D726" s="117" t="s">
        <v>2403</v>
      </c>
      <c r="E726" s="117" t="s">
        <v>2404</v>
      </c>
      <c r="F726" s="117" t="s">
        <v>2405</v>
      </c>
      <c r="G726" s="117" t="s">
        <v>1903</v>
      </c>
      <c r="H726" s="117" t="s">
        <v>1904</v>
      </c>
      <c r="I726" s="117">
        <v>1.0</v>
      </c>
      <c r="J726" s="117">
        <v>1.0</v>
      </c>
      <c r="K726" s="117" t="str">
        <f t="shared" si="1"/>
        <v>No</v>
      </c>
      <c r="L726" s="118" t="s">
        <v>116</v>
      </c>
      <c r="M726" s="119">
        <v>0.5</v>
      </c>
      <c r="N726" s="120">
        <v>1.0</v>
      </c>
      <c r="O726" s="121">
        <v>91.32</v>
      </c>
      <c r="P726" s="117">
        <v>1.0</v>
      </c>
      <c r="Q726" s="117">
        <f t="shared" si="2"/>
        <v>11</v>
      </c>
      <c r="R726" s="122">
        <f>+(IF(((M726*24)-P726)&lt;0,0,((M726*24)-P726)*'Estimación de pérdidas'!$F$72))*N726</f>
        <v>634458.8241</v>
      </c>
      <c r="S726" s="123" t="s">
        <v>117</v>
      </c>
      <c r="T726" s="124" t="s">
        <v>132</v>
      </c>
      <c r="U726" s="124">
        <f t="shared" si="3"/>
        <v>4</v>
      </c>
      <c r="V726" s="124">
        <v>1.0</v>
      </c>
      <c r="W726" s="124"/>
      <c r="X726" s="125"/>
      <c r="Y726" s="126"/>
      <c r="Z726" s="125">
        <f t="shared" si="4"/>
        <v>4</v>
      </c>
      <c r="AA726" s="127" t="str">
        <f t="shared" si="5"/>
        <v>Moderado</v>
      </c>
      <c r="AB726" s="128">
        <f t="shared" si="6"/>
        <v>10</v>
      </c>
      <c r="AC726" s="129">
        <f t="shared" si="7"/>
        <v>0.07375635566</v>
      </c>
      <c r="AD726" s="130"/>
    </row>
    <row r="727" ht="14.25" hidden="1" customHeight="1">
      <c r="A727" s="116" t="s">
        <v>1345</v>
      </c>
      <c r="B727" s="117" t="s">
        <v>1414</v>
      </c>
      <c r="C727" s="117" t="s">
        <v>2406</v>
      </c>
      <c r="D727" s="117" t="s">
        <v>2407</v>
      </c>
      <c r="E727" s="117" t="s">
        <v>2408</v>
      </c>
      <c r="F727" s="117" t="s">
        <v>2409</v>
      </c>
      <c r="G727" s="117" t="s">
        <v>592</v>
      </c>
      <c r="H727" s="117" t="s">
        <v>593</v>
      </c>
      <c r="I727" s="117">
        <v>1.0</v>
      </c>
      <c r="J727" s="117">
        <v>1.0</v>
      </c>
      <c r="K727" s="117" t="str">
        <f t="shared" si="1"/>
        <v>No</v>
      </c>
      <c r="L727" s="118" t="s">
        <v>116</v>
      </c>
      <c r="M727" s="119">
        <v>0.16666666666666666</v>
      </c>
      <c r="N727" s="120">
        <v>0.0</v>
      </c>
      <c r="O727" s="121"/>
      <c r="P727" s="117">
        <v>0.0</v>
      </c>
      <c r="Q727" s="117">
        <f t="shared" si="2"/>
        <v>0</v>
      </c>
      <c r="R727" s="122">
        <f>+(IF(((M727*24)-P727)&lt;0,0,((M727*24)-P727)*'Estimación de pérdidas'!$F$72))*N727</f>
        <v>0</v>
      </c>
      <c r="S727" s="123" t="s">
        <v>117</v>
      </c>
      <c r="T727" s="124" t="s">
        <v>119</v>
      </c>
      <c r="U727" s="124">
        <f t="shared" si="3"/>
        <v>1</v>
      </c>
      <c r="V727" s="124">
        <v>1.0</v>
      </c>
      <c r="W727" s="124"/>
      <c r="X727" s="125"/>
      <c r="Y727" s="126"/>
      <c r="Z727" s="125">
        <f t="shared" si="4"/>
        <v>1</v>
      </c>
      <c r="AA727" s="127" t="str">
        <f t="shared" si="5"/>
        <v>Bajo</v>
      </c>
      <c r="AB727" s="128">
        <f t="shared" si="6"/>
        <v>4</v>
      </c>
      <c r="AC727" s="129">
        <f t="shared" si="7"/>
        <v>0.07589466384</v>
      </c>
    </row>
    <row r="728" ht="14.25" hidden="1" customHeight="1">
      <c r="A728" s="116" t="s">
        <v>1345</v>
      </c>
      <c r="B728" s="117" t="s">
        <v>1414</v>
      </c>
      <c r="C728" s="117" t="s">
        <v>2410</v>
      </c>
      <c r="D728" s="117" t="s">
        <v>2411</v>
      </c>
      <c r="E728" s="117" t="s">
        <v>2412</v>
      </c>
      <c r="F728" s="117" t="s">
        <v>2413</v>
      </c>
      <c r="G728" s="117" t="s">
        <v>1903</v>
      </c>
      <c r="H728" s="117" t="s">
        <v>1904</v>
      </c>
      <c r="I728" s="117">
        <v>1.0</v>
      </c>
      <c r="J728" s="117">
        <v>1.0</v>
      </c>
      <c r="K728" s="117" t="str">
        <f t="shared" si="1"/>
        <v>No</v>
      </c>
      <c r="L728" s="118" t="s">
        <v>116</v>
      </c>
      <c r="M728" s="119">
        <v>0.5</v>
      </c>
      <c r="N728" s="120">
        <v>1.0</v>
      </c>
      <c r="O728" s="121">
        <v>91.32</v>
      </c>
      <c r="P728" s="117">
        <v>1.0</v>
      </c>
      <c r="Q728" s="117">
        <f t="shared" si="2"/>
        <v>11</v>
      </c>
      <c r="R728" s="122">
        <f>+(IF(((M728*24)-P728)&lt;0,0,((M728*24)-P728)*'Estimación de pérdidas'!$F$72))*N728</f>
        <v>634458.8241</v>
      </c>
      <c r="S728" s="123" t="s">
        <v>117</v>
      </c>
      <c r="T728" s="124" t="s">
        <v>132</v>
      </c>
      <c r="U728" s="124">
        <f t="shared" si="3"/>
        <v>4</v>
      </c>
      <c r="V728" s="124">
        <v>1.0</v>
      </c>
      <c r="W728" s="124"/>
      <c r="X728" s="125"/>
      <c r="Y728" s="126"/>
      <c r="Z728" s="125">
        <f t="shared" si="4"/>
        <v>4</v>
      </c>
      <c r="AA728" s="127" t="str">
        <f t="shared" si="5"/>
        <v>Moderado</v>
      </c>
      <c r="AB728" s="128">
        <f t="shared" si="6"/>
        <v>10</v>
      </c>
      <c r="AC728" s="129">
        <f t="shared" si="7"/>
        <v>0.07375635566</v>
      </c>
      <c r="AD728" s="130"/>
    </row>
    <row r="729" ht="14.25" hidden="1" customHeight="1">
      <c r="A729" s="116" t="s">
        <v>1345</v>
      </c>
      <c r="B729" s="117" t="s">
        <v>1414</v>
      </c>
      <c r="C729" s="117" t="s">
        <v>2414</v>
      </c>
      <c r="D729" s="117" t="s">
        <v>2415</v>
      </c>
      <c r="E729" s="117" t="s">
        <v>2416</v>
      </c>
      <c r="F729" s="117" t="s">
        <v>2409</v>
      </c>
      <c r="G729" s="117" t="s">
        <v>592</v>
      </c>
      <c r="H729" s="117" t="s">
        <v>593</v>
      </c>
      <c r="I729" s="117">
        <v>1.0</v>
      </c>
      <c r="J729" s="117">
        <v>1.0</v>
      </c>
      <c r="K729" s="117" t="str">
        <f t="shared" si="1"/>
        <v>No</v>
      </c>
      <c r="L729" s="118" t="s">
        <v>116</v>
      </c>
      <c r="M729" s="119">
        <v>0.16666666666666666</v>
      </c>
      <c r="N729" s="120">
        <v>0.0</v>
      </c>
      <c r="O729" s="121"/>
      <c r="P729" s="117">
        <v>0.0</v>
      </c>
      <c r="Q729" s="117">
        <f t="shared" si="2"/>
        <v>0</v>
      </c>
      <c r="R729" s="122">
        <f>+(IF(((M729*24)-P729)&lt;0,0,((M729*24)-P729)*'Estimación de pérdidas'!$F$72))*N729</f>
        <v>0</v>
      </c>
      <c r="S729" s="123" t="s">
        <v>117</v>
      </c>
      <c r="T729" s="124" t="s">
        <v>119</v>
      </c>
      <c r="U729" s="124">
        <f t="shared" si="3"/>
        <v>1</v>
      </c>
      <c r="V729" s="124">
        <v>1.0</v>
      </c>
      <c r="W729" s="124"/>
      <c r="X729" s="125"/>
      <c r="Y729" s="126"/>
      <c r="Z729" s="125">
        <f t="shared" si="4"/>
        <v>1</v>
      </c>
      <c r="AA729" s="127" t="str">
        <f t="shared" si="5"/>
        <v>Bajo</v>
      </c>
      <c r="AB729" s="128">
        <f t="shared" si="6"/>
        <v>4</v>
      </c>
      <c r="AC729" s="129">
        <f t="shared" si="7"/>
        <v>0.07589466384</v>
      </c>
    </row>
    <row r="730" ht="14.25" hidden="1" customHeight="1">
      <c r="A730" s="116" t="s">
        <v>1345</v>
      </c>
      <c r="B730" s="117" t="s">
        <v>1414</v>
      </c>
      <c r="C730" s="117" t="s">
        <v>2417</v>
      </c>
      <c r="D730" s="117" t="s">
        <v>2418</v>
      </c>
      <c r="E730" s="117" t="s">
        <v>2419</v>
      </c>
      <c r="F730" s="117" t="s">
        <v>2420</v>
      </c>
      <c r="G730" s="117" t="s">
        <v>1903</v>
      </c>
      <c r="H730" s="117" t="s">
        <v>1904</v>
      </c>
      <c r="I730" s="117">
        <v>1.0</v>
      </c>
      <c r="J730" s="117">
        <v>1.0</v>
      </c>
      <c r="K730" s="117" t="str">
        <f t="shared" si="1"/>
        <v>No</v>
      </c>
      <c r="L730" s="118" t="s">
        <v>116</v>
      </c>
      <c r="M730" s="119">
        <v>0.5</v>
      </c>
      <c r="N730" s="120">
        <v>1.0</v>
      </c>
      <c r="O730" s="121">
        <v>91.32</v>
      </c>
      <c r="P730" s="117">
        <v>1.0</v>
      </c>
      <c r="Q730" s="117">
        <f t="shared" si="2"/>
        <v>11</v>
      </c>
      <c r="R730" s="122">
        <f>+(IF(((M730*24)-P730)&lt;0,0,((M730*24)-P730)*'Estimación de pérdidas'!$F$72))*N730</f>
        <v>634458.8241</v>
      </c>
      <c r="S730" s="123" t="s">
        <v>117</v>
      </c>
      <c r="T730" s="124" t="s">
        <v>132</v>
      </c>
      <c r="U730" s="124">
        <f t="shared" si="3"/>
        <v>4</v>
      </c>
      <c r="V730" s="124">
        <v>1.0</v>
      </c>
      <c r="W730" s="124"/>
      <c r="X730" s="125"/>
      <c r="Y730" s="126"/>
      <c r="Z730" s="125">
        <f t="shared" si="4"/>
        <v>4</v>
      </c>
      <c r="AA730" s="127" t="str">
        <f t="shared" si="5"/>
        <v>Moderado</v>
      </c>
      <c r="AB730" s="128">
        <f t="shared" si="6"/>
        <v>10</v>
      </c>
      <c r="AC730" s="129">
        <f t="shared" si="7"/>
        <v>0.07375635566</v>
      </c>
      <c r="AD730" s="130"/>
    </row>
    <row r="731" ht="14.25" hidden="1" customHeight="1">
      <c r="A731" s="116" t="s">
        <v>1345</v>
      </c>
      <c r="B731" s="117" t="s">
        <v>1414</v>
      </c>
      <c r="C731" s="117" t="s">
        <v>2421</v>
      </c>
      <c r="D731" s="117" t="s">
        <v>2422</v>
      </c>
      <c r="E731" s="117" t="s">
        <v>2423</v>
      </c>
      <c r="F731" s="117" t="s">
        <v>2424</v>
      </c>
      <c r="G731" s="117" t="s">
        <v>592</v>
      </c>
      <c r="H731" s="117" t="s">
        <v>593</v>
      </c>
      <c r="I731" s="117">
        <v>1.0</v>
      </c>
      <c r="J731" s="117">
        <v>1.0</v>
      </c>
      <c r="K731" s="117" t="str">
        <f t="shared" si="1"/>
        <v>No</v>
      </c>
      <c r="L731" s="118" t="s">
        <v>116</v>
      </c>
      <c r="M731" s="119">
        <v>0.16666666666666666</v>
      </c>
      <c r="N731" s="120">
        <v>0.0</v>
      </c>
      <c r="O731" s="121"/>
      <c r="P731" s="117">
        <v>0.0</v>
      </c>
      <c r="Q731" s="117">
        <f t="shared" si="2"/>
        <v>0</v>
      </c>
      <c r="R731" s="122">
        <f>+(IF(((M731*24)-P731)&lt;0,0,((M731*24)-P731)*'Estimación de pérdidas'!$F$72))*N731</f>
        <v>0</v>
      </c>
      <c r="S731" s="123" t="s">
        <v>117</v>
      </c>
      <c r="T731" s="124" t="s">
        <v>119</v>
      </c>
      <c r="U731" s="124">
        <f t="shared" si="3"/>
        <v>1</v>
      </c>
      <c r="V731" s="124">
        <v>1.0</v>
      </c>
      <c r="W731" s="124"/>
      <c r="X731" s="125"/>
      <c r="Y731" s="126"/>
      <c r="Z731" s="125">
        <f t="shared" si="4"/>
        <v>1</v>
      </c>
      <c r="AA731" s="127" t="str">
        <f t="shared" si="5"/>
        <v>Bajo</v>
      </c>
      <c r="AB731" s="128">
        <f t="shared" si="6"/>
        <v>4</v>
      </c>
      <c r="AC731" s="129">
        <f t="shared" si="7"/>
        <v>0.07589466384</v>
      </c>
    </row>
    <row r="732" ht="14.25" hidden="1" customHeight="1">
      <c r="A732" s="116" t="s">
        <v>1345</v>
      </c>
      <c r="B732" s="117" t="s">
        <v>1414</v>
      </c>
      <c r="C732" s="117" t="s">
        <v>2425</v>
      </c>
      <c r="D732" s="117" t="s">
        <v>2426</v>
      </c>
      <c r="E732" s="117" t="s">
        <v>2427</v>
      </c>
      <c r="F732" s="117" t="s">
        <v>585</v>
      </c>
      <c r="G732" s="117" t="s">
        <v>2428</v>
      </c>
      <c r="H732" s="117" t="s">
        <v>2429</v>
      </c>
      <c r="I732" s="117">
        <v>1.0</v>
      </c>
      <c r="J732" s="117">
        <v>1.0</v>
      </c>
      <c r="K732" s="117" t="str">
        <f t="shared" si="1"/>
        <v>No</v>
      </c>
      <c r="L732" s="118" t="s">
        <v>116</v>
      </c>
      <c r="M732" s="119">
        <v>0.25</v>
      </c>
      <c r="N732" s="120">
        <v>0.0</v>
      </c>
      <c r="O732" s="121"/>
      <c r="P732" s="117">
        <v>0.0</v>
      </c>
      <c r="Q732" s="117">
        <f t="shared" si="2"/>
        <v>0</v>
      </c>
      <c r="R732" s="122">
        <f>+(IF(((M732*24)-P732)&lt;0,0,((M732*24)-P732)*'Estimación de pérdidas'!$F$72))*N732</f>
        <v>0</v>
      </c>
      <c r="S732" s="123" t="s">
        <v>117</v>
      </c>
      <c r="T732" s="124" t="s">
        <v>132</v>
      </c>
      <c r="U732" s="124">
        <f t="shared" si="3"/>
        <v>1</v>
      </c>
      <c r="V732" s="124">
        <v>1.0</v>
      </c>
      <c r="W732" s="124"/>
      <c r="X732" s="125"/>
      <c r="Y732" s="126"/>
      <c r="Z732" s="125">
        <f t="shared" si="4"/>
        <v>1</v>
      </c>
      <c r="AA732" s="127" t="str">
        <f t="shared" si="5"/>
        <v>Bajo</v>
      </c>
      <c r="AB732" s="128">
        <f t="shared" si="6"/>
        <v>1</v>
      </c>
      <c r="AC732" s="129">
        <f t="shared" si="7"/>
        <v>0.02529822128</v>
      </c>
    </row>
    <row r="733" ht="14.25" hidden="1" customHeight="1">
      <c r="A733" s="116" t="s">
        <v>1345</v>
      </c>
      <c r="B733" s="117" t="s">
        <v>1414</v>
      </c>
      <c r="C733" s="117" t="s">
        <v>2425</v>
      </c>
      <c r="D733" s="117" t="s">
        <v>2430</v>
      </c>
      <c r="E733" s="117" t="s">
        <v>2427</v>
      </c>
      <c r="F733" s="117" t="s">
        <v>585</v>
      </c>
      <c r="G733" s="117" t="s">
        <v>2428</v>
      </c>
      <c r="H733" s="117" t="s">
        <v>2429</v>
      </c>
      <c r="I733" s="117">
        <v>1.0</v>
      </c>
      <c r="J733" s="117">
        <v>1.0</v>
      </c>
      <c r="K733" s="117" t="str">
        <f t="shared" si="1"/>
        <v>No</v>
      </c>
      <c r="L733" s="118" t="s">
        <v>116</v>
      </c>
      <c r="M733" s="119">
        <v>0.25</v>
      </c>
      <c r="N733" s="120">
        <v>0.0</v>
      </c>
      <c r="O733" s="121"/>
      <c r="P733" s="117">
        <v>0.0</v>
      </c>
      <c r="Q733" s="117">
        <f t="shared" si="2"/>
        <v>0</v>
      </c>
      <c r="R733" s="122">
        <f>+(IF(((M733*24)-P733)&lt;0,0,((M733*24)-P733)*'Estimación de pérdidas'!$F$72))*N733</f>
        <v>0</v>
      </c>
      <c r="S733" s="123" t="s">
        <v>117</v>
      </c>
      <c r="T733" s="124" t="s">
        <v>132</v>
      </c>
      <c r="U733" s="124">
        <f t="shared" si="3"/>
        <v>1</v>
      </c>
      <c r="V733" s="124">
        <v>1.0</v>
      </c>
      <c r="W733" s="124"/>
      <c r="X733" s="125"/>
      <c r="Y733" s="126"/>
      <c r="Z733" s="125">
        <f t="shared" si="4"/>
        <v>1</v>
      </c>
      <c r="AA733" s="127" t="str">
        <f t="shared" si="5"/>
        <v>Bajo</v>
      </c>
      <c r="AB733" s="128">
        <f t="shared" si="6"/>
        <v>1</v>
      </c>
      <c r="AC733" s="129">
        <f t="shared" si="7"/>
        <v>0.02529822128</v>
      </c>
    </row>
    <row r="734" ht="14.25" hidden="1" customHeight="1">
      <c r="A734" s="116" t="s">
        <v>1345</v>
      </c>
      <c r="B734" s="117" t="s">
        <v>1414</v>
      </c>
      <c r="C734" s="117" t="s">
        <v>2425</v>
      </c>
      <c r="D734" s="117" t="s">
        <v>2431</v>
      </c>
      <c r="E734" s="117" t="s">
        <v>2427</v>
      </c>
      <c r="F734" s="117" t="s">
        <v>585</v>
      </c>
      <c r="G734" s="117" t="s">
        <v>2428</v>
      </c>
      <c r="H734" s="117" t="s">
        <v>2429</v>
      </c>
      <c r="I734" s="117">
        <v>1.0</v>
      </c>
      <c r="J734" s="117">
        <v>1.0</v>
      </c>
      <c r="K734" s="117" t="str">
        <f t="shared" si="1"/>
        <v>No</v>
      </c>
      <c r="L734" s="118" t="s">
        <v>116</v>
      </c>
      <c r="M734" s="119">
        <v>0.25</v>
      </c>
      <c r="N734" s="120">
        <v>0.0</v>
      </c>
      <c r="O734" s="121"/>
      <c r="P734" s="117">
        <v>0.0</v>
      </c>
      <c r="Q734" s="117">
        <f t="shared" si="2"/>
        <v>0</v>
      </c>
      <c r="R734" s="122">
        <f>+(IF(((M734*24)-P734)&lt;0,0,((M734*24)-P734)*'Estimación de pérdidas'!$F$72))*N734</f>
        <v>0</v>
      </c>
      <c r="S734" s="123" t="s">
        <v>117</v>
      </c>
      <c r="T734" s="124" t="s">
        <v>132</v>
      </c>
      <c r="U734" s="124">
        <f t="shared" si="3"/>
        <v>1</v>
      </c>
      <c r="V734" s="124">
        <v>1.0</v>
      </c>
      <c r="W734" s="124"/>
      <c r="X734" s="125"/>
      <c r="Y734" s="126"/>
      <c r="Z734" s="125">
        <f t="shared" si="4"/>
        <v>1</v>
      </c>
      <c r="AA734" s="127" t="str">
        <f t="shared" si="5"/>
        <v>Bajo</v>
      </c>
      <c r="AB734" s="128">
        <f t="shared" si="6"/>
        <v>1</v>
      </c>
      <c r="AC734" s="129">
        <f t="shared" si="7"/>
        <v>0.02529822128</v>
      </c>
    </row>
    <row r="735" ht="14.25" hidden="1" customHeight="1">
      <c r="A735" s="116" t="s">
        <v>1514</v>
      </c>
      <c r="B735" s="117" t="s">
        <v>1514</v>
      </c>
      <c r="C735" s="117" t="s">
        <v>2432</v>
      </c>
      <c r="D735" s="117" t="s">
        <v>2433</v>
      </c>
      <c r="E735" s="117" t="s">
        <v>2434</v>
      </c>
      <c r="F735" s="117" t="s">
        <v>2435</v>
      </c>
      <c r="G735" s="117" t="s">
        <v>592</v>
      </c>
      <c r="H735" s="117" t="s">
        <v>593</v>
      </c>
      <c r="I735" s="117">
        <v>1.0</v>
      </c>
      <c r="J735" s="117">
        <v>1.0</v>
      </c>
      <c r="K735" s="117" t="str">
        <f t="shared" si="1"/>
        <v>No</v>
      </c>
      <c r="L735" s="118" t="s">
        <v>116</v>
      </c>
      <c r="M735" s="119">
        <v>0.16666666666666666</v>
      </c>
      <c r="N735" s="120">
        <v>0.0</v>
      </c>
      <c r="O735" s="121">
        <v>91.32</v>
      </c>
      <c r="P735" s="117">
        <v>1.0</v>
      </c>
      <c r="Q735" s="117">
        <f t="shared" si="2"/>
        <v>0</v>
      </c>
      <c r="R735" s="122">
        <f>+(IF(((M735*24)-P735)&lt;0,0,((M735*24)-P735)*'Estimación de pérdidas'!$F$72))*N735</f>
        <v>0</v>
      </c>
      <c r="S735" s="123" t="s">
        <v>117</v>
      </c>
      <c r="T735" s="124" t="s">
        <v>119</v>
      </c>
      <c r="U735" s="124">
        <f t="shared" si="3"/>
        <v>1</v>
      </c>
      <c r="V735" s="124">
        <v>1.0</v>
      </c>
      <c r="W735" s="124"/>
      <c r="X735" s="125"/>
      <c r="Y735" s="126"/>
      <c r="Z735" s="125">
        <f t="shared" si="4"/>
        <v>1</v>
      </c>
      <c r="AA735" s="127" t="str">
        <f t="shared" si="5"/>
        <v>Bajo</v>
      </c>
      <c r="AB735" s="128">
        <f t="shared" si="6"/>
        <v>4</v>
      </c>
      <c r="AC735" s="129">
        <f t="shared" si="7"/>
        <v>0.07589466384</v>
      </c>
    </row>
    <row r="736" ht="14.25" hidden="1" customHeight="1">
      <c r="A736" s="116" t="s">
        <v>1514</v>
      </c>
      <c r="B736" s="117" t="s">
        <v>1514</v>
      </c>
      <c r="C736" s="117" t="s">
        <v>2436</v>
      </c>
      <c r="D736" s="117" t="s">
        <v>2437</v>
      </c>
      <c r="E736" s="117" t="s">
        <v>2438</v>
      </c>
      <c r="F736" s="117" t="s">
        <v>2439</v>
      </c>
      <c r="G736" s="117" t="s">
        <v>592</v>
      </c>
      <c r="H736" s="117" t="s">
        <v>593</v>
      </c>
      <c r="I736" s="117">
        <v>1.0</v>
      </c>
      <c r="J736" s="117">
        <v>1.0</v>
      </c>
      <c r="K736" s="117" t="str">
        <f t="shared" si="1"/>
        <v>No</v>
      </c>
      <c r="L736" s="118" t="s">
        <v>116</v>
      </c>
      <c r="M736" s="119">
        <v>0.16666666666666666</v>
      </c>
      <c r="N736" s="120">
        <v>0.0</v>
      </c>
      <c r="O736" s="121">
        <v>91.32</v>
      </c>
      <c r="P736" s="117">
        <v>1.0</v>
      </c>
      <c r="Q736" s="117">
        <f t="shared" si="2"/>
        <v>0</v>
      </c>
      <c r="R736" s="122">
        <f>+(IF(((M736*24)-P736)&lt;0,0,((M736*24)-P736)*'Estimación de pérdidas'!$F$72))*N736</f>
        <v>0</v>
      </c>
      <c r="S736" s="123" t="s">
        <v>117</v>
      </c>
      <c r="T736" s="124" t="s">
        <v>119</v>
      </c>
      <c r="U736" s="124">
        <f t="shared" si="3"/>
        <v>1</v>
      </c>
      <c r="V736" s="124">
        <v>1.0</v>
      </c>
      <c r="W736" s="124"/>
      <c r="X736" s="125"/>
      <c r="Y736" s="126"/>
      <c r="Z736" s="125">
        <f t="shared" si="4"/>
        <v>1</v>
      </c>
      <c r="AA736" s="127" t="str">
        <f t="shared" si="5"/>
        <v>Bajo</v>
      </c>
      <c r="AB736" s="128">
        <f t="shared" si="6"/>
        <v>4</v>
      </c>
      <c r="AC736" s="129">
        <f t="shared" si="7"/>
        <v>0.07589466384</v>
      </c>
    </row>
    <row r="737" ht="14.25" hidden="1" customHeight="1">
      <c r="A737" s="116" t="s">
        <v>847</v>
      </c>
      <c r="B737" s="117" t="s">
        <v>1539</v>
      </c>
      <c r="C737" s="117" t="s">
        <v>2440</v>
      </c>
      <c r="D737" s="117" t="s">
        <v>2441</v>
      </c>
      <c r="E737" s="117" t="s">
        <v>2442</v>
      </c>
      <c r="F737" s="117" t="s">
        <v>2443</v>
      </c>
      <c r="G737" s="117" t="s">
        <v>592</v>
      </c>
      <c r="H737" s="117" t="s">
        <v>593</v>
      </c>
      <c r="I737" s="117">
        <v>1.0</v>
      </c>
      <c r="J737" s="117">
        <v>1.0</v>
      </c>
      <c r="K737" s="117" t="str">
        <f t="shared" si="1"/>
        <v>No</v>
      </c>
      <c r="L737" s="118" t="s">
        <v>116</v>
      </c>
      <c r="M737" s="119">
        <v>0.16666666666666666</v>
      </c>
      <c r="N737" s="120">
        <v>0.0</v>
      </c>
      <c r="O737" s="121">
        <v>91.32</v>
      </c>
      <c r="P737" s="117">
        <v>12.0</v>
      </c>
      <c r="Q737" s="117">
        <f t="shared" si="2"/>
        <v>0</v>
      </c>
      <c r="R737" s="122">
        <f>+(IF(((M737*24)-P737)&lt;0,0,((M737*24)-P737)*'Estimación de pérdidas'!$F$72))*N737</f>
        <v>0</v>
      </c>
      <c r="S737" s="123" t="s">
        <v>117</v>
      </c>
      <c r="T737" s="124" t="s">
        <v>119</v>
      </c>
      <c r="U737" s="124">
        <f t="shared" si="3"/>
        <v>1</v>
      </c>
      <c r="V737" s="124">
        <v>1.0</v>
      </c>
      <c r="W737" s="124"/>
      <c r="X737" s="125"/>
      <c r="Y737" s="126"/>
      <c r="Z737" s="125">
        <f t="shared" si="4"/>
        <v>1</v>
      </c>
      <c r="AA737" s="127" t="str">
        <f t="shared" si="5"/>
        <v>Bajo</v>
      </c>
      <c r="AB737" s="128">
        <f t="shared" si="6"/>
        <v>4</v>
      </c>
      <c r="AC737" s="129">
        <f t="shared" si="7"/>
        <v>0.07589466384</v>
      </c>
    </row>
    <row r="738" ht="14.25" hidden="1" customHeight="1">
      <c r="A738" s="116" t="s">
        <v>847</v>
      </c>
      <c r="B738" s="117" t="s">
        <v>1539</v>
      </c>
      <c r="C738" s="117" t="s">
        <v>2444</v>
      </c>
      <c r="D738" s="117" t="s">
        <v>2445</v>
      </c>
      <c r="E738" s="117" t="s">
        <v>2446</v>
      </c>
      <c r="F738" s="117" t="s">
        <v>2443</v>
      </c>
      <c r="G738" s="117" t="s">
        <v>592</v>
      </c>
      <c r="H738" s="117" t="s">
        <v>593</v>
      </c>
      <c r="I738" s="117">
        <v>1.0</v>
      </c>
      <c r="J738" s="117">
        <v>1.0</v>
      </c>
      <c r="K738" s="117" t="str">
        <f t="shared" si="1"/>
        <v>No</v>
      </c>
      <c r="L738" s="118" t="s">
        <v>116</v>
      </c>
      <c r="M738" s="119">
        <v>0.16666666666666666</v>
      </c>
      <c r="N738" s="120">
        <v>0.0</v>
      </c>
      <c r="O738" s="121">
        <v>91.32</v>
      </c>
      <c r="P738" s="117">
        <v>12.0</v>
      </c>
      <c r="Q738" s="117">
        <f t="shared" si="2"/>
        <v>0</v>
      </c>
      <c r="R738" s="122">
        <f>+(IF(((M738*24)-P738)&lt;0,0,((M738*24)-P738)*'Estimación de pérdidas'!$F$72))*N738</f>
        <v>0</v>
      </c>
      <c r="S738" s="123" t="s">
        <v>117</v>
      </c>
      <c r="T738" s="124" t="s">
        <v>119</v>
      </c>
      <c r="U738" s="124">
        <f t="shared" si="3"/>
        <v>1</v>
      </c>
      <c r="V738" s="124">
        <v>1.0</v>
      </c>
      <c r="W738" s="124"/>
      <c r="X738" s="125"/>
      <c r="Y738" s="126"/>
      <c r="Z738" s="125">
        <f t="shared" si="4"/>
        <v>1</v>
      </c>
      <c r="AA738" s="127" t="str">
        <f t="shared" si="5"/>
        <v>Bajo</v>
      </c>
      <c r="AB738" s="128">
        <f t="shared" si="6"/>
        <v>4</v>
      </c>
      <c r="AC738" s="129">
        <f t="shared" si="7"/>
        <v>0.07589466384</v>
      </c>
    </row>
    <row r="739" ht="14.25" hidden="1" customHeight="1">
      <c r="A739" s="116" t="s">
        <v>847</v>
      </c>
      <c r="B739" s="117" t="s">
        <v>1539</v>
      </c>
      <c r="C739" s="117" t="s">
        <v>2447</v>
      </c>
      <c r="D739" s="117" t="s">
        <v>2448</v>
      </c>
      <c r="E739" s="117" t="s">
        <v>2449</v>
      </c>
      <c r="F739" s="117" t="s">
        <v>2443</v>
      </c>
      <c r="G739" s="117" t="s">
        <v>592</v>
      </c>
      <c r="H739" s="117" t="s">
        <v>593</v>
      </c>
      <c r="I739" s="117">
        <v>1.0</v>
      </c>
      <c r="J739" s="117">
        <v>1.0</v>
      </c>
      <c r="K739" s="117" t="str">
        <f t="shared" si="1"/>
        <v>No</v>
      </c>
      <c r="L739" s="118" t="s">
        <v>116</v>
      </c>
      <c r="M739" s="119">
        <v>0.16666666666666666</v>
      </c>
      <c r="N739" s="120">
        <v>0.0</v>
      </c>
      <c r="O739" s="121">
        <v>91.32</v>
      </c>
      <c r="P739" s="117">
        <v>12.0</v>
      </c>
      <c r="Q739" s="117">
        <f t="shared" si="2"/>
        <v>0</v>
      </c>
      <c r="R739" s="122">
        <f>+(IF(((M739*24)-P739)&lt;0,0,((M739*24)-P739)*'Estimación de pérdidas'!$F$72))*N739</f>
        <v>0</v>
      </c>
      <c r="S739" s="123" t="s">
        <v>117</v>
      </c>
      <c r="T739" s="124" t="s">
        <v>119</v>
      </c>
      <c r="U739" s="124">
        <f t="shared" si="3"/>
        <v>1</v>
      </c>
      <c r="V739" s="124">
        <v>1.0</v>
      </c>
      <c r="W739" s="124"/>
      <c r="X739" s="125"/>
      <c r="Y739" s="126"/>
      <c r="Z739" s="125">
        <f t="shared" si="4"/>
        <v>1</v>
      </c>
      <c r="AA739" s="127" t="str">
        <f t="shared" si="5"/>
        <v>Bajo</v>
      </c>
      <c r="AB739" s="128">
        <f t="shared" si="6"/>
        <v>4</v>
      </c>
      <c r="AC739" s="129">
        <f t="shared" si="7"/>
        <v>0.07589466384</v>
      </c>
    </row>
    <row r="740" ht="14.25" hidden="1" customHeight="1">
      <c r="A740" s="116" t="s">
        <v>847</v>
      </c>
      <c r="B740" s="117" t="s">
        <v>1539</v>
      </c>
      <c r="C740" s="117" t="s">
        <v>2450</v>
      </c>
      <c r="D740" s="117" t="s">
        <v>2451</v>
      </c>
      <c r="E740" s="117" t="s">
        <v>2452</v>
      </c>
      <c r="F740" s="117" t="s">
        <v>2443</v>
      </c>
      <c r="G740" s="117" t="s">
        <v>592</v>
      </c>
      <c r="H740" s="117" t="s">
        <v>593</v>
      </c>
      <c r="I740" s="117">
        <v>1.0</v>
      </c>
      <c r="J740" s="117">
        <v>1.0</v>
      </c>
      <c r="K740" s="117" t="str">
        <f t="shared" si="1"/>
        <v>No</v>
      </c>
      <c r="L740" s="118" t="s">
        <v>116</v>
      </c>
      <c r="M740" s="119">
        <v>0.16666666666666666</v>
      </c>
      <c r="N740" s="120">
        <v>0.0</v>
      </c>
      <c r="O740" s="121">
        <v>91.32</v>
      </c>
      <c r="P740" s="117">
        <v>12.0</v>
      </c>
      <c r="Q740" s="117">
        <f t="shared" si="2"/>
        <v>0</v>
      </c>
      <c r="R740" s="122">
        <f>+(IF(((M740*24)-P740)&lt;0,0,((M740*24)-P740)*'Estimación de pérdidas'!$F$72))*N740</f>
        <v>0</v>
      </c>
      <c r="S740" s="123" t="s">
        <v>117</v>
      </c>
      <c r="T740" s="124" t="s">
        <v>119</v>
      </c>
      <c r="U740" s="124">
        <f t="shared" si="3"/>
        <v>1</v>
      </c>
      <c r="V740" s="124">
        <v>1.0</v>
      </c>
      <c r="W740" s="124"/>
      <c r="X740" s="125"/>
      <c r="Y740" s="126"/>
      <c r="Z740" s="125">
        <f t="shared" si="4"/>
        <v>1</v>
      </c>
      <c r="AA740" s="127" t="str">
        <f t="shared" si="5"/>
        <v>Bajo</v>
      </c>
      <c r="AB740" s="128">
        <f t="shared" si="6"/>
        <v>4</v>
      </c>
      <c r="AC740" s="129">
        <f t="shared" si="7"/>
        <v>0.07589466384</v>
      </c>
    </row>
    <row r="741" ht="14.25" hidden="1" customHeight="1">
      <c r="A741" s="116" t="s">
        <v>847</v>
      </c>
      <c r="B741" s="117" t="s">
        <v>1539</v>
      </c>
      <c r="C741" s="117" t="s">
        <v>2453</v>
      </c>
      <c r="D741" s="117" t="s">
        <v>2454</v>
      </c>
      <c r="E741" s="117" t="s">
        <v>2455</v>
      </c>
      <c r="F741" s="117" t="s">
        <v>2456</v>
      </c>
      <c r="G741" s="117" t="s">
        <v>592</v>
      </c>
      <c r="H741" s="117" t="s">
        <v>593</v>
      </c>
      <c r="I741" s="117">
        <v>1.0</v>
      </c>
      <c r="J741" s="117">
        <v>1.0</v>
      </c>
      <c r="K741" s="117" t="str">
        <f t="shared" si="1"/>
        <v>No</v>
      </c>
      <c r="L741" s="118" t="s">
        <v>116</v>
      </c>
      <c r="M741" s="119">
        <v>0.16666666666666666</v>
      </c>
      <c r="N741" s="120">
        <v>0.0</v>
      </c>
      <c r="O741" s="121">
        <v>91.32</v>
      </c>
      <c r="P741" s="117">
        <v>12.0</v>
      </c>
      <c r="Q741" s="117">
        <f t="shared" si="2"/>
        <v>0</v>
      </c>
      <c r="R741" s="122">
        <f>+(IF(((M741*24)-P741)&lt;0,0,((M741*24)-P741)*'Estimación de pérdidas'!$F$72))*N741</f>
        <v>0</v>
      </c>
      <c r="S741" s="123" t="s">
        <v>117</v>
      </c>
      <c r="T741" s="124" t="s">
        <v>119</v>
      </c>
      <c r="U741" s="124">
        <f t="shared" si="3"/>
        <v>1</v>
      </c>
      <c r="V741" s="124">
        <v>1.0</v>
      </c>
      <c r="W741" s="124"/>
      <c r="X741" s="125"/>
      <c r="Y741" s="126"/>
      <c r="Z741" s="125">
        <f t="shared" si="4"/>
        <v>1</v>
      </c>
      <c r="AA741" s="127" t="str">
        <f t="shared" si="5"/>
        <v>Bajo</v>
      </c>
      <c r="AB741" s="128">
        <f t="shared" si="6"/>
        <v>4</v>
      </c>
      <c r="AC741" s="129">
        <f t="shared" si="7"/>
        <v>0.07589466384</v>
      </c>
    </row>
    <row r="742" ht="14.25" hidden="1" customHeight="1">
      <c r="A742" s="116" t="s">
        <v>847</v>
      </c>
      <c r="B742" s="117" t="s">
        <v>1539</v>
      </c>
      <c r="C742" s="117" t="s">
        <v>2457</v>
      </c>
      <c r="D742" s="117" t="s">
        <v>2458</v>
      </c>
      <c r="E742" s="117" t="s">
        <v>2459</v>
      </c>
      <c r="F742" s="117" t="s">
        <v>2460</v>
      </c>
      <c r="G742" s="117" t="s">
        <v>592</v>
      </c>
      <c r="H742" s="117" t="s">
        <v>593</v>
      </c>
      <c r="I742" s="117">
        <v>1.0</v>
      </c>
      <c r="J742" s="117">
        <v>1.0</v>
      </c>
      <c r="K742" s="117" t="str">
        <f t="shared" si="1"/>
        <v>No</v>
      </c>
      <c r="L742" s="118" t="s">
        <v>116</v>
      </c>
      <c r="M742" s="119">
        <v>0.16666666666666666</v>
      </c>
      <c r="N742" s="120">
        <v>0.0</v>
      </c>
      <c r="O742" s="121">
        <v>91.32</v>
      </c>
      <c r="P742" s="117">
        <v>12.0</v>
      </c>
      <c r="Q742" s="117">
        <f t="shared" si="2"/>
        <v>0</v>
      </c>
      <c r="R742" s="122">
        <f>+(IF(((M742*24)-P742)&lt;0,0,((M742*24)-P742)*'Estimación de pérdidas'!$F$72))*N742</f>
        <v>0</v>
      </c>
      <c r="S742" s="123" t="s">
        <v>117</v>
      </c>
      <c r="T742" s="124" t="s">
        <v>119</v>
      </c>
      <c r="U742" s="124">
        <f t="shared" si="3"/>
        <v>1</v>
      </c>
      <c r="V742" s="124">
        <v>1.0</v>
      </c>
      <c r="W742" s="124"/>
      <c r="X742" s="125"/>
      <c r="Y742" s="126"/>
      <c r="Z742" s="125">
        <f t="shared" si="4"/>
        <v>1</v>
      </c>
      <c r="AA742" s="127" t="str">
        <f t="shared" si="5"/>
        <v>Bajo</v>
      </c>
      <c r="AB742" s="128">
        <f t="shared" si="6"/>
        <v>4</v>
      </c>
      <c r="AC742" s="129">
        <f t="shared" si="7"/>
        <v>0.07589466384</v>
      </c>
    </row>
    <row r="743" ht="14.25" hidden="1" customHeight="1">
      <c r="A743" s="116" t="s">
        <v>1345</v>
      </c>
      <c r="B743" s="117" t="s">
        <v>1414</v>
      </c>
      <c r="C743" s="117" t="s">
        <v>2461</v>
      </c>
      <c r="D743" s="117" t="s">
        <v>2462</v>
      </c>
      <c r="E743" s="117" t="s">
        <v>2461</v>
      </c>
      <c r="F743" s="117" t="s">
        <v>2463</v>
      </c>
      <c r="G743" s="117" t="s">
        <v>171</v>
      </c>
      <c r="H743" s="117" t="s">
        <v>172</v>
      </c>
      <c r="I743" s="117">
        <v>1.0</v>
      </c>
      <c r="J743" s="117">
        <v>1.0</v>
      </c>
      <c r="K743" s="117" t="str">
        <f t="shared" si="1"/>
        <v>No</v>
      </c>
      <c r="L743" s="118" t="s">
        <v>116</v>
      </c>
      <c r="M743" s="119">
        <v>0.3333333333333333</v>
      </c>
      <c r="N743" s="120">
        <v>0.0</v>
      </c>
      <c r="O743" s="121"/>
      <c r="P743" s="117">
        <v>0.0</v>
      </c>
      <c r="Q743" s="117">
        <f t="shared" si="2"/>
        <v>0</v>
      </c>
      <c r="R743" s="122">
        <f>+(IF(((M743*24)-P743)&lt;0,0,((M743*24)-P743)*'Estimación de pérdidas'!$F$72))*N743</f>
        <v>0</v>
      </c>
      <c r="S743" s="123" t="s">
        <v>117</v>
      </c>
      <c r="T743" s="124" t="s">
        <v>119</v>
      </c>
      <c r="U743" s="124">
        <f t="shared" si="3"/>
        <v>1</v>
      </c>
      <c r="V743" s="124">
        <v>1.0</v>
      </c>
      <c r="W743" s="124"/>
      <c r="X743" s="125"/>
      <c r="Y743" s="126"/>
      <c r="Z743" s="125">
        <f t="shared" si="4"/>
        <v>1</v>
      </c>
      <c r="AA743" s="127" t="str">
        <f t="shared" si="5"/>
        <v>Bajo</v>
      </c>
      <c r="AB743" s="128">
        <f t="shared" si="6"/>
        <v>4</v>
      </c>
      <c r="AC743" s="129">
        <f t="shared" si="7"/>
        <v>0.07589466384</v>
      </c>
    </row>
    <row r="744" ht="14.25" hidden="1" customHeight="1">
      <c r="A744" s="116" t="s">
        <v>1345</v>
      </c>
      <c r="B744" s="117" t="s">
        <v>1414</v>
      </c>
      <c r="C744" s="117" t="s">
        <v>2464</v>
      </c>
      <c r="D744" s="117" t="s">
        <v>2465</v>
      </c>
      <c r="E744" s="117" t="s">
        <v>2466</v>
      </c>
      <c r="F744" s="117" t="s">
        <v>2467</v>
      </c>
      <c r="G744" s="117" t="s">
        <v>171</v>
      </c>
      <c r="H744" s="117" t="s">
        <v>172</v>
      </c>
      <c r="I744" s="117">
        <v>1.0</v>
      </c>
      <c r="J744" s="117">
        <v>1.0</v>
      </c>
      <c r="K744" s="117" t="str">
        <f t="shared" si="1"/>
        <v>No</v>
      </c>
      <c r="L744" s="118" t="s">
        <v>116</v>
      </c>
      <c r="M744" s="119">
        <v>0.3333333333333333</v>
      </c>
      <c r="N744" s="120">
        <v>0.0</v>
      </c>
      <c r="O744" s="121"/>
      <c r="P744" s="117">
        <v>0.0</v>
      </c>
      <c r="Q744" s="117">
        <f t="shared" si="2"/>
        <v>0</v>
      </c>
      <c r="R744" s="122">
        <f>+(IF(((M744*24)-P744)&lt;0,0,((M744*24)-P744)*'Estimación de pérdidas'!$F$72))*N744</f>
        <v>0</v>
      </c>
      <c r="S744" s="123" t="s">
        <v>117</v>
      </c>
      <c r="T744" s="124" t="s">
        <v>119</v>
      </c>
      <c r="U744" s="124">
        <f t="shared" si="3"/>
        <v>1</v>
      </c>
      <c r="V744" s="124">
        <v>1.0</v>
      </c>
      <c r="W744" s="124"/>
      <c r="X744" s="125"/>
      <c r="Y744" s="126"/>
      <c r="Z744" s="125">
        <f t="shared" si="4"/>
        <v>1</v>
      </c>
      <c r="AA744" s="127" t="str">
        <f t="shared" si="5"/>
        <v>Bajo</v>
      </c>
      <c r="AB744" s="128">
        <f t="shared" si="6"/>
        <v>4</v>
      </c>
      <c r="AC744" s="129">
        <f t="shared" si="7"/>
        <v>0.07589466384</v>
      </c>
    </row>
    <row r="745" ht="14.25" hidden="1" customHeight="1">
      <c r="A745" s="116" t="s">
        <v>1345</v>
      </c>
      <c r="B745" s="117" t="s">
        <v>1414</v>
      </c>
      <c r="C745" s="117" t="s">
        <v>2468</v>
      </c>
      <c r="D745" s="117" t="s">
        <v>2469</v>
      </c>
      <c r="E745" s="117" t="s">
        <v>2470</v>
      </c>
      <c r="F745" s="117" t="s">
        <v>2471</v>
      </c>
      <c r="G745" s="117" t="s">
        <v>171</v>
      </c>
      <c r="H745" s="117" t="s">
        <v>172</v>
      </c>
      <c r="I745" s="117">
        <v>1.0</v>
      </c>
      <c r="J745" s="117">
        <v>1.0</v>
      </c>
      <c r="K745" s="117" t="str">
        <f t="shared" si="1"/>
        <v>No</v>
      </c>
      <c r="L745" s="118" t="s">
        <v>116</v>
      </c>
      <c r="M745" s="119">
        <v>0.3333333333333333</v>
      </c>
      <c r="N745" s="120">
        <v>0.0</v>
      </c>
      <c r="O745" s="121"/>
      <c r="P745" s="117">
        <v>0.0</v>
      </c>
      <c r="Q745" s="117">
        <f t="shared" si="2"/>
        <v>0</v>
      </c>
      <c r="R745" s="122">
        <f>+(IF(((M745*24)-P745)&lt;0,0,((M745*24)-P745)*'Estimación de pérdidas'!$F$72))*N745</f>
        <v>0</v>
      </c>
      <c r="S745" s="123" t="s">
        <v>117</v>
      </c>
      <c r="T745" s="124" t="s">
        <v>119</v>
      </c>
      <c r="U745" s="124">
        <f t="shared" si="3"/>
        <v>1</v>
      </c>
      <c r="V745" s="124">
        <v>1.0</v>
      </c>
      <c r="W745" s="124"/>
      <c r="X745" s="125"/>
      <c r="Y745" s="126"/>
      <c r="Z745" s="125">
        <f t="shared" si="4"/>
        <v>1</v>
      </c>
      <c r="AA745" s="127" t="str">
        <f t="shared" si="5"/>
        <v>Bajo</v>
      </c>
      <c r="AB745" s="128">
        <f t="shared" si="6"/>
        <v>4</v>
      </c>
      <c r="AC745" s="129">
        <f t="shared" si="7"/>
        <v>0.07589466384</v>
      </c>
    </row>
    <row r="746" ht="14.25" hidden="1" customHeight="1">
      <c r="A746" s="116" t="s">
        <v>1345</v>
      </c>
      <c r="B746" s="117" t="s">
        <v>1414</v>
      </c>
      <c r="C746" s="117" t="s">
        <v>2472</v>
      </c>
      <c r="D746" s="117" t="s">
        <v>2473</v>
      </c>
      <c r="E746" s="117" t="s">
        <v>2474</v>
      </c>
      <c r="F746" s="117" t="s">
        <v>2475</v>
      </c>
      <c r="G746" s="117" t="s">
        <v>171</v>
      </c>
      <c r="H746" s="117" t="s">
        <v>172</v>
      </c>
      <c r="I746" s="117">
        <v>1.0</v>
      </c>
      <c r="J746" s="117">
        <v>1.0</v>
      </c>
      <c r="K746" s="117" t="str">
        <f t="shared" si="1"/>
        <v>No</v>
      </c>
      <c r="L746" s="118" t="s">
        <v>116</v>
      </c>
      <c r="M746" s="119">
        <v>0.3333333333333333</v>
      </c>
      <c r="N746" s="120">
        <v>0.0</v>
      </c>
      <c r="O746" s="121"/>
      <c r="P746" s="117">
        <v>0.0</v>
      </c>
      <c r="Q746" s="117">
        <f t="shared" si="2"/>
        <v>0</v>
      </c>
      <c r="R746" s="122">
        <f>+(IF(((M746*24)-P746)&lt;0,0,((M746*24)-P746)*'Estimación de pérdidas'!$F$72))*N746</f>
        <v>0</v>
      </c>
      <c r="S746" s="123" t="s">
        <v>117</v>
      </c>
      <c r="T746" s="124" t="s">
        <v>119</v>
      </c>
      <c r="U746" s="124">
        <f t="shared" si="3"/>
        <v>1</v>
      </c>
      <c r="V746" s="124">
        <v>1.0</v>
      </c>
      <c r="W746" s="124"/>
      <c r="X746" s="125"/>
      <c r="Y746" s="126"/>
      <c r="Z746" s="125">
        <f t="shared" si="4"/>
        <v>1</v>
      </c>
      <c r="AA746" s="127" t="str">
        <f t="shared" si="5"/>
        <v>Bajo</v>
      </c>
      <c r="AB746" s="128">
        <f t="shared" si="6"/>
        <v>4</v>
      </c>
      <c r="AC746" s="129">
        <f t="shared" si="7"/>
        <v>0.07589466384</v>
      </c>
    </row>
    <row r="747" ht="14.25" hidden="1" customHeight="1">
      <c r="A747" s="116" t="s">
        <v>847</v>
      </c>
      <c r="B747" s="117" t="s">
        <v>1602</v>
      </c>
      <c r="C747" s="117" t="s">
        <v>2476</v>
      </c>
      <c r="D747" s="117" t="s">
        <v>2477</v>
      </c>
      <c r="E747" s="117" t="s">
        <v>2476</v>
      </c>
      <c r="F747" s="117" t="s">
        <v>2478</v>
      </c>
      <c r="G747" s="117" t="s">
        <v>171</v>
      </c>
      <c r="H747" s="117" t="s">
        <v>172</v>
      </c>
      <c r="I747" s="117">
        <v>1.0</v>
      </c>
      <c r="J747" s="117">
        <v>1.0</v>
      </c>
      <c r="K747" s="117" t="str">
        <f t="shared" si="1"/>
        <v>No</v>
      </c>
      <c r="L747" s="118" t="s">
        <v>116</v>
      </c>
      <c r="M747" s="119">
        <v>0.3333333333333333</v>
      </c>
      <c r="N747" s="120">
        <v>0.0</v>
      </c>
      <c r="O747" s="121"/>
      <c r="P747" s="117">
        <v>0.0</v>
      </c>
      <c r="Q747" s="117">
        <f t="shared" si="2"/>
        <v>0</v>
      </c>
      <c r="R747" s="122">
        <f>+(IF(((M747*24)-P747)&lt;0,0,((M747*24)-P747)*'Estimación de pérdidas'!$F$72))*N747</f>
        <v>0</v>
      </c>
      <c r="S747" s="123" t="s">
        <v>117</v>
      </c>
      <c r="T747" s="124" t="s">
        <v>119</v>
      </c>
      <c r="U747" s="124">
        <f t="shared" si="3"/>
        <v>1</v>
      </c>
      <c r="V747" s="124">
        <v>1.0</v>
      </c>
      <c r="W747" s="124"/>
      <c r="X747" s="125"/>
      <c r="Y747" s="126"/>
      <c r="Z747" s="125">
        <f t="shared" si="4"/>
        <v>1</v>
      </c>
      <c r="AA747" s="127" t="str">
        <f t="shared" si="5"/>
        <v>Bajo</v>
      </c>
      <c r="AB747" s="128">
        <f t="shared" si="6"/>
        <v>4</v>
      </c>
      <c r="AC747" s="129">
        <f t="shared" si="7"/>
        <v>0.07589466384</v>
      </c>
    </row>
    <row r="748" ht="14.25" hidden="1" customHeight="1">
      <c r="A748" s="116" t="s">
        <v>2479</v>
      </c>
      <c r="B748" s="117" t="s">
        <v>2479</v>
      </c>
      <c r="C748" s="117" t="s">
        <v>2480</v>
      </c>
      <c r="D748" s="117" t="s">
        <v>2481</v>
      </c>
      <c r="E748" s="117" t="s">
        <v>2482</v>
      </c>
      <c r="F748" s="117" t="s">
        <v>2483</v>
      </c>
      <c r="G748" s="117" t="s">
        <v>211</v>
      </c>
      <c r="H748" s="117" t="s">
        <v>2484</v>
      </c>
      <c r="I748" s="117">
        <v>1.0</v>
      </c>
      <c r="J748" s="117">
        <v>1.0</v>
      </c>
      <c r="K748" s="117" t="str">
        <f t="shared" si="1"/>
        <v>No</v>
      </c>
      <c r="L748" s="118" t="s">
        <v>116</v>
      </c>
      <c r="M748" s="119">
        <v>1.0</v>
      </c>
      <c r="N748" s="120">
        <v>1.0</v>
      </c>
      <c r="O748" s="121">
        <v>91.32</v>
      </c>
      <c r="P748" s="117">
        <v>12.0</v>
      </c>
      <c r="Q748" s="117">
        <f t="shared" si="2"/>
        <v>12</v>
      </c>
      <c r="R748" s="122">
        <f>+(IF(((M748*24)-P748)&lt;0,0,((M748*24)-P748)*'Estimación de pérdidas'!$F$72))*N748</f>
        <v>692136.899</v>
      </c>
      <c r="S748" s="123" t="s">
        <v>272</v>
      </c>
      <c r="T748" s="124" t="s">
        <v>132</v>
      </c>
      <c r="U748" s="124">
        <f t="shared" si="3"/>
        <v>4</v>
      </c>
      <c r="V748" s="124">
        <v>1.0</v>
      </c>
      <c r="W748" s="124"/>
      <c r="X748" s="125">
        <v>2.0</v>
      </c>
      <c r="Y748" s="126"/>
      <c r="Z748" s="125">
        <f t="shared" si="4"/>
        <v>4</v>
      </c>
      <c r="AA748" s="127" t="str">
        <f t="shared" si="5"/>
        <v>Moderado</v>
      </c>
      <c r="AB748" s="128">
        <f t="shared" si="6"/>
        <v>10</v>
      </c>
      <c r="AC748" s="129">
        <f t="shared" si="7"/>
        <v>0.08197560613</v>
      </c>
      <c r="AD748" s="130"/>
    </row>
    <row r="749" ht="14.25" hidden="1" customHeight="1">
      <c r="A749" s="116" t="s">
        <v>2479</v>
      </c>
      <c r="B749" s="117" t="s">
        <v>2479</v>
      </c>
      <c r="C749" s="117" t="s">
        <v>2485</v>
      </c>
      <c r="D749" s="117" t="s">
        <v>2486</v>
      </c>
      <c r="E749" s="117" t="s">
        <v>2485</v>
      </c>
      <c r="F749" s="117" t="s">
        <v>2487</v>
      </c>
      <c r="G749" s="117" t="s">
        <v>211</v>
      </c>
      <c r="H749" s="117" t="s">
        <v>2484</v>
      </c>
      <c r="I749" s="117">
        <v>1.0</v>
      </c>
      <c r="J749" s="117">
        <v>1.0</v>
      </c>
      <c r="K749" s="117" t="str">
        <f t="shared" si="1"/>
        <v>No</v>
      </c>
      <c r="L749" s="118" t="s">
        <v>116</v>
      </c>
      <c r="M749" s="119">
        <v>1.0</v>
      </c>
      <c r="N749" s="120">
        <v>1.0</v>
      </c>
      <c r="O749" s="121">
        <v>85.0</v>
      </c>
      <c r="P749" s="117">
        <v>2.0</v>
      </c>
      <c r="Q749" s="117">
        <f t="shared" si="2"/>
        <v>22</v>
      </c>
      <c r="R749" s="122">
        <f>+(IF(((M749*24)-P749)&lt;0,0,((M749*24)-P749)*'Estimación de pérdidas'!$F$72))*N749</f>
        <v>1268917.648</v>
      </c>
      <c r="S749" s="123" t="s">
        <v>272</v>
      </c>
      <c r="T749" s="124" t="s">
        <v>132</v>
      </c>
      <c r="U749" s="124">
        <f t="shared" si="3"/>
        <v>5</v>
      </c>
      <c r="V749" s="124">
        <v>1.0</v>
      </c>
      <c r="W749" s="124"/>
      <c r="X749" s="125">
        <v>2.0</v>
      </c>
      <c r="Y749" s="126"/>
      <c r="Z749" s="125">
        <f t="shared" si="4"/>
        <v>5</v>
      </c>
      <c r="AA749" s="127" t="str">
        <f t="shared" si="5"/>
        <v>Moderado</v>
      </c>
      <c r="AB749" s="128">
        <f t="shared" si="6"/>
        <v>15</v>
      </c>
      <c r="AC749" s="129">
        <f t="shared" si="7"/>
        <v>0.09797958971</v>
      </c>
      <c r="AD749" s="131"/>
    </row>
    <row r="750" ht="14.25" hidden="1" customHeight="1">
      <c r="A750" s="116" t="s">
        <v>2479</v>
      </c>
      <c r="B750" s="117" t="s">
        <v>2479</v>
      </c>
      <c r="C750" s="117" t="s">
        <v>2488</v>
      </c>
      <c r="D750" s="117" t="s">
        <v>2489</v>
      </c>
      <c r="E750" s="117" t="s">
        <v>2488</v>
      </c>
      <c r="F750" s="117" t="s">
        <v>2490</v>
      </c>
      <c r="G750" s="117" t="s">
        <v>211</v>
      </c>
      <c r="H750" s="117" t="s">
        <v>2484</v>
      </c>
      <c r="I750" s="117">
        <v>1.0</v>
      </c>
      <c r="J750" s="117">
        <v>1.0</v>
      </c>
      <c r="K750" s="117" t="str">
        <f t="shared" si="1"/>
        <v>No</v>
      </c>
      <c r="L750" s="118" t="s">
        <v>116</v>
      </c>
      <c r="M750" s="119">
        <v>1.0</v>
      </c>
      <c r="N750" s="120">
        <v>1.0</v>
      </c>
      <c r="O750" s="121">
        <v>45.0</v>
      </c>
      <c r="P750" s="117">
        <v>12.0</v>
      </c>
      <c r="Q750" s="117">
        <f t="shared" si="2"/>
        <v>12</v>
      </c>
      <c r="R750" s="122">
        <f>+(IF(((M750*24)-P750)&lt;0,0,((M750*24)-P750)*'Estimación de pérdidas'!$F$72))*N750</f>
        <v>692136.899</v>
      </c>
      <c r="S750" s="123" t="s">
        <v>272</v>
      </c>
      <c r="T750" s="124" t="s">
        <v>132</v>
      </c>
      <c r="U750" s="124">
        <f t="shared" si="3"/>
        <v>4</v>
      </c>
      <c r="V750" s="124">
        <v>1.0</v>
      </c>
      <c r="W750" s="124"/>
      <c r="X750" s="125">
        <v>2.0</v>
      </c>
      <c r="Y750" s="126"/>
      <c r="Z750" s="125">
        <f t="shared" si="4"/>
        <v>4</v>
      </c>
      <c r="AA750" s="127" t="str">
        <f t="shared" si="5"/>
        <v>Moderado</v>
      </c>
      <c r="AB750" s="128">
        <f t="shared" si="6"/>
        <v>10</v>
      </c>
      <c r="AC750" s="129">
        <f t="shared" si="7"/>
        <v>0.08197560613</v>
      </c>
      <c r="AD750" s="130"/>
    </row>
    <row r="751" ht="14.25" hidden="1" customHeight="1">
      <c r="A751" s="116" t="s">
        <v>1894</v>
      </c>
      <c r="B751" s="117" t="s">
        <v>1894</v>
      </c>
      <c r="C751" s="117" t="s">
        <v>2491</v>
      </c>
      <c r="D751" s="117" t="s">
        <v>2492</v>
      </c>
      <c r="E751" s="117" t="s">
        <v>2015</v>
      </c>
      <c r="F751" s="117" t="s">
        <v>1983</v>
      </c>
      <c r="G751" s="117" t="s">
        <v>1978</v>
      </c>
      <c r="H751" s="117" t="s">
        <v>1979</v>
      </c>
      <c r="I751" s="117">
        <v>1.0</v>
      </c>
      <c r="J751" s="117">
        <v>1.0</v>
      </c>
      <c r="K751" s="117" t="str">
        <f t="shared" si="1"/>
        <v>No</v>
      </c>
      <c r="L751" s="118" t="s">
        <v>116</v>
      </c>
      <c r="M751" s="119">
        <v>1.0</v>
      </c>
      <c r="N751" s="120">
        <v>0.0</v>
      </c>
      <c r="O751" s="121">
        <v>91.32</v>
      </c>
      <c r="P751" s="117">
        <v>1.0</v>
      </c>
      <c r="Q751" s="117">
        <f t="shared" si="2"/>
        <v>0</v>
      </c>
      <c r="R751" s="122">
        <f>+(IF(((M751*24)-P751)&lt;0,0,((M751*24)-P751)*'Estimación de pérdidas'!$F$72))*N751</f>
        <v>0</v>
      </c>
      <c r="S751" s="123" t="s">
        <v>117</v>
      </c>
      <c r="T751" s="124" t="s">
        <v>132</v>
      </c>
      <c r="U751" s="124">
        <f t="shared" si="3"/>
        <v>1</v>
      </c>
      <c r="V751" s="124">
        <v>2.0</v>
      </c>
      <c r="W751" s="124"/>
      <c r="X751" s="125"/>
      <c r="Y751" s="126"/>
      <c r="Z751" s="125">
        <f t="shared" si="4"/>
        <v>2</v>
      </c>
      <c r="AA751" s="127" t="str">
        <f t="shared" si="5"/>
        <v>Bajo</v>
      </c>
      <c r="AB751" s="128">
        <f t="shared" si="6"/>
        <v>3</v>
      </c>
      <c r="AC751" s="129">
        <f t="shared" si="7"/>
        <v>0.04</v>
      </c>
    </row>
    <row r="752" ht="14.25" hidden="1" customHeight="1">
      <c r="A752" s="116" t="s">
        <v>1894</v>
      </c>
      <c r="B752" s="117" t="s">
        <v>1894</v>
      </c>
      <c r="C752" s="117" t="s">
        <v>1996</v>
      </c>
      <c r="D752" s="117" t="s">
        <v>2493</v>
      </c>
      <c r="E752" s="117" t="s">
        <v>1996</v>
      </c>
      <c r="F752" s="117" t="s">
        <v>1998</v>
      </c>
      <c r="G752" s="117" t="s">
        <v>1999</v>
      </c>
      <c r="H752" s="117" t="s">
        <v>2000</v>
      </c>
      <c r="I752" s="117">
        <v>1.0</v>
      </c>
      <c r="J752" s="117">
        <v>1.0</v>
      </c>
      <c r="K752" s="117" t="str">
        <f t="shared" si="1"/>
        <v>No</v>
      </c>
      <c r="L752" s="118" t="s">
        <v>116</v>
      </c>
      <c r="M752" s="119">
        <v>0.25</v>
      </c>
      <c r="N752" s="120">
        <v>1.0</v>
      </c>
      <c r="O752" s="121">
        <v>91.32</v>
      </c>
      <c r="P752" s="117">
        <v>16.0</v>
      </c>
      <c r="Q752" s="117">
        <f t="shared" si="2"/>
        <v>0</v>
      </c>
      <c r="R752" s="122">
        <f>+(IF(((M752*24)-P752)&lt;0,0,((M752*24)-P752)*'Estimación de pérdidas'!$F$72))*N752</f>
        <v>0</v>
      </c>
      <c r="S752" s="123" t="s">
        <v>272</v>
      </c>
      <c r="T752" s="124" t="s">
        <v>119</v>
      </c>
      <c r="U752" s="124">
        <f t="shared" si="3"/>
        <v>1</v>
      </c>
      <c r="V752" s="124">
        <v>2.0</v>
      </c>
      <c r="W752" s="124"/>
      <c r="X752" s="125"/>
      <c r="Y752" s="126"/>
      <c r="Z752" s="125">
        <f t="shared" si="4"/>
        <v>2</v>
      </c>
      <c r="AA752" s="127" t="str">
        <f t="shared" si="5"/>
        <v>Moderado</v>
      </c>
      <c r="AB752" s="128">
        <f t="shared" si="6"/>
        <v>8</v>
      </c>
      <c r="AC752" s="129">
        <f t="shared" si="7"/>
        <v>0.12</v>
      </c>
      <c r="AD752" s="131"/>
    </row>
    <row r="753" ht="14.25" hidden="1" customHeight="1">
      <c r="A753" s="116" t="s">
        <v>1894</v>
      </c>
      <c r="B753" s="117" t="s">
        <v>1894</v>
      </c>
      <c r="C753" s="117" t="s">
        <v>2001</v>
      </c>
      <c r="D753" s="117" t="s">
        <v>2494</v>
      </c>
      <c r="E753" s="117" t="s">
        <v>2003</v>
      </c>
      <c r="F753" s="117" t="s">
        <v>2004</v>
      </c>
      <c r="G753" s="117" t="s">
        <v>2005</v>
      </c>
      <c r="H753" s="117" t="s">
        <v>2006</v>
      </c>
      <c r="I753" s="117">
        <v>1.0</v>
      </c>
      <c r="J753" s="117">
        <v>1.0</v>
      </c>
      <c r="K753" s="117" t="str">
        <f t="shared" si="1"/>
        <v>No</v>
      </c>
      <c r="L753" s="118" t="s">
        <v>116</v>
      </c>
      <c r="M753" s="119">
        <v>0.3333333333333333</v>
      </c>
      <c r="N753" s="120">
        <v>1.0</v>
      </c>
      <c r="O753" s="121">
        <v>91.32</v>
      </c>
      <c r="P753" s="117">
        <v>16.0</v>
      </c>
      <c r="Q753" s="117">
        <f t="shared" si="2"/>
        <v>0</v>
      </c>
      <c r="R753" s="122">
        <f>+(IF(((M753*24)-P753)&lt;0,0,((M753*24)-P753)*'Estimación de pérdidas'!$F$72))*N753</f>
        <v>0</v>
      </c>
      <c r="S753" s="123" t="s">
        <v>117</v>
      </c>
      <c r="T753" s="124" t="s">
        <v>119</v>
      </c>
      <c r="U753" s="124">
        <f t="shared" si="3"/>
        <v>1</v>
      </c>
      <c r="V753" s="124">
        <v>2.0</v>
      </c>
      <c r="W753" s="124"/>
      <c r="X753" s="125"/>
      <c r="Y753" s="126"/>
      <c r="Z753" s="125">
        <f t="shared" si="4"/>
        <v>2</v>
      </c>
      <c r="AA753" s="127" t="str">
        <f t="shared" si="5"/>
        <v>Moderado</v>
      </c>
      <c r="AB753" s="128">
        <f t="shared" si="6"/>
        <v>8</v>
      </c>
      <c r="AC753" s="129">
        <f t="shared" si="7"/>
        <v>0.12</v>
      </c>
      <c r="AD753" s="131"/>
    </row>
    <row r="754" ht="14.25" hidden="1" customHeight="1">
      <c r="A754" s="116" t="s">
        <v>1894</v>
      </c>
      <c r="B754" s="117" t="s">
        <v>1894</v>
      </c>
      <c r="C754" s="117" t="s">
        <v>1970</v>
      </c>
      <c r="D754" s="117" t="s">
        <v>2495</v>
      </c>
      <c r="E754" s="117" t="s">
        <v>2370</v>
      </c>
      <c r="F754" s="117" t="s">
        <v>2496</v>
      </c>
      <c r="G754" s="117" t="s">
        <v>1973</v>
      </c>
      <c r="H754" s="117" t="s">
        <v>1974</v>
      </c>
      <c r="I754" s="117">
        <v>1.0</v>
      </c>
      <c r="J754" s="117">
        <v>1.0</v>
      </c>
      <c r="K754" s="117" t="str">
        <f t="shared" si="1"/>
        <v>No</v>
      </c>
      <c r="L754" s="118" t="s">
        <v>116</v>
      </c>
      <c r="M754" s="119">
        <v>0.5</v>
      </c>
      <c r="N754" s="120">
        <v>0.0</v>
      </c>
      <c r="O754" s="121">
        <v>91.32</v>
      </c>
      <c r="P754" s="117">
        <v>1.0</v>
      </c>
      <c r="Q754" s="117">
        <f t="shared" si="2"/>
        <v>0</v>
      </c>
      <c r="R754" s="122">
        <f>+(IF(((M754*24)-P754)&lt;0,0,((M754*24)-P754)*'Estimación de pérdidas'!$F$72))*N754</f>
        <v>0</v>
      </c>
      <c r="S754" s="123" t="s">
        <v>117</v>
      </c>
      <c r="T754" s="124" t="s">
        <v>119</v>
      </c>
      <c r="U754" s="124">
        <f t="shared" si="3"/>
        <v>1</v>
      </c>
      <c r="V754" s="124">
        <v>2.0</v>
      </c>
      <c r="W754" s="124"/>
      <c r="X754" s="125"/>
      <c r="Y754" s="126"/>
      <c r="Z754" s="125">
        <f t="shared" si="4"/>
        <v>2</v>
      </c>
      <c r="AA754" s="127" t="str">
        <f t="shared" si="5"/>
        <v>Moderado</v>
      </c>
      <c r="AB754" s="128">
        <f t="shared" si="6"/>
        <v>8</v>
      </c>
      <c r="AC754" s="129">
        <f t="shared" si="7"/>
        <v>0.12</v>
      </c>
      <c r="AD754" s="131"/>
    </row>
    <row r="755" ht="14.25" hidden="1" customHeight="1">
      <c r="A755" s="116" t="s">
        <v>1894</v>
      </c>
      <c r="B755" s="117" t="s">
        <v>1894</v>
      </c>
      <c r="C755" s="117" t="s">
        <v>2009</v>
      </c>
      <c r="D755" s="117" t="s">
        <v>2497</v>
      </c>
      <c r="E755" s="117" t="s">
        <v>2009</v>
      </c>
      <c r="F755" s="117" t="s">
        <v>2498</v>
      </c>
      <c r="G755" s="117" t="s">
        <v>1973</v>
      </c>
      <c r="H755" s="117" t="s">
        <v>1974</v>
      </c>
      <c r="I755" s="117">
        <v>1.0</v>
      </c>
      <c r="J755" s="117">
        <v>1.0</v>
      </c>
      <c r="K755" s="117" t="str">
        <f t="shared" si="1"/>
        <v>No</v>
      </c>
      <c r="L755" s="118" t="s">
        <v>116</v>
      </c>
      <c r="M755" s="119">
        <v>0.5</v>
      </c>
      <c r="N755" s="120">
        <v>0.0</v>
      </c>
      <c r="O755" s="121">
        <v>91.32</v>
      </c>
      <c r="P755" s="117">
        <v>1.0</v>
      </c>
      <c r="Q755" s="117">
        <f t="shared" si="2"/>
        <v>0</v>
      </c>
      <c r="R755" s="122">
        <f>+(IF(((M755*24)-P755)&lt;0,0,((M755*24)-P755)*'Estimación de pérdidas'!$F$72))*N755</f>
        <v>0</v>
      </c>
      <c r="S755" s="123" t="s">
        <v>117</v>
      </c>
      <c r="T755" s="124" t="s">
        <v>119</v>
      </c>
      <c r="U755" s="124">
        <f t="shared" si="3"/>
        <v>1</v>
      </c>
      <c r="V755" s="124">
        <v>2.0</v>
      </c>
      <c r="W755" s="124"/>
      <c r="X755" s="125"/>
      <c r="Y755" s="126"/>
      <c r="Z755" s="125">
        <f t="shared" si="4"/>
        <v>2</v>
      </c>
      <c r="AA755" s="127" t="str">
        <f t="shared" si="5"/>
        <v>Moderado</v>
      </c>
      <c r="AB755" s="128">
        <f t="shared" si="6"/>
        <v>8</v>
      </c>
      <c r="AC755" s="129">
        <f t="shared" si="7"/>
        <v>0.12</v>
      </c>
      <c r="AD755" s="131"/>
    </row>
    <row r="756" ht="14.25" hidden="1" customHeight="1">
      <c r="A756" s="116" t="s">
        <v>1894</v>
      </c>
      <c r="B756" s="117" t="s">
        <v>1894</v>
      </c>
      <c r="C756" s="117" t="s">
        <v>2013</v>
      </c>
      <c r="D756" s="117" t="s">
        <v>2499</v>
      </c>
      <c r="E756" s="117" t="s">
        <v>1975</v>
      </c>
      <c r="F756" s="117" t="s">
        <v>1983</v>
      </c>
      <c r="G756" s="117" t="s">
        <v>1978</v>
      </c>
      <c r="H756" s="117" t="s">
        <v>1979</v>
      </c>
      <c r="I756" s="117">
        <v>1.0</v>
      </c>
      <c r="J756" s="117">
        <v>1.0</v>
      </c>
      <c r="K756" s="117" t="str">
        <f t="shared" si="1"/>
        <v>No</v>
      </c>
      <c r="L756" s="118" t="s">
        <v>116</v>
      </c>
      <c r="M756" s="119">
        <v>1.0</v>
      </c>
      <c r="N756" s="120">
        <v>0.0</v>
      </c>
      <c r="O756" s="121">
        <v>91.32</v>
      </c>
      <c r="P756" s="117">
        <v>1.0</v>
      </c>
      <c r="Q756" s="117">
        <f t="shared" si="2"/>
        <v>0</v>
      </c>
      <c r="R756" s="122">
        <f>+(IF(((M756*24)-P756)&lt;0,0,((M756*24)-P756)*'Estimación de pérdidas'!$F$72))*N756</f>
        <v>0</v>
      </c>
      <c r="S756" s="123" t="s">
        <v>117</v>
      </c>
      <c r="T756" s="124" t="s">
        <v>132</v>
      </c>
      <c r="U756" s="124">
        <f t="shared" si="3"/>
        <v>1</v>
      </c>
      <c r="V756" s="124">
        <v>2.0</v>
      </c>
      <c r="W756" s="124"/>
      <c r="X756" s="125"/>
      <c r="Y756" s="126"/>
      <c r="Z756" s="125">
        <f t="shared" si="4"/>
        <v>2</v>
      </c>
      <c r="AA756" s="127" t="str">
        <f t="shared" si="5"/>
        <v>Bajo</v>
      </c>
      <c r="AB756" s="128">
        <f t="shared" si="6"/>
        <v>3</v>
      </c>
      <c r="AC756" s="129">
        <f t="shared" si="7"/>
        <v>0.04</v>
      </c>
    </row>
    <row r="757" ht="14.25" hidden="1" customHeight="1">
      <c r="A757" s="116" t="s">
        <v>1894</v>
      </c>
      <c r="B757" s="117" t="s">
        <v>1894</v>
      </c>
      <c r="C757" s="117" t="s">
        <v>2016</v>
      </c>
      <c r="D757" s="117" t="s">
        <v>2500</v>
      </c>
      <c r="E757" s="117" t="s">
        <v>2376</v>
      </c>
      <c r="F757" s="117" t="s">
        <v>2501</v>
      </c>
      <c r="G757" s="117" t="s">
        <v>1973</v>
      </c>
      <c r="H757" s="117" t="s">
        <v>2502</v>
      </c>
      <c r="I757" s="117">
        <v>1.0</v>
      </c>
      <c r="J757" s="117">
        <v>1.0</v>
      </c>
      <c r="K757" s="117" t="str">
        <f t="shared" si="1"/>
        <v>No</v>
      </c>
      <c r="L757" s="118" t="s">
        <v>116</v>
      </c>
      <c r="M757" s="119">
        <v>0.5</v>
      </c>
      <c r="N757" s="120">
        <v>1.0</v>
      </c>
      <c r="O757" s="121">
        <v>91.32</v>
      </c>
      <c r="P757" s="117">
        <v>16.0</v>
      </c>
      <c r="Q757" s="117">
        <f t="shared" si="2"/>
        <v>0</v>
      </c>
      <c r="R757" s="122">
        <f>+(IF(((M757*24)-P757)&lt;0,0,((M757*24)-P757)*'Estimación de pérdidas'!$F$72))*N757</f>
        <v>0</v>
      </c>
      <c r="S757" s="123" t="s">
        <v>117</v>
      </c>
      <c r="T757" s="124" t="s">
        <v>119</v>
      </c>
      <c r="U757" s="124">
        <f t="shared" si="3"/>
        <v>1</v>
      </c>
      <c r="V757" s="124">
        <v>1.0</v>
      </c>
      <c r="W757" s="124"/>
      <c r="X757" s="125"/>
      <c r="Y757" s="126"/>
      <c r="Z757" s="125">
        <f t="shared" si="4"/>
        <v>1</v>
      </c>
      <c r="AA757" s="127" t="str">
        <f t="shared" si="5"/>
        <v>Bajo</v>
      </c>
      <c r="AB757" s="128">
        <f t="shared" si="6"/>
        <v>4</v>
      </c>
      <c r="AC757" s="129">
        <f t="shared" si="7"/>
        <v>0.07589466384</v>
      </c>
    </row>
    <row r="758" ht="14.25" hidden="1" customHeight="1">
      <c r="A758" s="116" t="s">
        <v>1894</v>
      </c>
      <c r="B758" s="117" t="s">
        <v>1894</v>
      </c>
      <c r="C758" s="117" t="s">
        <v>2071</v>
      </c>
      <c r="D758" s="117" t="s">
        <v>2503</v>
      </c>
      <c r="E758" s="117" t="s">
        <v>1982</v>
      </c>
      <c r="F758" s="117" t="s">
        <v>1983</v>
      </c>
      <c r="G758" s="117" t="s">
        <v>1978</v>
      </c>
      <c r="H758" s="117" t="s">
        <v>1984</v>
      </c>
      <c r="I758" s="117">
        <v>1.0</v>
      </c>
      <c r="J758" s="117">
        <v>1.0</v>
      </c>
      <c r="K758" s="117" t="str">
        <f t="shared" si="1"/>
        <v>No</v>
      </c>
      <c r="L758" s="118" t="s">
        <v>116</v>
      </c>
      <c r="M758" s="119">
        <v>2.0</v>
      </c>
      <c r="N758" s="120">
        <v>1.0</v>
      </c>
      <c r="O758" s="121">
        <v>91.32</v>
      </c>
      <c r="P758" s="117">
        <v>16.0</v>
      </c>
      <c r="Q758" s="117">
        <f t="shared" si="2"/>
        <v>32</v>
      </c>
      <c r="R758" s="122">
        <f>+(IF(((M758*24)-P758)&lt;0,0,((M758*24)-P758)*'Estimación de pérdidas'!$F$72))*N758</f>
        <v>1845698.397</v>
      </c>
      <c r="S758" s="123" t="s">
        <v>117</v>
      </c>
      <c r="T758" s="124" t="s">
        <v>132</v>
      </c>
      <c r="U758" s="124">
        <f t="shared" si="3"/>
        <v>5</v>
      </c>
      <c r="V758" s="124">
        <v>2.0</v>
      </c>
      <c r="W758" s="124"/>
      <c r="X758" s="125"/>
      <c r="Y758" s="126"/>
      <c r="Z758" s="125">
        <f t="shared" si="4"/>
        <v>5</v>
      </c>
      <c r="AA758" s="127" t="str">
        <f t="shared" si="5"/>
        <v>Moderado</v>
      </c>
      <c r="AB758" s="128">
        <f t="shared" si="6"/>
        <v>15</v>
      </c>
      <c r="AC758" s="129">
        <f t="shared" si="7"/>
        <v>0.09633275663</v>
      </c>
      <c r="AD758" s="131"/>
    </row>
    <row r="759" ht="14.25" hidden="1" customHeight="1">
      <c r="A759" s="116" t="s">
        <v>1894</v>
      </c>
      <c r="B759" s="117" t="s">
        <v>1894</v>
      </c>
      <c r="C759" s="117" t="s">
        <v>1985</v>
      </c>
      <c r="D759" s="117" t="s">
        <v>2504</v>
      </c>
      <c r="E759" s="117" t="s">
        <v>2251</v>
      </c>
      <c r="F759" s="117" t="s">
        <v>2505</v>
      </c>
      <c r="G759" s="117" t="s">
        <v>1973</v>
      </c>
      <c r="H759" s="117" t="s">
        <v>1974</v>
      </c>
      <c r="I759" s="117">
        <v>1.0</v>
      </c>
      <c r="J759" s="117">
        <v>1.0</v>
      </c>
      <c r="K759" s="117" t="str">
        <f t="shared" si="1"/>
        <v>No</v>
      </c>
      <c r="L759" s="118" t="s">
        <v>116</v>
      </c>
      <c r="M759" s="119">
        <v>0.5</v>
      </c>
      <c r="N759" s="120">
        <v>0.0</v>
      </c>
      <c r="O759" s="121">
        <v>91.32</v>
      </c>
      <c r="P759" s="117">
        <v>1.0</v>
      </c>
      <c r="Q759" s="117">
        <f t="shared" si="2"/>
        <v>0</v>
      </c>
      <c r="R759" s="122">
        <f>+(IF(((M759*24)-P759)&lt;0,0,((M759*24)-P759)*'Estimación de pérdidas'!$F$72))*N759</f>
        <v>0</v>
      </c>
      <c r="S759" s="123" t="s">
        <v>117</v>
      </c>
      <c r="T759" s="124" t="s">
        <v>119</v>
      </c>
      <c r="U759" s="124">
        <f t="shared" si="3"/>
        <v>1</v>
      </c>
      <c r="V759" s="124">
        <v>1.0</v>
      </c>
      <c r="W759" s="124"/>
      <c r="X759" s="125"/>
      <c r="Y759" s="126"/>
      <c r="Z759" s="125">
        <f t="shared" si="4"/>
        <v>1</v>
      </c>
      <c r="AA759" s="127" t="str">
        <f t="shared" si="5"/>
        <v>Bajo</v>
      </c>
      <c r="AB759" s="128">
        <f t="shared" si="6"/>
        <v>4</v>
      </c>
      <c r="AC759" s="129">
        <f t="shared" si="7"/>
        <v>0.07589466384</v>
      </c>
    </row>
    <row r="760" ht="14.25" hidden="1" customHeight="1">
      <c r="A760" s="116" t="s">
        <v>1894</v>
      </c>
      <c r="B760" s="117" t="s">
        <v>1894</v>
      </c>
      <c r="C760" s="117" t="s">
        <v>2025</v>
      </c>
      <c r="D760" s="117" t="s">
        <v>2506</v>
      </c>
      <c r="E760" s="117" t="s">
        <v>1988</v>
      </c>
      <c r="F760" s="117" t="s">
        <v>1983</v>
      </c>
      <c r="G760" s="117" t="s">
        <v>1978</v>
      </c>
      <c r="H760" s="117" t="s">
        <v>1979</v>
      </c>
      <c r="I760" s="117">
        <v>1.0</v>
      </c>
      <c r="J760" s="117">
        <v>1.0</v>
      </c>
      <c r="K760" s="117" t="str">
        <f t="shared" si="1"/>
        <v>No</v>
      </c>
      <c r="L760" s="118" t="s">
        <v>116</v>
      </c>
      <c r="M760" s="119">
        <v>2.0</v>
      </c>
      <c r="N760" s="120">
        <v>0.0</v>
      </c>
      <c r="O760" s="121">
        <v>91.32</v>
      </c>
      <c r="P760" s="117">
        <v>1.0</v>
      </c>
      <c r="Q760" s="117">
        <f t="shared" si="2"/>
        <v>0</v>
      </c>
      <c r="R760" s="122">
        <f>+(IF(((M760*24)-P760)&lt;0,0,((M760*24)-P760)*'Estimación de pérdidas'!$F$72))*N760</f>
        <v>0</v>
      </c>
      <c r="S760" s="123" t="s">
        <v>117</v>
      </c>
      <c r="T760" s="124" t="s">
        <v>132</v>
      </c>
      <c r="U760" s="124">
        <f t="shared" si="3"/>
        <v>1</v>
      </c>
      <c r="V760" s="124">
        <v>2.0</v>
      </c>
      <c r="W760" s="124"/>
      <c r="X760" s="125"/>
      <c r="Y760" s="126"/>
      <c r="Z760" s="125">
        <f t="shared" si="4"/>
        <v>2</v>
      </c>
      <c r="AA760" s="127" t="str">
        <f t="shared" si="5"/>
        <v>Bajo</v>
      </c>
      <c r="AB760" s="128">
        <f t="shared" si="6"/>
        <v>3</v>
      </c>
      <c r="AC760" s="129">
        <f t="shared" si="7"/>
        <v>0.04</v>
      </c>
    </row>
    <row r="761" ht="14.25" hidden="1" customHeight="1">
      <c r="A761" s="116" t="s">
        <v>1894</v>
      </c>
      <c r="B761" s="117" t="s">
        <v>1894</v>
      </c>
      <c r="C761" s="117" t="s">
        <v>2079</v>
      </c>
      <c r="D761" s="117" t="s">
        <v>2507</v>
      </c>
      <c r="E761" s="117" t="s">
        <v>2081</v>
      </c>
      <c r="F761" s="117" t="s">
        <v>1993</v>
      </c>
      <c r="G761" s="117" t="s">
        <v>1994</v>
      </c>
      <c r="H761" s="117" t="s">
        <v>1995</v>
      </c>
      <c r="I761" s="117">
        <v>1.0</v>
      </c>
      <c r="J761" s="117">
        <v>1.0</v>
      </c>
      <c r="K761" s="117" t="str">
        <f t="shared" si="1"/>
        <v>No</v>
      </c>
      <c r="L761" s="118" t="s">
        <v>116</v>
      </c>
      <c r="M761" s="119">
        <v>3.0</v>
      </c>
      <c r="N761" s="120">
        <v>1.0</v>
      </c>
      <c r="O761" s="121">
        <v>91.32</v>
      </c>
      <c r="P761" s="117">
        <v>16.0</v>
      </c>
      <c r="Q761" s="117">
        <f t="shared" si="2"/>
        <v>56</v>
      </c>
      <c r="R761" s="122">
        <f>+(IF(((M761*24)-P761)&lt;0,0,((M761*24)-P761)*'Estimación de pérdidas'!$F$72))*N761</f>
        <v>3229972.195</v>
      </c>
      <c r="S761" s="123" t="s">
        <v>117</v>
      </c>
      <c r="T761" s="124" t="s">
        <v>132</v>
      </c>
      <c r="U761" s="124">
        <f t="shared" si="3"/>
        <v>5</v>
      </c>
      <c r="V761" s="124">
        <v>2.0</v>
      </c>
      <c r="W761" s="124"/>
      <c r="X761" s="125"/>
      <c r="Y761" s="126"/>
      <c r="Z761" s="125">
        <f t="shared" si="4"/>
        <v>5</v>
      </c>
      <c r="AA761" s="127" t="str">
        <f t="shared" si="5"/>
        <v>Moderado</v>
      </c>
      <c r="AB761" s="128">
        <f t="shared" si="6"/>
        <v>15</v>
      </c>
      <c r="AC761" s="129">
        <f t="shared" si="7"/>
        <v>0.09633275663</v>
      </c>
    </row>
    <row r="762" ht="14.25" hidden="1" customHeight="1">
      <c r="A762" s="116" t="s">
        <v>1894</v>
      </c>
      <c r="B762" s="117" t="s">
        <v>1894</v>
      </c>
      <c r="C762" s="117" t="s">
        <v>2508</v>
      </c>
      <c r="D762" s="117" t="s">
        <v>2509</v>
      </c>
      <c r="E762" s="117" t="s">
        <v>2510</v>
      </c>
      <c r="F762" s="117" t="s">
        <v>2511</v>
      </c>
      <c r="G762" s="117" t="s">
        <v>2047</v>
      </c>
      <c r="H762" s="117" t="s">
        <v>2142</v>
      </c>
      <c r="I762" s="117">
        <v>1.0</v>
      </c>
      <c r="J762" s="117">
        <v>1.0</v>
      </c>
      <c r="K762" s="117" t="str">
        <f t="shared" si="1"/>
        <v>No</v>
      </c>
      <c r="L762" s="118" t="s">
        <v>116</v>
      </c>
      <c r="M762" s="119">
        <v>0.3333333333333333</v>
      </c>
      <c r="N762" s="120">
        <v>1.0</v>
      </c>
      <c r="O762" s="121">
        <v>91.32</v>
      </c>
      <c r="P762" s="117">
        <v>1.0</v>
      </c>
      <c r="Q762" s="117">
        <f t="shared" si="2"/>
        <v>7</v>
      </c>
      <c r="R762" s="122">
        <f>+(IF(((M762*24)-P762)&lt;0,0,((M762*24)-P762)*'Estimación de pérdidas'!$F$72))*N762</f>
        <v>403746.5244</v>
      </c>
      <c r="S762" s="123" t="s">
        <v>117</v>
      </c>
      <c r="T762" s="124" t="s">
        <v>119</v>
      </c>
      <c r="U762" s="124">
        <f t="shared" si="3"/>
        <v>3</v>
      </c>
      <c r="V762" s="124">
        <v>2.0</v>
      </c>
      <c r="W762" s="124"/>
      <c r="X762" s="125"/>
      <c r="Y762" s="126"/>
      <c r="Z762" s="125">
        <f t="shared" si="4"/>
        <v>3</v>
      </c>
      <c r="AA762" s="127" t="str">
        <f t="shared" si="5"/>
        <v>Moderado</v>
      </c>
      <c r="AB762" s="128">
        <f t="shared" si="6"/>
        <v>13</v>
      </c>
      <c r="AC762" s="129">
        <f t="shared" si="7"/>
        <v>0.193494186</v>
      </c>
      <c r="AD762" s="131"/>
    </row>
    <row r="763" ht="14.25" hidden="1" customHeight="1">
      <c r="A763" s="116" t="s">
        <v>1894</v>
      </c>
      <c r="B763" s="117" t="s">
        <v>1894</v>
      </c>
      <c r="C763" s="117" t="s">
        <v>2512</v>
      </c>
      <c r="D763" s="117" t="s">
        <v>2513</v>
      </c>
      <c r="E763" s="117" t="s">
        <v>2514</v>
      </c>
      <c r="F763" s="117" t="s">
        <v>2515</v>
      </c>
      <c r="G763" s="117" t="s">
        <v>2047</v>
      </c>
      <c r="H763" s="117" t="s">
        <v>2161</v>
      </c>
      <c r="I763" s="117">
        <v>3.0</v>
      </c>
      <c r="J763" s="117">
        <v>2.0</v>
      </c>
      <c r="K763" s="117" t="str">
        <f t="shared" si="1"/>
        <v>Si</v>
      </c>
      <c r="L763" s="118" t="s">
        <v>287</v>
      </c>
      <c r="M763" s="119">
        <v>0.3333333333333333</v>
      </c>
      <c r="N763" s="120">
        <v>0.0</v>
      </c>
      <c r="O763" s="121">
        <v>91.32</v>
      </c>
      <c r="P763" s="117">
        <v>1.0</v>
      </c>
      <c r="Q763" s="117">
        <f t="shared" si="2"/>
        <v>0</v>
      </c>
      <c r="R763" s="122">
        <f>+(IF(((M763*24)-P763)&lt;0,0,((M763*24)-P763)*'Estimación de pérdidas'!$F$72))*N763</f>
        <v>0</v>
      </c>
      <c r="S763" s="123" t="s">
        <v>117</v>
      </c>
      <c r="T763" s="124" t="s">
        <v>119</v>
      </c>
      <c r="U763" s="124">
        <f t="shared" si="3"/>
        <v>1</v>
      </c>
      <c r="V763" s="124">
        <v>2.0</v>
      </c>
      <c r="W763" s="124"/>
      <c r="X763" s="125"/>
      <c r="Y763" s="126"/>
      <c r="Z763" s="125">
        <f t="shared" si="4"/>
        <v>2</v>
      </c>
      <c r="AA763" s="127" t="str">
        <f t="shared" si="5"/>
        <v>Moderado</v>
      </c>
      <c r="AB763" s="128">
        <f t="shared" si="6"/>
        <v>8</v>
      </c>
      <c r="AC763" s="129">
        <f t="shared" si="7"/>
        <v>0.12</v>
      </c>
      <c r="AD763" s="131"/>
    </row>
    <row r="764" ht="14.25" hidden="1" customHeight="1">
      <c r="A764" s="116" t="s">
        <v>1894</v>
      </c>
      <c r="B764" s="117" t="s">
        <v>1894</v>
      </c>
      <c r="C764" s="117" t="s">
        <v>2516</v>
      </c>
      <c r="D764" s="117" t="s">
        <v>2517</v>
      </c>
      <c r="E764" s="117" t="s">
        <v>2518</v>
      </c>
      <c r="F764" s="117" t="s">
        <v>2519</v>
      </c>
      <c r="G764" s="117" t="s">
        <v>2047</v>
      </c>
      <c r="H764" s="117" t="s">
        <v>2161</v>
      </c>
      <c r="I764" s="117">
        <v>3.0</v>
      </c>
      <c r="J764" s="117">
        <v>2.0</v>
      </c>
      <c r="K764" s="117" t="str">
        <f t="shared" si="1"/>
        <v>Si</v>
      </c>
      <c r="L764" s="118" t="s">
        <v>287</v>
      </c>
      <c r="M764" s="119">
        <v>0.3333333333333333</v>
      </c>
      <c r="N764" s="120">
        <v>0.0</v>
      </c>
      <c r="O764" s="121">
        <v>91.32</v>
      </c>
      <c r="P764" s="117">
        <v>1.0</v>
      </c>
      <c r="Q764" s="117">
        <f t="shared" si="2"/>
        <v>0</v>
      </c>
      <c r="R764" s="122">
        <f>+(IF(((M764*24)-P764)&lt;0,0,((M764*24)-P764)*'Estimación de pérdidas'!$F$72))*N764</f>
        <v>0</v>
      </c>
      <c r="S764" s="123" t="s">
        <v>117</v>
      </c>
      <c r="T764" s="124" t="s">
        <v>119</v>
      </c>
      <c r="U764" s="124">
        <f t="shared" si="3"/>
        <v>1</v>
      </c>
      <c r="V764" s="124">
        <v>2.0</v>
      </c>
      <c r="W764" s="124"/>
      <c r="X764" s="125"/>
      <c r="Y764" s="126"/>
      <c r="Z764" s="125">
        <f t="shared" si="4"/>
        <v>2</v>
      </c>
      <c r="AA764" s="127" t="str">
        <f t="shared" si="5"/>
        <v>Moderado</v>
      </c>
      <c r="AB764" s="128">
        <f t="shared" si="6"/>
        <v>8</v>
      </c>
      <c r="AC764" s="129">
        <f t="shared" si="7"/>
        <v>0.12</v>
      </c>
      <c r="AD764" s="131"/>
    </row>
    <row r="765" ht="14.25" hidden="1" customHeight="1">
      <c r="A765" s="116" t="s">
        <v>1894</v>
      </c>
      <c r="B765" s="117" t="s">
        <v>1894</v>
      </c>
      <c r="C765" s="117" t="s">
        <v>2520</v>
      </c>
      <c r="D765" s="117" t="s">
        <v>2521</v>
      </c>
      <c r="E765" s="117" t="s">
        <v>2522</v>
      </c>
      <c r="F765" s="117" t="s">
        <v>2523</v>
      </c>
      <c r="G765" s="117" t="s">
        <v>2047</v>
      </c>
      <c r="H765" s="117" t="s">
        <v>2161</v>
      </c>
      <c r="I765" s="117">
        <v>3.0</v>
      </c>
      <c r="J765" s="117">
        <v>2.0</v>
      </c>
      <c r="K765" s="117" t="str">
        <f t="shared" si="1"/>
        <v>Si</v>
      </c>
      <c r="L765" s="118" t="s">
        <v>287</v>
      </c>
      <c r="M765" s="119">
        <v>0.3333333333333333</v>
      </c>
      <c r="N765" s="120">
        <v>0.0</v>
      </c>
      <c r="O765" s="121">
        <v>91.32</v>
      </c>
      <c r="P765" s="117">
        <v>1.0</v>
      </c>
      <c r="Q765" s="117">
        <f t="shared" si="2"/>
        <v>0</v>
      </c>
      <c r="R765" s="122">
        <f>+(IF(((M765*24)-P765)&lt;0,0,((M765*24)-P765)*'Estimación de pérdidas'!$F$72))*N765</f>
        <v>0</v>
      </c>
      <c r="S765" s="123" t="s">
        <v>117</v>
      </c>
      <c r="T765" s="124" t="s">
        <v>119</v>
      </c>
      <c r="U765" s="124">
        <f t="shared" si="3"/>
        <v>1</v>
      </c>
      <c r="V765" s="124">
        <v>2.0</v>
      </c>
      <c r="W765" s="124"/>
      <c r="X765" s="125"/>
      <c r="Y765" s="126"/>
      <c r="Z765" s="125">
        <f t="shared" si="4"/>
        <v>2</v>
      </c>
      <c r="AA765" s="127" t="str">
        <f t="shared" si="5"/>
        <v>Moderado</v>
      </c>
      <c r="AB765" s="128">
        <f t="shared" si="6"/>
        <v>8</v>
      </c>
      <c r="AC765" s="129">
        <f t="shared" si="7"/>
        <v>0.12</v>
      </c>
      <c r="AD765" s="131"/>
    </row>
    <row r="766" ht="14.25" hidden="1" customHeight="1">
      <c r="A766" s="116" t="s">
        <v>1894</v>
      </c>
      <c r="B766" s="117" t="s">
        <v>1894</v>
      </c>
      <c r="C766" s="117" t="s">
        <v>2054</v>
      </c>
      <c r="D766" s="117" t="s">
        <v>2524</v>
      </c>
      <c r="E766" s="117" t="s">
        <v>2054</v>
      </c>
      <c r="F766" s="117" t="s">
        <v>2056</v>
      </c>
      <c r="G766" s="117" t="s">
        <v>2384</v>
      </c>
      <c r="H766" s="117" t="s">
        <v>2525</v>
      </c>
      <c r="I766" s="117">
        <v>1.0</v>
      </c>
      <c r="J766" s="117">
        <v>1.0</v>
      </c>
      <c r="K766" s="117" t="str">
        <f t="shared" si="1"/>
        <v>No</v>
      </c>
      <c r="L766" s="118" t="s">
        <v>116</v>
      </c>
      <c r="M766" s="119">
        <v>0.5833333333333334</v>
      </c>
      <c r="N766" s="120">
        <v>1.0</v>
      </c>
      <c r="O766" s="121">
        <v>30.0</v>
      </c>
      <c r="P766" s="117">
        <v>16.0</v>
      </c>
      <c r="Q766" s="117">
        <f t="shared" si="2"/>
        <v>0</v>
      </c>
      <c r="R766" s="122">
        <f>+(IF(((M766*24)-P766)&lt;0,0,((M766*24)-P766)*'Estimación de pérdidas'!$F$72))*N766</f>
        <v>0</v>
      </c>
      <c r="S766" s="123" t="s">
        <v>117</v>
      </c>
      <c r="T766" s="124" t="s">
        <v>132</v>
      </c>
      <c r="U766" s="124">
        <f t="shared" si="3"/>
        <v>1</v>
      </c>
      <c r="V766" s="124">
        <v>1.0</v>
      </c>
      <c r="W766" s="124"/>
      <c r="X766" s="125"/>
      <c r="Y766" s="126"/>
      <c r="Z766" s="125">
        <f t="shared" si="4"/>
        <v>1</v>
      </c>
      <c r="AA766" s="127" t="str">
        <f t="shared" si="5"/>
        <v>Bajo</v>
      </c>
      <c r="AB766" s="128">
        <f t="shared" si="6"/>
        <v>1</v>
      </c>
      <c r="AC766" s="129">
        <f t="shared" si="7"/>
        <v>0.02529822128</v>
      </c>
    </row>
    <row r="767" ht="14.25" hidden="1" customHeight="1">
      <c r="A767" s="116" t="s">
        <v>1894</v>
      </c>
      <c r="B767" s="117" t="s">
        <v>1894</v>
      </c>
      <c r="C767" s="117" t="s">
        <v>2526</v>
      </c>
      <c r="D767" s="117" t="s">
        <v>2527</v>
      </c>
      <c r="E767" s="117" t="s">
        <v>2526</v>
      </c>
      <c r="F767" s="117" t="s">
        <v>2528</v>
      </c>
      <c r="G767" s="117" t="s">
        <v>2087</v>
      </c>
      <c r="H767" s="117" t="s">
        <v>2529</v>
      </c>
      <c r="I767" s="117">
        <v>1.0</v>
      </c>
      <c r="J767" s="117">
        <v>1.0</v>
      </c>
      <c r="K767" s="117" t="str">
        <f t="shared" si="1"/>
        <v>No</v>
      </c>
      <c r="L767" s="118" t="s">
        <v>116</v>
      </c>
      <c r="M767" s="119">
        <v>2.0</v>
      </c>
      <c r="N767" s="120">
        <v>1.0</v>
      </c>
      <c r="O767" s="121">
        <v>91.32</v>
      </c>
      <c r="P767" s="117">
        <v>1.0</v>
      </c>
      <c r="Q767" s="117">
        <f t="shared" si="2"/>
        <v>47</v>
      </c>
      <c r="R767" s="122">
        <f>+(IF(((M767*24)-P767)&lt;0,0,((M767*24)-P767)*'Estimación de pérdidas'!$F$72))*N767</f>
        <v>2710869.521</v>
      </c>
      <c r="S767" s="123" t="s">
        <v>117</v>
      </c>
      <c r="T767" s="124" t="s">
        <v>132</v>
      </c>
      <c r="U767" s="124">
        <f t="shared" si="3"/>
        <v>5</v>
      </c>
      <c r="V767" s="124">
        <v>2.0</v>
      </c>
      <c r="W767" s="124"/>
      <c r="X767" s="125"/>
      <c r="Y767" s="126"/>
      <c r="Z767" s="125">
        <f t="shared" si="4"/>
        <v>5</v>
      </c>
      <c r="AA767" s="127" t="str">
        <f t="shared" si="5"/>
        <v>Moderado</v>
      </c>
      <c r="AB767" s="128">
        <f t="shared" si="6"/>
        <v>15</v>
      </c>
      <c r="AC767" s="129">
        <f t="shared" si="7"/>
        <v>0.09633275663</v>
      </c>
      <c r="AD767" s="131"/>
    </row>
    <row r="768" ht="14.25" hidden="1" customHeight="1">
      <c r="A768" s="116" t="s">
        <v>1894</v>
      </c>
      <c r="B768" s="117" t="s">
        <v>1894</v>
      </c>
      <c r="C768" s="117" t="s">
        <v>2031</v>
      </c>
      <c r="D768" s="117" t="s">
        <v>2530</v>
      </c>
      <c r="E768" s="117" t="s">
        <v>2031</v>
      </c>
      <c r="F768" s="117" t="s">
        <v>2033</v>
      </c>
      <c r="G768" s="117" t="s">
        <v>1973</v>
      </c>
      <c r="H768" s="117" t="s">
        <v>2531</v>
      </c>
      <c r="I768" s="117">
        <v>1.0</v>
      </c>
      <c r="J768" s="117">
        <v>1.0</v>
      </c>
      <c r="K768" s="117" t="str">
        <f t="shared" si="1"/>
        <v>No</v>
      </c>
      <c r="L768" s="118" t="s">
        <v>116</v>
      </c>
      <c r="M768" s="119">
        <v>0.5</v>
      </c>
      <c r="N768" s="120">
        <v>1.0</v>
      </c>
      <c r="O768" s="121">
        <v>91.32</v>
      </c>
      <c r="P768" s="117">
        <v>16.0</v>
      </c>
      <c r="Q768" s="117">
        <f t="shared" si="2"/>
        <v>0</v>
      </c>
      <c r="R768" s="122">
        <f>+(IF(((M768*24)-P768)&lt;0,0,((M768*24)-P768)*'Estimación de pérdidas'!$F$72))*N768</f>
        <v>0</v>
      </c>
      <c r="S768" s="123" t="s">
        <v>117</v>
      </c>
      <c r="T768" s="124" t="s">
        <v>119</v>
      </c>
      <c r="U768" s="124">
        <f t="shared" si="3"/>
        <v>1</v>
      </c>
      <c r="V768" s="124">
        <v>2.0</v>
      </c>
      <c r="W768" s="124"/>
      <c r="X768" s="125"/>
      <c r="Y768" s="126"/>
      <c r="Z768" s="125">
        <f t="shared" si="4"/>
        <v>2</v>
      </c>
      <c r="AA768" s="127" t="str">
        <f t="shared" si="5"/>
        <v>Moderado</v>
      </c>
      <c r="AB768" s="128">
        <f t="shared" si="6"/>
        <v>8</v>
      </c>
      <c r="AC768" s="129">
        <f t="shared" si="7"/>
        <v>0.12</v>
      </c>
      <c r="AD768" s="131"/>
    </row>
    <row r="769" ht="14.25" hidden="1" customHeight="1">
      <c r="A769" s="116" t="s">
        <v>1894</v>
      </c>
      <c r="B769" s="117" t="s">
        <v>1894</v>
      </c>
      <c r="C769" s="117" t="s">
        <v>2035</v>
      </c>
      <c r="D769" s="117" t="s">
        <v>2532</v>
      </c>
      <c r="E769" s="117" t="s">
        <v>2035</v>
      </c>
      <c r="F769" s="117" t="s">
        <v>2037</v>
      </c>
      <c r="G769" s="117" t="s">
        <v>2038</v>
      </c>
      <c r="H769" s="117" t="s">
        <v>2533</v>
      </c>
      <c r="I769" s="117">
        <v>1.0</v>
      </c>
      <c r="J769" s="117">
        <v>1.0</v>
      </c>
      <c r="K769" s="117" t="str">
        <f t="shared" si="1"/>
        <v>No</v>
      </c>
      <c r="L769" s="118" t="s">
        <v>116</v>
      </c>
      <c r="M769" s="119">
        <v>0.5</v>
      </c>
      <c r="N769" s="120">
        <v>1.0</v>
      </c>
      <c r="O769" s="121">
        <v>91.32</v>
      </c>
      <c r="P769" s="117">
        <v>16.0</v>
      </c>
      <c r="Q769" s="117">
        <f t="shared" si="2"/>
        <v>0</v>
      </c>
      <c r="R769" s="122">
        <f>+(IF(((M769*24)-P769)&lt;0,0,((M769*24)-P769)*'Estimación de pérdidas'!$F$72))*N769</f>
        <v>0</v>
      </c>
      <c r="S769" s="123" t="s">
        <v>117</v>
      </c>
      <c r="T769" s="124" t="s">
        <v>119</v>
      </c>
      <c r="U769" s="124">
        <f t="shared" si="3"/>
        <v>1</v>
      </c>
      <c r="V769" s="124">
        <v>2.0</v>
      </c>
      <c r="W769" s="124"/>
      <c r="X769" s="125"/>
      <c r="Y769" s="126"/>
      <c r="Z769" s="125">
        <f t="shared" si="4"/>
        <v>2</v>
      </c>
      <c r="AA769" s="127" t="str">
        <f t="shared" si="5"/>
        <v>Moderado</v>
      </c>
      <c r="AB769" s="128">
        <f t="shared" si="6"/>
        <v>8</v>
      </c>
      <c r="AC769" s="129">
        <f t="shared" si="7"/>
        <v>0.12</v>
      </c>
      <c r="AD769" s="131"/>
    </row>
    <row r="770" ht="14.25" hidden="1" customHeight="1">
      <c r="A770" s="116" t="s">
        <v>1145</v>
      </c>
      <c r="B770" s="117" t="s">
        <v>1145</v>
      </c>
      <c r="C770" s="117" t="s">
        <v>2534</v>
      </c>
      <c r="D770" s="117" t="s">
        <v>2535</v>
      </c>
      <c r="E770" s="117" t="s">
        <v>2534</v>
      </c>
      <c r="F770" s="117" t="s">
        <v>1993</v>
      </c>
      <c r="G770" s="117" t="s">
        <v>1994</v>
      </c>
      <c r="H770" s="117" t="s">
        <v>1995</v>
      </c>
      <c r="I770" s="117">
        <v>1.0</v>
      </c>
      <c r="J770" s="117">
        <v>1.0</v>
      </c>
      <c r="K770" s="117" t="str">
        <f t="shared" si="1"/>
        <v>No</v>
      </c>
      <c r="L770" s="118" t="s">
        <v>116</v>
      </c>
      <c r="M770" s="119">
        <v>3.0</v>
      </c>
      <c r="N770" s="120">
        <v>1.0</v>
      </c>
      <c r="O770" s="121">
        <v>91.32</v>
      </c>
      <c r="P770" s="117">
        <v>1.0</v>
      </c>
      <c r="Q770" s="117">
        <f t="shared" si="2"/>
        <v>71</v>
      </c>
      <c r="R770" s="122">
        <f>+(IF(((M770*24)-P770)&lt;0,0,((M770*24)-P770)*'Estimación de pérdidas'!$F$72))*N770</f>
        <v>4095143.319</v>
      </c>
      <c r="S770" s="123" t="s">
        <v>117</v>
      </c>
      <c r="T770" s="124" t="s">
        <v>132</v>
      </c>
      <c r="U770" s="124">
        <f t="shared" si="3"/>
        <v>5</v>
      </c>
      <c r="V770" s="124">
        <v>2.0</v>
      </c>
      <c r="W770" s="124"/>
      <c r="X770" s="125"/>
      <c r="Y770" s="126"/>
      <c r="Z770" s="125">
        <f t="shared" si="4"/>
        <v>5</v>
      </c>
      <c r="AA770" s="127" t="str">
        <f t="shared" si="5"/>
        <v>Moderado</v>
      </c>
      <c r="AB770" s="128">
        <f t="shared" si="6"/>
        <v>15</v>
      </c>
      <c r="AC770" s="129">
        <f t="shared" si="7"/>
        <v>0.09633275663</v>
      </c>
      <c r="AD770" s="131"/>
    </row>
    <row r="771" ht="14.25" hidden="1" customHeight="1">
      <c r="A771" s="116" t="s">
        <v>1894</v>
      </c>
      <c r="B771" s="117" t="s">
        <v>1894</v>
      </c>
      <c r="C771" s="117" t="s">
        <v>2079</v>
      </c>
      <c r="D771" s="117" t="s">
        <v>2536</v>
      </c>
      <c r="E771" s="117" t="s">
        <v>2079</v>
      </c>
      <c r="F771" s="117" t="s">
        <v>1993</v>
      </c>
      <c r="G771" s="117" t="s">
        <v>1994</v>
      </c>
      <c r="H771" s="117" t="s">
        <v>1995</v>
      </c>
      <c r="I771" s="117">
        <v>1.0</v>
      </c>
      <c r="J771" s="117">
        <v>1.0</v>
      </c>
      <c r="K771" s="117" t="str">
        <f t="shared" si="1"/>
        <v>No</v>
      </c>
      <c r="L771" s="118" t="s">
        <v>116</v>
      </c>
      <c r="M771" s="119">
        <v>3.0</v>
      </c>
      <c r="N771" s="120">
        <v>1.0</v>
      </c>
      <c r="O771" s="121">
        <v>91.32</v>
      </c>
      <c r="P771" s="117">
        <v>16.0</v>
      </c>
      <c r="Q771" s="117">
        <f t="shared" si="2"/>
        <v>56</v>
      </c>
      <c r="R771" s="122">
        <f>+(IF(((M771*24)-P771)&lt;0,0,((M771*24)-P771)*'Estimación de pérdidas'!$F$72))*N771</f>
        <v>3229972.195</v>
      </c>
      <c r="S771" s="123" t="s">
        <v>117</v>
      </c>
      <c r="T771" s="124" t="s">
        <v>132</v>
      </c>
      <c r="U771" s="124">
        <f t="shared" si="3"/>
        <v>5</v>
      </c>
      <c r="V771" s="124">
        <v>2.0</v>
      </c>
      <c r="W771" s="124"/>
      <c r="X771" s="125"/>
      <c r="Y771" s="126"/>
      <c r="Z771" s="125">
        <f t="shared" si="4"/>
        <v>5</v>
      </c>
      <c r="AA771" s="127" t="str">
        <f t="shared" si="5"/>
        <v>Moderado</v>
      </c>
      <c r="AB771" s="128">
        <f t="shared" si="6"/>
        <v>15</v>
      </c>
      <c r="AC771" s="129">
        <f t="shared" si="7"/>
        <v>0.09633275663</v>
      </c>
    </row>
    <row r="772" ht="14.25" hidden="1" customHeight="1">
      <c r="A772" s="116" t="s">
        <v>1969</v>
      </c>
      <c r="B772" s="117" t="s">
        <v>1969</v>
      </c>
      <c r="C772" s="117" t="s">
        <v>2537</v>
      </c>
      <c r="D772" s="117" t="s">
        <v>2538</v>
      </c>
      <c r="E772" s="117" t="s">
        <v>2537</v>
      </c>
      <c r="F772" s="117" t="s">
        <v>2539</v>
      </c>
      <c r="G772" s="117" t="s">
        <v>2540</v>
      </c>
      <c r="H772" s="117" t="s">
        <v>1984</v>
      </c>
      <c r="I772" s="117">
        <v>1.0</v>
      </c>
      <c r="J772" s="117">
        <v>1.0</v>
      </c>
      <c r="K772" s="117" t="str">
        <f t="shared" si="1"/>
        <v>No</v>
      </c>
      <c r="L772" s="118" t="s">
        <v>116</v>
      </c>
      <c r="M772" s="119">
        <v>2.0</v>
      </c>
      <c r="N772" s="120">
        <v>1.0</v>
      </c>
      <c r="O772" s="121">
        <v>91.32</v>
      </c>
      <c r="P772" s="117">
        <v>1.0</v>
      </c>
      <c r="Q772" s="117">
        <f t="shared" si="2"/>
        <v>47</v>
      </c>
      <c r="R772" s="122">
        <f>+(IF(((M772*24)-P772)&lt;0,0,((M772*24)-P772)*'Estimación de pérdidas'!$F$72))*N772</f>
        <v>2710869.521</v>
      </c>
      <c r="S772" s="123" t="s">
        <v>117</v>
      </c>
      <c r="T772" s="124" t="s">
        <v>132</v>
      </c>
      <c r="U772" s="124">
        <f t="shared" si="3"/>
        <v>5</v>
      </c>
      <c r="V772" s="124">
        <v>2.0</v>
      </c>
      <c r="W772" s="124"/>
      <c r="X772" s="125"/>
      <c r="Y772" s="126"/>
      <c r="Z772" s="125">
        <f t="shared" si="4"/>
        <v>5</v>
      </c>
      <c r="AA772" s="127" t="str">
        <f t="shared" si="5"/>
        <v>Moderado</v>
      </c>
      <c r="AB772" s="128">
        <f t="shared" si="6"/>
        <v>15</v>
      </c>
      <c r="AC772" s="129">
        <f t="shared" si="7"/>
        <v>0.09633275663</v>
      </c>
      <c r="AD772" s="131"/>
    </row>
    <row r="773" ht="14.25" hidden="1" customHeight="1">
      <c r="A773" s="116" t="s">
        <v>108</v>
      </c>
      <c r="B773" s="117" t="s">
        <v>108</v>
      </c>
      <c r="C773" s="117" t="s">
        <v>2537</v>
      </c>
      <c r="D773" s="117" t="s">
        <v>2541</v>
      </c>
      <c r="E773" s="117" t="s">
        <v>2537</v>
      </c>
      <c r="F773" s="117" t="s">
        <v>2542</v>
      </c>
      <c r="G773" s="117" t="s">
        <v>2540</v>
      </c>
      <c r="H773" s="117" t="s">
        <v>1984</v>
      </c>
      <c r="I773" s="117">
        <v>1.0</v>
      </c>
      <c r="J773" s="117">
        <v>1.0</v>
      </c>
      <c r="K773" s="117" t="str">
        <f t="shared" si="1"/>
        <v>No</v>
      </c>
      <c r="L773" s="118" t="s">
        <v>116</v>
      </c>
      <c r="M773" s="119">
        <v>2.0</v>
      </c>
      <c r="N773" s="120">
        <v>1.0</v>
      </c>
      <c r="O773" s="121">
        <v>70.0</v>
      </c>
      <c r="P773" s="117">
        <v>10.0</v>
      </c>
      <c r="Q773" s="117">
        <f t="shared" si="2"/>
        <v>38</v>
      </c>
      <c r="R773" s="122">
        <f>+(IF(((M773*24)-P773)&lt;0,0,((M773*24)-P773)*'Estimación de pérdidas'!$F$72))*N773</f>
        <v>2191766.847</v>
      </c>
      <c r="S773" s="123" t="s">
        <v>117</v>
      </c>
      <c r="T773" s="124" t="s">
        <v>132</v>
      </c>
      <c r="U773" s="124">
        <f t="shared" si="3"/>
        <v>5</v>
      </c>
      <c r="V773" s="124">
        <v>2.0</v>
      </c>
      <c r="W773" s="124"/>
      <c r="X773" s="125"/>
      <c r="Y773" s="126"/>
      <c r="Z773" s="125">
        <f t="shared" si="4"/>
        <v>5</v>
      </c>
      <c r="AA773" s="127" t="str">
        <f t="shared" si="5"/>
        <v>Moderado</v>
      </c>
      <c r="AB773" s="128">
        <f t="shared" si="6"/>
        <v>15</v>
      </c>
      <c r="AC773" s="129">
        <f t="shared" si="7"/>
        <v>0.09633275663</v>
      </c>
      <c r="AD773" s="131"/>
    </row>
    <row r="774" ht="14.25" hidden="1" customHeight="1">
      <c r="A774" s="116" t="s">
        <v>300</v>
      </c>
      <c r="B774" s="117" t="s">
        <v>300</v>
      </c>
      <c r="C774" s="117" t="s">
        <v>2543</v>
      </c>
      <c r="D774" s="117" t="s">
        <v>2544</v>
      </c>
      <c r="E774" s="117" t="s">
        <v>2543</v>
      </c>
      <c r="F774" s="117" t="s">
        <v>2545</v>
      </c>
      <c r="G774" s="117" t="s">
        <v>2540</v>
      </c>
      <c r="H774" s="117" t="s">
        <v>2546</v>
      </c>
      <c r="I774" s="117">
        <v>2.0</v>
      </c>
      <c r="J774" s="117">
        <v>1.0</v>
      </c>
      <c r="K774" s="117" t="str">
        <f t="shared" si="1"/>
        <v>Si</v>
      </c>
      <c r="L774" s="118" t="s">
        <v>287</v>
      </c>
      <c r="M774" s="119">
        <v>2.0</v>
      </c>
      <c r="N774" s="120">
        <v>0.0</v>
      </c>
      <c r="O774" s="121">
        <v>91.32</v>
      </c>
      <c r="P774" s="117">
        <v>1.0</v>
      </c>
      <c r="Q774" s="117">
        <f t="shared" si="2"/>
        <v>0</v>
      </c>
      <c r="R774" s="122">
        <f>+(IF(((M774*24)-P774)&lt;0,0,((M774*24)-P774)*'Estimación de pérdidas'!$F$72))*N774</f>
        <v>0</v>
      </c>
      <c r="S774" s="123" t="s">
        <v>117</v>
      </c>
      <c r="T774" s="124" t="s">
        <v>132</v>
      </c>
      <c r="U774" s="124">
        <f t="shared" si="3"/>
        <v>1</v>
      </c>
      <c r="V774" s="124">
        <v>2.0</v>
      </c>
      <c r="W774" s="124"/>
      <c r="X774" s="125"/>
      <c r="Y774" s="126"/>
      <c r="Z774" s="125">
        <f t="shared" si="4"/>
        <v>2</v>
      </c>
      <c r="AA774" s="127" t="str">
        <f t="shared" si="5"/>
        <v>Bajo</v>
      </c>
      <c r="AB774" s="128">
        <f t="shared" si="6"/>
        <v>3</v>
      </c>
      <c r="AC774" s="129">
        <f t="shared" si="7"/>
        <v>0.04</v>
      </c>
    </row>
    <row r="775" ht="14.25" hidden="1" customHeight="1">
      <c r="A775" s="116" t="s">
        <v>300</v>
      </c>
      <c r="B775" s="117" t="s">
        <v>300</v>
      </c>
      <c r="C775" s="117" t="s">
        <v>2543</v>
      </c>
      <c r="D775" s="117" t="s">
        <v>2547</v>
      </c>
      <c r="E775" s="117" t="s">
        <v>2543</v>
      </c>
      <c r="F775" s="117" t="s">
        <v>2545</v>
      </c>
      <c r="G775" s="117" t="s">
        <v>2540</v>
      </c>
      <c r="H775" s="117" t="s">
        <v>2546</v>
      </c>
      <c r="I775" s="117">
        <v>2.0</v>
      </c>
      <c r="J775" s="117">
        <v>1.0</v>
      </c>
      <c r="K775" s="117" t="str">
        <f t="shared" si="1"/>
        <v>Si</v>
      </c>
      <c r="L775" s="118" t="s">
        <v>287</v>
      </c>
      <c r="M775" s="119">
        <v>2.0</v>
      </c>
      <c r="N775" s="120">
        <v>0.0</v>
      </c>
      <c r="O775" s="121">
        <v>91.32</v>
      </c>
      <c r="P775" s="117">
        <v>1.0</v>
      </c>
      <c r="Q775" s="117">
        <f t="shared" si="2"/>
        <v>0</v>
      </c>
      <c r="R775" s="122">
        <f>+(IF(((M775*24)-P775)&lt;0,0,((M775*24)-P775)*'Estimación de pérdidas'!$F$72))*N775</f>
        <v>0</v>
      </c>
      <c r="S775" s="123" t="s">
        <v>117</v>
      </c>
      <c r="T775" s="124" t="s">
        <v>132</v>
      </c>
      <c r="U775" s="124">
        <f t="shared" si="3"/>
        <v>1</v>
      </c>
      <c r="V775" s="124">
        <v>2.0</v>
      </c>
      <c r="W775" s="124"/>
      <c r="X775" s="125"/>
      <c r="Y775" s="126"/>
      <c r="Z775" s="125">
        <f t="shared" si="4"/>
        <v>2</v>
      </c>
      <c r="AA775" s="127" t="str">
        <f t="shared" si="5"/>
        <v>Bajo</v>
      </c>
      <c r="AB775" s="128">
        <f t="shared" si="6"/>
        <v>3</v>
      </c>
      <c r="AC775" s="129">
        <f t="shared" si="7"/>
        <v>0.04</v>
      </c>
    </row>
    <row r="776" ht="14.25" hidden="1" customHeight="1">
      <c r="A776" s="116" t="s">
        <v>539</v>
      </c>
      <c r="B776" s="117" t="s">
        <v>539</v>
      </c>
      <c r="C776" s="117" t="s">
        <v>2537</v>
      </c>
      <c r="D776" s="117" t="s">
        <v>2548</v>
      </c>
      <c r="E776" s="117" t="s">
        <v>2537</v>
      </c>
      <c r="F776" s="117" t="s">
        <v>2549</v>
      </c>
      <c r="G776" s="117" t="s">
        <v>2540</v>
      </c>
      <c r="H776" s="117" t="s">
        <v>1979</v>
      </c>
      <c r="I776" s="117">
        <v>2.0</v>
      </c>
      <c r="J776" s="117">
        <v>1.0</v>
      </c>
      <c r="K776" s="117" t="str">
        <f t="shared" si="1"/>
        <v>Si</v>
      </c>
      <c r="L776" s="118" t="s">
        <v>287</v>
      </c>
      <c r="M776" s="119">
        <v>2.0</v>
      </c>
      <c r="N776" s="120">
        <v>0.0</v>
      </c>
      <c r="O776" s="121">
        <v>91.32</v>
      </c>
      <c r="P776" s="117">
        <v>1.0</v>
      </c>
      <c r="Q776" s="117">
        <f t="shared" si="2"/>
        <v>0</v>
      </c>
      <c r="R776" s="122">
        <f>+(IF(((M776*24)-P776)&lt;0,0,((M776*24)-P776)*'Estimación de pérdidas'!$F$72))*N776</f>
        <v>0</v>
      </c>
      <c r="S776" s="123" t="s">
        <v>117</v>
      </c>
      <c r="T776" s="124" t="s">
        <v>132</v>
      </c>
      <c r="U776" s="124">
        <f t="shared" si="3"/>
        <v>1</v>
      </c>
      <c r="V776" s="124">
        <v>2.0</v>
      </c>
      <c r="W776" s="124"/>
      <c r="X776" s="125"/>
      <c r="Y776" s="126"/>
      <c r="Z776" s="125">
        <f t="shared" si="4"/>
        <v>2</v>
      </c>
      <c r="AA776" s="127" t="str">
        <f t="shared" si="5"/>
        <v>Bajo</v>
      </c>
      <c r="AB776" s="128">
        <f t="shared" si="6"/>
        <v>3</v>
      </c>
      <c r="AC776" s="129">
        <f t="shared" si="7"/>
        <v>0.04</v>
      </c>
    </row>
    <row r="777" ht="14.25" hidden="1" customHeight="1">
      <c r="A777" s="116" t="s">
        <v>539</v>
      </c>
      <c r="B777" s="117" t="s">
        <v>539</v>
      </c>
      <c r="C777" s="117" t="s">
        <v>2537</v>
      </c>
      <c r="D777" s="117" t="s">
        <v>2550</v>
      </c>
      <c r="E777" s="117" t="s">
        <v>2537</v>
      </c>
      <c r="F777" s="117" t="s">
        <v>2549</v>
      </c>
      <c r="G777" s="117" t="s">
        <v>2540</v>
      </c>
      <c r="H777" s="117" t="s">
        <v>1979</v>
      </c>
      <c r="I777" s="117">
        <v>2.0</v>
      </c>
      <c r="J777" s="117">
        <v>1.0</v>
      </c>
      <c r="K777" s="117" t="str">
        <f t="shared" si="1"/>
        <v>Si</v>
      </c>
      <c r="L777" s="118" t="s">
        <v>287</v>
      </c>
      <c r="M777" s="119">
        <v>2.0</v>
      </c>
      <c r="N777" s="120">
        <v>0.0</v>
      </c>
      <c r="O777" s="121">
        <v>91.32</v>
      </c>
      <c r="P777" s="117">
        <v>1.0</v>
      </c>
      <c r="Q777" s="117">
        <f t="shared" si="2"/>
        <v>0</v>
      </c>
      <c r="R777" s="122">
        <f>+(IF(((M777*24)-P777)&lt;0,0,((M777*24)-P777)*'Estimación de pérdidas'!$F$72))*N777</f>
        <v>0</v>
      </c>
      <c r="S777" s="123" t="s">
        <v>117</v>
      </c>
      <c r="T777" s="124" t="s">
        <v>132</v>
      </c>
      <c r="U777" s="124">
        <f t="shared" si="3"/>
        <v>1</v>
      </c>
      <c r="V777" s="124">
        <v>2.0</v>
      </c>
      <c r="W777" s="124"/>
      <c r="X777" s="125"/>
      <c r="Y777" s="126"/>
      <c r="Z777" s="125">
        <f t="shared" si="4"/>
        <v>2</v>
      </c>
      <c r="AA777" s="127" t="str">
        <f t="shared" si="5"/>
        <v>Bajo</v>
      </c>
      <c r="AB777" s="128">
        <f t="shared" si="6"/>
        <v>3</v>
      </c>
      <c r="AC777" s="129">
        <f t="shared" si="7"/>
        <v>0.04</v>
      </c>
    </row>
    <row r="778" ht="14.25" hidden="1" customHeight="1">
      <c r="A778" s="116" t="s">
        <v>1345</v>
      </c>
      <c r="B778" s="117" t="s">
        <v>1345</v>
      </c>
      <c r="C778" s="117" t="s">
        <v>2537</v>
      </c>
      <c r="D778" s="117" t="s">
        <v>2551</v>
      </c>
      <c r="E778" s="117" t="s">
        <v>2537</v>
      </c>
      <c r="F778" s="117" t="s">
        <v>2552</v>
      </c>
      <c r="G778" s="117" t="s">
        <v>2540</v>
      </c>
      <c r="H778" s="117" t="s">
        <v>1979</v>
      </c>
      <c r="I778" s="117">
        <v>2.0</v>
      </c>
      <c r="J778" s="117">
        <v>1.0</v>
      </c>
      <c r="K778" s="117" t="str">
        <f t="shared" si="1"/>
        <v>Si</v>
      </c>
      <c r="L778" s="118" t="s">
        <v>287</v>
      </c>
      <c r="M778" s="119">
        <v>2.0</v>
      </c>
      <c r="N778" s="120">
        <v>0.0</v>
      </c>
      <c r="O778" s="121">
        <v>91.32</v>
      </c>
      <c r="P778" s="117">
        <v>1.0</v>
      </c>
      <c r="Q778" s="117">
        <f t="shared" si="2"/>
        <v>0</v>
      </c>
      <c r="R778" s="122">
        <f>+(IF(((M778*24)-P778)&lt;0,0,((M778*24)-P778)*'Estimación de pérdidas'!$F$72))*N778</f>
        <v>0</v>
      </c>
      <c r="S778" s="123" t="s">
        <v>117</v>
      </c>
      <c r="T778" s="124" t="s">
        <v>132</v>
      </c>
      <c r="U778" s="124">
        <f t="shared" si="3"/>
        <v>1</v>
      </c>
      <c r="V778" s="124">
        <v>2.0</v>
      </c>
      <c r="W778" s="124"/>
      <c r="X778" s="125"/>
      <c r="Y778" s="126"/>
      <c r="Z778" s="125">
        <f t="shared" si="4"/>
        <v>2</v>
      </c>
      <c r="AA778" s="127" t="str">
        <f t="shared" si="5"/>
        <v>Bajo</v>
      </c>
      <c r="AB778" s="128">
        <f t="shared" si="6"/>
        <v>3</v>
      </c>
      <c r="AC778" s="129">
        <f t="shared" si="7"/>
        <v>0.04</v>
      </c>
    </row>
    <row r="779" ht="14.25" hidden="1" customHeight="1">
      <c r="A779" s="116" t="s">
        <v>1345</v>
      </c>
      <c r="B779" s="117" t="s">
        <v>1345</v>
      </c>
      <c r="C779" s="117" t="s">
        <v>2537</v>
      </c>
      <c r="D779" s="117" t="s">
        <v>2553</v>
      </c>
      <c r="E779" s="117" t="s">
        <v>2537</v>
      </c>
      <c r="F779" s="117" t="s">
        <v>2552</v>
      </c>
      <c r="G779" s="117" t="s">
        <v>2540</v>
      </c>
      <c r="H779" s="117" t="s">
        <v>1979</v>
      </c>
      <c r="I779" s="117">
        <v>2.0</v>
      </c>
      <c r="J779" s="117">
        <v>1.0</v>
      </c>
      <c r="K779" s="117" t="str">
        <f t="shared" si="1"/>
        <v>Si</v>
      </c>
      <c r="L779" s="118" t="s">
        <v>287</v>
      </c>
      <c r="M779" s="119">
        <v>2.0</v>
      </c>
      <c r="N779" s="120">
        <v>0.0</v>
      </c>
      <c r="O779" s="121">
        <v>91.32</v>
      </c>
      <c r="P779" s="117">
        <v>1.0</v>
      </c>
      <c r="Q779" s="117">
        <f t="shared" si="2"/>
        <v>0</v>
      </c>
      <c r="R779" s="122">
        <f>+(IF(((M779*24)-P779)&lt;0,0,((M779*24)-P779)*'Estimación de pérdidas'!$F$72))*N779</f>
        <v>0</v>
      </c>
      <c r="S779" s="123" t="s">
        <v>117</v>
      </c>
      <c r="T779" s="124" t="s">
        <v>132</v>
      </c>
      <c r="U779" s="124">
        <f t="shared" si="3"/>
        <v>1</v>
      </c>
      <c r="V779" s="124">
        <v>2.0</v>
      </c>
      <c r="W779" s="124"/>
      <c r="X779" s="125"/>
      <c r="Y779" s="126"/>
      <c r="Z779" s="125">
        <f t="shared" si="4"/>
        <v>2</v>
      </c>
      <c r="AA779" s="127" t="str">
        <f t="shared" si="5"/>
        <v>Bajo</v>
      </c>
      <c r="AB779" s="128">
        <f t="shared" si="6"/>
        <v>3</v>
      </c>
      <c r="AC779" s="129">
        <f t="shared" si="7"/>
        <v>0.04</v>
      </c>
    </row>
    <row r="780" ht="14.25" hidden="1" customHeight="1">
      <c r="A780" s="116" t="s">
        <v>1894</v>
      </c>
      <c r="B780" s="117" t="s">
        <v>1894</v>
      </c>
      <c r="C780" s="117" t="s">
        <v>2537</v>
      </c>
      <c r="D780" s="117" t="s">
        <v>2554</v>
      </c>
      <c r="E780" s="117" t="s">
        <v>2537</v>
      </c>
      <c r="F780" s="117" t="s">
        <v>2555</v>
      </c>
      <c r="G780" s="117" t="s">
        <v>2540</v>
      </c>
      <c r="H780" s="117" t="s">
        <v>1984</v>
      </c>
      <c r="I780" s="117">
        <v>1.0</v>
      </c>
      <c r="J780" s="117">
        <v>1.0</v>
      </c>
      <c r="K780" s="117" t="str">
        <f t="shared" si="1"/>
        <v>No</v>
      </c>
      <c r="L780" s="118" t="s">
        <v>116</v>
      </c>
      <c r="M780" s="119">
        <v>2.0</v>
      </c>
      <c r="N780" s="120">
        <v>1.0</v>
      </c>
      <c r="O780" s="121">
        <v>91.32</v>
      </c>
      <c r="P780" s="117">
        <v>1.0</v>
      </c>
      <c r="Q780" s="117">
        <f t="shared" si="2"/>
        <v>47</v>
      </c>
      <c r="R780" s="122">
        <f>+(IF(((M780*24)-P780)&lt;0,0,((M780*24)-P780)*'Estimación de pérdidas'!$F$72))*N780</f>
        <v>2710869.521</v>
      </c>
      <c r="S780" s="123" t="s">
        <v>117</v>
      </c>
      <c r="T780" s="124" t="s">
        <v>132</v>
      </c>
      <c r="U780" s="124">
        <f t="shared" si="3"/>
        <v>5</v>
      </c>
      <c r="V780" s="124">
        <v>2.0</v>
      </c>
      <c r="W780" s="124"/>
      <c r="X780" s="125"/>
      <c r="Y780" s="126"/>
      <c r="Z780" s="125">
        <f t="shared" si="4"/>
        <v>5</v>
      </c>
      <c r="AA780" s="127" t="str">
        <f t="shared" si="5"/>
        <v>Moderado</v>
      </c>
      <c r="AB780" s="128">
        <f t="shared" si="6"/>
        <v>15</v>
      </c>
      <c r="AC780" s="129">
        <f t="shared" si="7"/>
        <v>0.09633275663</v>
      </c>
      <c r="AD780" s="131"/>
    </row>
    <row r="781" ht="14.25" hidden="1" customHeight="1">
      <c r="A781" s="116" t="s">
        <v>1894</v>
      </c>
      <c r="B781" s="117" t="s">
        <v>1894</v>
      </c>
      <c r="C781" s="117" t="s">
        <v>2537</v>
      </c>
      <c r="D781" s="117" t="s">
        <v>2556</v>
      </c>
      <c r="E781" s="117" t="s">
        <v>2537</v>
      </c>
      <c r="F781" s="117" t="s">
        <v>2557</v>
      </c>
      <c r="G781" s="117" t="s">
        <v>2540</v>
      </c>
      <c r="H781" s="117" t="s">
        <v>1984</v>
      </c>
      <c r="I781" s="117">
        <v>1.0</v>
      </c>
      <c r="J781" s="117">
        <v>1.0</v>
      </c>
      <c r="K781" s="117" t="str">
        <f t="shared" si="1"/>
        <v>No</v>
      </c>
      <c r="L781" s="118" t="s">
        <v>116</v>
      </c>
      <c r="M781" s="119">
        <v>2.0</v>
      </c>
      <c r="N781" s="120">
        <v>1.0</v>
      </c>
      <c r="O781" s="121">
        <v>91.32</v>
      </c>
      <c r="P781" s="117">
        <v>1.0</v>
      </c>
      <c r="Q781" s="117">
        <f t="shared" si="2"/>
        <v>47</v>
      </c>
      <c r="R781" s="122">
        <f>+(IF(((M781*24)-P781)&lt;0,0,((M781*24)-P781)*'Estimación de pérdidas'!$F$72))*N781</f>
        <v>2710869.521</v>
      </c>
      <c r="S781" s="123" t="s">
        <v>117</v>
      </c>
      <c r="T781" s="124" t="s">
        <v>132</v>
      </c>
      <c r="U781" s="124">
        <f t="shared" si="3"/>
        <v>5</v>
      </c>
      <c r="V781" s="124">
        <v>2.0</v>
      </c>
      <c r="W781" s="124"/>
      <c r="X781" s="125"/>
      <c r="Y781" s="126"/>
      <c r="Z781" s="125">
        <f t="shared" si="4"/>
        <v>5</v>
      </c>
      <c r="AA781" s="127" t="str">
        <f t="shared" si="5"/>
        <v>Moderado</v>
      </c>
      <c r="AB781" s="128">
        <f t="shared" si="6"/>
        <v>15</v>
      </c>
      <c r="AC781" s="129">
        <f t="shared" si="7"/>
        <v>0.09633275663</v>
      </c>
      <c r="AD781" s="131"/>
    </row>
    <row r="782" ht="14.25" hidden="1" customHeight="1">
      <c r="A782" s="116" t="s">
        <v>1969</v>
      </c>
      <c r="B782" s="117" t="s">
        <v>1969</v>
      </c>
      <c r="C782" s="117" t="s">
        <v>2558</v>
      </c>
      <c r="D782" s="117" t="s">
        <v>2559</v>
      </c>
      <c r="E782" s="117" t="s">
        <v>2560</v>
      </c>
      <c r="F782" s="117" t="s">
        <v>2561</v>
      </c>
      <c r="G782" s="117" t="s">
        <v>114</v>
      </c>
      <c r="H782" s="117" t="s">
        <v>2562</v>
      </c>
      <c r="I782" s="117">
        <v>1.0</v>
      </c>
      <c r="J782" s="117">
        <v>1.0</v>
      </c>
      <c r="K782" s="117" t="str">
        <f t="shared" si="1"/>
        <v>No</v>
      </c>
      <c r="L782" s="118" t="s">
        <v>116</v>
      </c>
      <c r="M782" s="119">
        <v>0.5</v>
      </c>
      <c r="N782" s="120">
        <v>0.0</v>
      </c>
      <c r="O782" s="121"/>
      <c r="P782" s="117">
        <v>0.0</v>
      </c>
      <c r="Q782" s="117">
        <f t="shared" si="2"/>
        <v>0</v>
      </c>
      <c r="R782" s="122">
        <f>+(IF(((M782*24)-P782)&lt;0,0,((M782*24)-P782)*'Estimación de pérdidas'!$F$72))*N782</f>
        <v>0</v>
      </c>
      <c r="S782" s="123" t="s">
        <v>117</v>
      </c>
      <c r="T782" s="124" t="s">
        <v>118</v>
      </c>
      <c r="U782" s="124">
        <f t="shared" si="3"/>
        <v>1</v>
      </c>
      <c r="V782" s="124">
        <v>2.0</v>
      </c>
      <c r="W782" s="124"/>
      <c r="X782" s="125"/>
      <c r="Y782" s="126"/>
      <c r="Z782" s="125">
        <f t="shared" si="4"/>
        <v>2</v>
      </c>
      <c r="AA782" s="127" t="str">
        <f t="shared" si="5"/>
        <v>Bajo</v>
      </c>
      <c r="AB782" s="128">
        <f t="shared" si="6"/>
        <v>5</v>
      </c>
      <c r="AC782" s="129">
        <f t="shared" si="7"/>
        <v>0.08</v>
      </c>
    </row>
    <row r="783" ht="14.25" hidden="1" customHeight="1">
      <c r="A783" s="116" t="s">
        <v>1969</v>
      </c>
      <c r="B783" s="117" t="s">
        <v>1969</v>
      </c>
      <c r="C783" s="117" t="s">
        <v>2558</v>
      </c>
      <c r="D783" s="117" t="s">
        <v>2563</v>
      </c>
      <c r="E783" s="117" t="s">
        <v>2560</v>
      </c>
      <c r="F783" s="117" t="s">
        <v>2564</v>
      </c>
      <c r="G783" s="117" t="s">
        <v>114</v>
      </c>
      <c r="H783" s="117" t="s">
        <v>2562</v>
      </c>
      <c r="I783" s="117">
        <v>1.0</v>
      </c>
      <c r="J783" s="117">
        <v>1.0</v>
      </c>
      <c r="K783" s="117" t="str">
        <f t="shared" si="1"/>
        <v>No</v>
      </c>
      <c r="L783" s="118" t="s">
        <v>116</v>
      </c>
      <c r="M783" s="119">
        <v>0.5</v>
      </c>
      <c r="N783" s="120">
        <v>0.0</v>
      </c>
      <c r="O783" s="121"/>
      <c r="P783" s="117">
        <v>0.0</v>
      </c>
      <c r="Q783" s="117">
        <f t="shared" si="2"/>
        <v>0</v>
      </c>
      <c r="R783" s="122">
        <f>+(IF(((M783*24)-P783)&lt;0,0,((M783*24)-P783)*'Estimación de pérdidas'!$F$72))*N783</f>
        <v>0</v>
      </c>
      <c r="S783" s="123" t="s">
        <v>117</v>
      </c>
      <c r="T783" s="124" t="s">
        <v>118</v>
      </c>
      <c r="U783" s="124">
        <f t="shared" si="3"/>
        <v>1</v>
      </c>
      <c r="V783" s="124">
        <v>2.0</v>
      </c>
      <c r="W783" s="124"/>
      <c r="X783" s="125"/>
      <c r="Y783" s="126"/>
      <c r="Z783" s="125">
        <f t="shared" si="4"/>
        <v>2</v>
      </c>
      <c r="AA783" s="127" t="str">
        <f t="shared" si="5"/>
        <v>Bajo</v>
      </c>
      <c r="AB783" s="128">
        <f t="shared" si="6"/>
        <v>5</v>
      </c>
      <c r="AC783" s="129">
        <f t="shared" si="7"/>
        <v>0.08</v>
      </c>
    </row>
    <row r="784" ht="14.25" hidden="1" customHeight="1">
      <c r="A784" s="116" t="s">
        <v>1969</v>
      </c>
      <c r="B784" s="117" t="s">
        <v>1969</v>
      </c>
      <c r="C784" s="117" t="s">
        <v>2565</v>
      </c>
      <c r="D784" s="117" t="s">
        <v>2566</v>
      </c>
      <c r="E784" s="117" t="s">
        <v>2567</v>
      </c>
      <c r="F784" s="117" t="s">
        <v>2568</v>
      </c>
      <c r="G784" s="117" t="s">
        <v>188</v>
      </c>
      <c r="H784" s="117" t="s">
        <v>606</v>
      </c>
      <c r="I784" s="117">
        <v>1.0</v>
      </c>
      <c r="J784" s="117">
        <v>1.0</v>
      </c>
      <c r="K784" s="117" t="str">
        <f t="shared" si="1"/>
        <v>No</v>
      </c>
      <c r="L784" s="118" t="s">
        <v>116</v>
      </c>
      <c r="M784" s="119">
        <v>0.5</v>
      </c>
      <c r="N784" s="120">
        <v>0.0</v>
      </c>
      <c r="O784" s="121"/>
      <c r="P784" s="117">
        <v>0.0</v>
      </c>
      <c r="Q784" s="117">
        <f t="shared" si="2"/>
        <v>0</v>
      </c>
      <c r="R784" s="122">
        <f>+(IF(((M784*24)-P784)&lt;0,0,((M784*24)-P784)*'Estimación de pérdidas'!$F$72))*N784</f>
        <v>0</v>
      </c>
      <c r="S784" s="123" t="s">
        <v>117</v>
      </c>
      <c r="T784" s="124" t="s">
        <v>118</v>
      </c>
      <c r="U784" s="124">
        <f t="shared" si="3"/>
        <v>1</v>
      </c>
      <c r="V784" s="124">
        <v>2.0</v>
      </c>
      <c r="W784" s="124">
        <v>4.0</v>
      </c>
      <c r="X784" s="125"/>
      <c r="Y784" s="126"/>
      <c r="Z784" s="125">
        <f t="shared" si="4"/>
        <v>4</v>
      </c>
      <c r="AA784" s="127" t="str">
        <f t="shared" si="5"/>
        <v>Moderado</v>
      </c>
      <c r="AB784" s="128">
        <f t="shared" si="6"/>
        <v>14</v>
      </c>
      <c r="AC784" s="129">
        <f t="shared" si="7"/>
        <v>0.1639512123</v>
      </c>
      <c r="AD784" s="130"/>
    </row>
    <row r="785" ht="14.25" hidden="1" customHeight="1">
      <c r="A785" s="116" t="s">
        <v>1969</v>
      </c>
      <c r="B785" s="117" t="s">
        <v>1969</v>
      </c>
      <c r="C785" s="117" t="s">
        <v>2569</v>
      </c>
      <c r="D785" s="117" t="s">
        <v>2570</v>
      </c>
      <c r="E785" s="117" t="s">
        <v>1546</v>
      </c>
      <c r="F785" s="117" t="s">
        <v>2571</v>
      </c>
      <c r="G785" s="117" t="s">
        <v>197</v>
      </c>
      <c r="H785" s="117" t="s">
        <v>1548</v>
      </c>
      <c r="I785" s="117">
        <v>1.0</v>
      </c>
      <c r="J785" s="117">
        <v>1.0</v>
      </c>
      <c r="K785" s="117" t="str">
        <f t="shared" si="1"/>
        <v>No</v>
      </c>
      <c r="L785" s="118" t="s">
        <v>116</v>
      </c>
      <c r="M785" s="119">
        <v>1.0</v>
      </c>
      <c r="N785" s="120">
        <v>0.0</v>
      </c>
      <c r="O785" s="121"/>
      <c r="P785" s="117">
        <v>0.0</v>
      </c>
      <c r="Q785" s="117">
        <f t="shared" si="2"/>
        <v>0</v>
      </c>
      <c r="R785" s="122">
        <f>+(IF(((M785*24)-P785)&lt;0,0,((M785*24)-P785)*'Estimación de pérdidas'!$F$72))*N785</f>
        <v>0</v>
      </c>
      <c r="S785" s="123" t="s">
        <v>117</v>
      </c>
      <c r="T785" s="124" t="s">
        <v>119</v>
      </c>
      <c r="U785" s="124">
        <f t="shared" si="3"/>
        <v>1</v>
      </c>
      <c r="V785" s="124">
        <v>2.0</v>
      </c>
      <c r="W785" s="124"/>
      <c r="X785" s="125"/>
      <c r="Y785" s="126"/>
      <c r="Z785" s="125">
        <f t="shared" si="4"/>
        <v>2</v>
      </c>
      <c r="AA785" s="127" t="str">
        <f t="shared" si="5"/>
        <v>Moderado</v>
      </c>
      <c r="AB785" s="128">
        <f t="shared" si="6"/>
        <v>8</v>
      </c>
      <c r="AC785" s="129">
        <f t="shared" si="7"/>
        <v>0.12</v>
      </c>
      <c r="AD785" s="131"/>
    </row>
    <row r="786" ht="14.25" hidden="1" customHeight="1">
      <c r="A786" s="116" t="s">
        <v>1969</v>
      </c>
      <c r="B786" s="117" t="s">
        <v>1969</v>
      </c>
      <c r="C786" s="117" t="s">
        <v>2569</v>
      </c>
      <c r="D786" s="117" t="s">
        <v>2572</v>
      </c>
      <c r="E786" s="117" t="s">
        <v>1546</v>
      </c>
      <c r="F786" s="117" t="s">
        <v>2573</v>
      </c>
      <c r="G786" s="117" t="s">
        <v>197</v>
      </c>
      <c r="H786" s="117" t="s">
        <v>1548</v>
      </c>
      <c r="I786" s="117">
        <v>1.0</v>
      </c>
      <c r="J786" s="117">
        <v>1.0</v>
      </c>
      <c r="K786" s="117" t="str">
        <f t="shared" si="1"/>
        <v>No</v>
      </c>
      <c r="L786" s="118" t="s">
        <v>116</v>
      </c>
      <c r="M786" s="119">
        <v>1.0</v>
      </c>
      <c r="N786" s="120">
        <v>0.0</v>
      </c>
      <c r="O786" s="121"/>
      <c r="P786" s="117">
        <v>0.0</v>
      </c>
      <c r="Q786" s="117">
        <f t="shared" si="2"/>
        <v>0</v>
      </c>
      <c r="R786" s="122">
        <f>+(IF(((M786*24)-P786)&lt;0,0,((M786*24)-P786)*'Estimación de pérdidas'!$F$72))*N786</f>
        <v>0</v>
      </c>
      <c r="S786" s="123" t="s">
        <v>117</v>
      </c>
      <c r="T786" s="124" t="s">
        <v>119</v>
      </c>
      <c r="U786" s="124">
        <f t="shared" si="3"/>
        <v>1</v>
      </c>
      <c r="V786" s="124">
        <v>2.0</v>
      </c>
      <c r="W786" s="124"/>
      <c r="X786" s="125"/>
      <c r="Y786" s="126"/>
      <c r="Z786" s="125">
        <f t="shared" si="4"/>
        <v>2</v>
      </c>
      <c r="AA786" s="127" t="str">
        <f t="shared" si="5"/>
        <v>Moderado</v>
      </c>
      <c r="AB786" s="128">
        <f t="shared" si="6"/>
        <v>8</v>
      </c>
      <c r="AC786" s="129">
        <f t="shared" si="7"/>
        <v>0.12</v>
      </c>
      <c r="AD786" s="131"/>
    </row>
    <row r="787" ht="14.25" hidden="1" customHeight="1">
      <c r="A787" s="116" t="s">
        <v>1969</v>
      </c>
      <c r="B787" s="117" t="s">
        <v>1969</v>
      </c>
      <c r="C787" s="117" t="s">
        <v>1910</v>
      </c>
      <c r="D787" s="117" t="s">
        <v>2574</v>
      </c>
      <c r="E787" s="117" t="s">
        <v>2575</v>
      </c>
      <c r="F787" s="117" t="s">
        <v>2576</v>
      </c>
      <c r="G787" s="117" t="s">
        <v>1914</v>
      </c>
      <c r="H787" s="117" t="s">
        <v>2577</v>
      </c>
      <c r="I787" s="117">
        <v>1.0</v>
      </c>
      <c r="J787" s="117">
        <v>1.0</v>
      </c>
      <c r="K787" s="117" t="str">
        <f t="shared" si="1"/>
        <v>No</v>
      </c>
      <c r="L787" s="118" t="s">
        <v>116</v>
      </c>
      <c r="M787" s="119">
        <v>0.3333333333333333</v>
      </c>
      <c r="N787" s="120">
        <v>0.0</v>
      </c>
      <c r="O787" s="121">
        <v>91.32</v>
      </c>
      <c r="P787" s="117">
        <v>1.0</v>
      </c>
      <c r="Q787" s="117">
        <f t="shared" si="2"/>
        <v>0</v>
      </c>
      <c r="R787" s="122">
        <f>+(IF(((M787*24)-P787)&lt;0,0,((M787*24)-P787)*'Estimación de pérdidas'!$F$72))*N787</f>
        <v>0</v>
      </c>
      <c r="S787" s="123" t="s">
        <v>117</v>
      </c>
      <c r="T787" s="124" t="s">
        <v>119</v>
      </c>
      <c r="U787" s="124">
        <f t="shared" si="3"/>
        <v>1</v>
      </c>
      <c r="V787" s="124">
        <v>2.0</v>
      </c>
      <c r="W787" s="124"/>
      <c r="X787" s="125"/>
      <c r="Y787" s="126"/>
      <c r="Z787" s="125">
        <f t="shared" si="4"/>
        <v>2</v>
      </c>
      <c r="AA787" s="127" t="str">
        <f t="shared" si="5"/>
        <v>Moderado</v>
      </c>
      <c r="AB787" s="128">
        <f t="shared" si="6"/>
        <v>8</v>
      </c>
      <c r="AC787" s="129">
        <f t="shared" si="7"/>
        <v>0.12</v>
      </c>
      <c r="AD787" s="131"/>
    </row>
    <row r="788" ht="14.25" hidden="1" customHeight="1">
      <c r="A788" s="116" t="s">
        <v>1969</v>
      </c>
      <c r="B788" s="117" t="s">
        <v>1969</v>
      </c>
      <c r="C788" s="117" t="s">
        <v>1910</v>
      </c>
      <c r="D788" s="117" t="s">
        <v>2578</v>
      </c>
      <c r="E788" s="117" t="s">
        <v>2575</v>
      </c>
      <c r="F788" s="117" t="s">
        <v>2576</v>
      </c>
      <c r="G788" s="117" t="s">
        <v>1914</v>
      </c>
      <c r="H788" s="117" t="s">
        <v>2577</v>
      </c>
      <c r="I788" s="117">
        <v>1.0</v>
      </c>
      <c r="J788" s="117">
        <v>1.0</v>
      </c>
      <c r="K788" s="117" t="str">
        <f t="shared" si="1"/>
        <v>No</v>
      </c>
      <c r="L788" s="118" t="s">
        <v>116</v>
      </c>
      <c r="M788" s="119">
        <v>0.3333333333333333</v>
      </c>
      <c r="N788" s="120">
        <v>0.0</v>
      </c>
      <c r="O788" s="121">
        <v>91.32</v>
      </c>
      <c r="P788" s="117">
        <v>1.0</v>
      </c>
      <c r="Q788" s="117">
        <f t="shared" si="2"/>
        <v>0</v>
      </c>
      <c r="R788" s="122">
        <f>+(IF(((M788*24)-P788)&lt;0,0,((M788*24)-P788)*'Estimación de pérdidas'!$F$72))*N788</f>
        <v>0</v>
      </c>
      <c r="S788" s="123" t="s">
        <v>117</v>
      </c>
      <c r="T788" s="124" t="s">
        <v>119</v>
      </c>
      <c r="U788" s="124">
        <f t="shared" si="3"/>
        <v>1</v>
      </c>
      <c r="V788" s="124">
        <v>2.0</v>
      </c>
      <c r="W788" s="124"/>
      <c r="X788" s="125"/>
      <c r="Y788" s="126"/>
      <c r="Z788" s="125">
        <f t="shared" si="4"/>
        <v>2</v>
      </c>
      <c r="AA788" s="127" t="str">
        <f t="shared" si="5"/>
        <v>Moderado</v>
      </c>
      <c r="AB788" s="128">
        <f t="shared" si="6"/>
        <v>8</v>
      </c>
      <c r="AC788" s="129">
        <f t="shared" si="7"/>
        <v>0.12</v>
      </c>
      <c r="AD788" s="131"/>
    </row>
    <row r="789" ht="14.25" hidden="1" customHeight="1">
      <c r="A789" s="116" t="s">
        <v>403</v>
      </c>
      <c r="B789" s="117" t="s">
        <v>1969</v>
      </c>
      <c r="C789" s="117" t="s">
        <v>2579</v>
      </c>
      <c r="D789" s="117" t="s">
        <v>2580</v>
      </c>
      <c r="E789" s="117" t="s">
        <v>2579</v>
      </c>
      <c r="F789" s="117" t="s">
        <v>2581</v>
      </c>
      <c r="G789" s="117" t="s">
        <v>2582</v>
      </c>
      <c r="H789" s="117" t="s">
        <v>2583</v>
      </c>
      <c r="I789" s="117">
        <v>1.0</v>
      </c>
      <c r="J789" s="117">
        <v>1.0</v>
      </c>
      <c r="K789" s="117" t="str">
        <f t="shared" si="1"/>
        <v>No</v>
      </c>
      <c r="L789" s="118" t="s">
        <v>116</v>
      </c>
      <c r="M789" s="119">
        <v>0.25</v>
      </c>
      <c r="N789" s="120">
        <v>0.0</v>
      </c>
      <c r="O789" s="121"/>
      <c r="P789" s="117">
        <v>0.0</v>
      </c>
      <c r="Q789" s="117">
        <f t="shared" si="2"/>
        <v>0</v>
      </c>
      <c r="R789" s="122">
        <f>+(IF(((M789*24)-P789)&lt;0,0,((M789*24)-P789)*'Estimación de pérdidas'!$F$72))*N789</f>
        <v>0</v>
      </c>
      <c r="S789" s="123" t="s">
        <v>272</v>
      </c>
      <c r="T789" s="124" t="s">
        <v>118</v>
      </c>
      <c r="U789" s="124">
        <f t="shared" si="3"/>
        <v>1</v>
      </c>
      <c r="V789" s="124">
        <v>1.0</v>
      </c>
      <c r="W789" s="124">
        <v>5.0</v>
      </c>
      <c r="X789" s="125"/>
      <c r="Y789" s="126"/>
      <c r="Z789" s="125">
        <f t="shared" si="4"/>
        <v>5</v>
      </c>
      <c r="AA789" s="127" t="str">
        <f t="shared" si="5"/>
        <v>Alto</v>
      </c>
      <c r="AB789" s="128">
        <f t="shared" si="6"/>
        <v>19</v>
      </c>
      <c r="AC789" s="129">
        <f t="shared" si="7"/>
        <v>0.1859032006</v>
      </c>
      <c r="AD789" s="130"/>
    </row>
    <row r="790" ht="14.25" hidden="1" customHeight="1">
      <c r="A790" s="116" t="s">
        <v>403</v>
      </c>
      <c r="B790" s="117" t="s">
        <v>1969</v>
      </c>
      <c r="C790" s="117" t="s">
        <v>2579</v>
      </c>
      <c r="D790" s="117" t="s">
        <v>2584</v>
      </c>
      <c r="E790" s="117" t="s">
        <v>2579</v>
      </c>
      <c r="F790" s="117" t="s">
        <v>2581</v>
      </c>
      <c r="G790" s="117" t="s">
        <v>2582</v>
      </c>
      <c r="H790" s="117" t="s">
        <v>2583</v>
      </c>
      <c r="I790" s="117">
        <v>1.0</v>
      </c>
      <c r="J790" s="117">
        <v>1.0</v>
      </c>
      <c r="K790" s="117" t="str">
        <f t="shared" si="1"/>
        <v>No</v>
      </c>
      <c r="L790" s="118" t="s">
        <v>116</v>
      </c>
      <c r="M790" s="119">
        <v>0.25</v>
      </c>
      <c r="N790" s="120">
        <v>0.0</v>
      </c>
      <c r="O790" s="121"/>
      <c r="P790" s="117">
        <v>0.0</v>
      </c>
      <c r="Q790" s="117">
        <f t="shared" si="2"/>
        <v>0</v>
      </c>
      <c r="R790" s="122">
        <f>+(IF(((M790*24)-P790)&lt;0,0,((M790*24)-P790)*'Estimación de pérdidas'!$F$72))*N790</f>
        <v>0</v>
      </c>
      <c r="S790" s="123" t="s">
        <v>272</v>
      </c>
      <c r="T790" s="124" t="s">
        <v>118</v>
      </c>
      <c r="U790" s="124">
        <f t="shared" si="3"/>
        <v>1</v>
      </c>
      <c r="V790" s="124">
        <v>2.0</v>
      </c>
      <c r="W790" s="124">
        <v>5.0</v>
      </c>
      <c r="X790" s="125"/>
      <c r="Y790" s="126"/>
      <c r="Z790" s="125">
        <f t="shared" si="4"/>
        <v>5</v>
      </c>
      <c r="AA790" s="127" t="str">
        <f t="shared" si="5"/>
        <v>Alto</v>
      </c>
      <c r="AB790" s="128">
        <f t="shared" si="6"/>
        <v>19</v>
      </c>
      <c r="AC790" s="129">
        <f t="shared" si="7"/>
        <v>0.1959591794</v>
      </c>
      <c r="AD790" s="130"/>
    </row>
    <row r="791" ht="14.25" hidden="1" customHeight="1">
      <c r="A791" s="116" t="s">
        <v>403</v>
      </c>
      <c r="B791" s="117" t="s">
        <v>1969</v>
      </c>
      <c r="C791" s="117" t="s">
        <v>2579</v>
      </c>
      <c r="D791" s="117" t="s">
        <v>2585</v>
      </c>
      <c r="E791" s="117" t="s">
        <v>2579</v>
      </c>
      <c r="F791" s="117" t="s">
        <v>2581</v>
      </c>
      <c r="G791" s="117" t="s">
        <v>2582</v>
      </c>
      <c r="H791" s="117" t="s">
        <v>2583</v>
      </c>
      <c r="I791" s="117">
        <v>1.0</v>
      </c>
      <c r="J791" s="117">
        <v>1.0</v>
      </c>
      <c r="K791" s="117" t="str">
        <f t="shared" si="1"/>
        <v>No</v>
      </c>
      <c r="L791" s="118" t="s">
        <v>116</v>
      </c>
      <c r="M791" s="119">
        <v>0.25</v>
      </c>
      <c r="N791" s="120">
        <v>0.0</v>
      </c>
      <c r="O791" s="121"/>
      <c r="P791" s="117">
        <v>0.0</v>
      </c>
      <c r="Q791" s="117">
        <f t="shared" si="2"/>
        <v>0</v>
      </c>
      <c r="R791" s="122">
        <f>+(IF(((M791*24)-P791)&lt;0,0,((M791*24)-P791)*'Estimación de pérdidas'!$F$72))*N791</f>
        <v>0</v>
      </c>
      <c r="S791" s="123" t="s">
        <v>272</v>
      </c>
      <c r="T791" s="124" t="s">
        <v>118</v>
      </c>
      <c r="U791" s="124">
        <f t="shared" si="3"/>
        <v>1</v>
      </c>
      <c r="V791" s="124">
        <v>2.0</v>
      </c>
      <c r="W791" s="124">
        <v>5.0</v>
      </c>
      <c r="X791" s="125"/>
      <c r="Y791" s="126"/>
      <c r="Z791" s="125">
        <f t="shared" si="4"/>
        <v>5</v>
      </c>
      <c r="AA791" s="127" t="str">
        <f t="shared" si="5"/>
        <v>Alto</v>
      </c>
      <c r="AB791" s="128">
        <f t="shared" si="6"/>
        <v>19</v>
      </c>
      <c r="AC791" s="129">
        <f t="shared" si="7"/>
        <v>0.1959591794</v>
      </c>
      <c r="AD791" s="130"/>
    </row>
    <row r="792" ht="14.25" hidden="1" customHeight="1">
      <c r="A792" s="116" t="s">
        <v>403</v>
      </c>
      <c r="B792" s="117" t="s">
        <v>1969</v>
      </c>
      <c r="C792" s="117" t="s">
        <v>2579</v>
      </c>
      <c r="D792" s="117" t="s">
        <v>2586</v>
      </c>
      <c r="E792" s="117" t="s">
        <v>2579</v>
      </c>
      <c r="F792" s="117" t="s">
        <v>2581</v>
      </c>
      <c r="G792" s="117" t="s">
        <v>2582</v>
      </c>
      <c r="H792" s="117" t="s">
        <v>2583</v>
      </c>
      <c r="I792" s="117">
        <v>1.0</v>
      </c>
      <c r="J792" s="117">
        <v>1.0</v>
      </c>
      <c r="K792" s="117" t="str">
        <f t="shared" si="1"/>
        <v>No</v>
      </c>
      <c r="L792" s="118" t="s">
        <v>116</v>
      </c>
      <c r="M792" s="119">
        <v>0.25</v>
      </c>
      <c r="N792" s="120">
        <v>0.0</v>
      </c>
      <c r="O792" s="121"/>
      <c r="P792" s="117">
        <v>0.0</v>
      </c>
      <c r="Q792" s="117">
        <f t="shared" si="2"/>
        <v>0</v>
      </c>
      <c r="R792" s="122">
        <f>+(IF(((M792*24)-P792)&lt;0,0,((M792*24)-P792)*'Estimación de pérdidas'!$F$72))*N792</f>
        <v>0</v>
      </c>
      <c r="S792" s="123" t="s">
        <v>272</v>
      </c>
      <c r="T792" s="124" t="s">
        <v>118</v>
      </c>
      <c r="U792" s="124">
        <f t="shared" si="3"/>
        <v>1</v>
      </c>
      <c r="V792" s="124">
        <v>2.0</v>
      </c>
      <c r="W792" s="124">
        <v>5.0</v>
      </c>
      <c r="X792" s="125"/>
      <c r="Y792" s="126"/>
      <c r="Z792" s="125">
        <f t="shared" si="4"/>
        <v>5</v>
      </c>
      <c r="AA792" s="127" t="str">
        <f t="shared" si="5"/>
        <v>Alto</v>
      </c>
      <c r="AB792" s="128">
        <f t="shared" si="6"/>
        <v>19</v>
      </c>
      <c r="AC792" s="129">
        <f t="shared" si="7"/>
        <v>0.1959591794</v>
      </c>
      <c r="AD792" s="130"/>
    </row>
    <row r="793" ht="14.25" hidden="1" customHeight="1">
      <c r="A793" s="116" t="s">
        <v>403</v>
      </c>
      <c r="B793" s="117" t="s">
        <v>1969</v>
      </c>
      <c r="C793" s="117" t="s">
        <v>2579</v>
      </c>
      <c r="D793" s="117" t="s">
        <v>2587</v>
      </c>
      <c r="E793" s="117" t="s">
        <v>2579</v>
      </c>
      <c r="F793" s="117" t="s">
        <v>2581</v>
      </c>
      <c r="G793" s="117" t="s">
        <v>2582</v>
      </c>
      <c r="H793" s="117" t="s">
        <v>2583</v>
      </c>
      <c r="I793" s="117">
        <v>1.0</v>
      </c>
      <c r="J793" s="117">
        <v>1.0</v>
      </c>
      <c r="K793" s="117" t="str">
        <f t="shared" si="1"/>
        <v>No</v>
      </c>
      <c r="L793" s="118" t="s">
        <v>116</v>
      </c>
      <c r="M793" s="119">
        <v>0.25</v>
      </c>
      <c r="N793" s="120">
        <v>0.0</v>
      </c>
      <c r="O793" s="121"/>
      <c r="P793" s="117">
        <v>0.0</v>
      </c>
      <c r="Q793" s="117">
        <f t="shared" si="2"/>
        <v>0</v>
      </c>
      <c r="R793" s="122">
        <f>+(IF(((M793*24)-P793)&lt;0,0,((M793*24)-P793)*'Estimación de pérdidas'!$F$72))*N793</f>
        <v>0</v>
      </c>
      <c r="S793" s="123" t="s">
        <v>272</v>
      </c>
      <c r="T793" s="124" t="s">
        <v>118</v>
      </c>
      <c r="U793" s="124">
        <f t="shared" si="3"/>
        <v>1</v>
      </c>
      <c r="V793" s="124">
        <v>2.0</v>
      </c>
      <c r="W793" s="124">
        <v>5.0</v>
      </c>
      <c r="X793" s="125"/>
      <c r="Y793" s="126"/>
      <c r="Z793" s="125">
        <f t="shared" si="4"/>
        <v>5</v>
      </c>
      <c r="AA793" s="127" t="str">
        <f t="shared" si="5"/>
        <v>Alto</v>
      </c>
      <c r="AB793" s="128">
        <f t="shared" si="6"/>
        <v>19</v>
      </c>
      <c r="AC793" s="129">
        <f t="shared" si="7"/>
        <v>0.1959591794</v>
      </c>
      <c r="AD793" s="130"/>
    </row>
    <row r="794" ht="14.25" hidden="1" customHeight="1">
      <c r="A794" s="116" t="s">
        <v>403</v>
      </c>
      <c r="B794" s="117" t="s">
        <v>1969</v>
      </c>
      <c r="C794" s="117" t="s">
        <v>2579</v>
      </c>
      <c r="D794" s="117" t="s">
        <v>2588</v>
      </c>
      <c r="E794" s="117" t="s">
        <v>2579</v>
      </c>
      <c r="F794" s="117" t="s">
        <v>2581</v>
      </c>
      <c r="G794" s="117" t="s">
        <v>2582</v>
      </c>
      <c r="H794" s="117" t="s">
        <v>2583</v>
      </c>
      <c r="I794" s="117">
        <v>1.0</v>
      </c>
      <c r="J794" s="117">
        <v>1.0</v>
      </c>
      <c r="K794" s="117" t="str">
        <f t="shared" si="1"/>
        <v>No</v>
      </c>
      <c r="L794" s="118" t="s">
        <v>116</v>
      </c>
      <c r="M794" s="119">
        <v>0.25</v>
      </c>
      <c r="N794" s="120">
        <v>0.0</v>
      </c>
      <c r="O794" s="121"/>
      <c r="P794" s="117">
        <v>0.0</v>
      </c>
      <c r="Q794" s="117">
        <f t="shared" si="2"/>
        <v>0</v>
      </c>
      <c r="R794" s="122">
        <f>+(IF(((M794*24)-P794)&lt;0,0,((M794*24)-P794)*'Estimación de pérdidas'!$F$72))*N794</f>
        <v>0</v>
      </c>
      <c r="S794" s="123" t="s">
        <v>272</v>
      </c>
      <c r="T794" s="124" t="s">
        <v>118</v>
      </c>
      <c r="U794" s="124">
        <f t="shared" si="3"/>
        <v>1</v>
      </c>
      <c r="V794" s="124">
        <v>2.0</v>
      </c>
      <c r="W794" s="124">
        <v>5.0</v>
      </c>
      <c r="X794" s="125"/>
      <c r="Y794" s="126"/>
      <c r="Z794" s="125">
        <f t="shared" si="4"/>
        <v>5</v>
      </c>
      <c r="AA794" s="127" t="str">
        <f t="shared" si="5"/>
        <v>Alto</v>
      </c>
      <c r="AB794" s="128">
        <f t="shared" si="6"/>
        <v>19</v>
      </c>
      <c r="AC794" s="129">
        <f t="shared" si="7"/>
        <v>0.1959591794</v>
      </c>
      <c r="AD794" s="130"/>
    </row>
    <row r="795" ht="14.25" hidden="1" customHeight="1">
      <c r="A795" s="116" t="s">
        <v>403</v>
      </c>
      <c r="B795" s="117" t="s">
        <v>1969</v>
      </c>
      <c r="C795" s="117" t="s">
        <v>526</v>
      </c>
      <c r="D795" s="117" t="s">
        <v>2589</v>
      </c>
      <c r="E795" s="117" t="s">
        <v>406</v>
      </c>
      <c r="F795" s="117" t="s">
        <v>907</v>
      </c>
      <c r="G795" s="117" t="s">
        <v>408</v>
      </c>
      <c r="H795" s="117" t="s">
        <v>908</v>
      </c>
      <c r="I795" s="117">
        <v>1.0</v>
      </c>
      <c r="J795" s="117">
        <v>1.0</v>
      </c>
      <c r="K795" s="117" t="str">
        <f t="shared" si="1"/>
        <v>No</v>
      </c>
      <c r="L795" s="118" t="s">
        <v>116</v>
      </c>
      <c r="M795" s="119">
        <v>0.3333333333333333</v>
      </c>
      <c r="N795" s="120">
        <v>0.0</v>
      </c>
      <c r="O795" s="121"/>
      <c r="P795" s="117">
        <v>0.0</v>
      </c>
      <c r="Q795" s="117">
        <f t="shared" si="2"/>
        <v>0</v>
      </c>
      <c r="R795" s="122">
        <f>+(IF(((M795*24)-P795)&lt;0,0,((M795*24)-P795)*'Estimación de pérdidas'!$F$72))*N795</f>
        <v>0</v>
      </c>
      <c r="S795" s="123" t="s">
        <v>272</v>
      </c>
      <c r="T795" s="124" t="s">
        <v>106</v>
      </c>
      <c r="U795" s="124">
        <f t="shared" si="3"/>
        <v>1</v>
      </c>
      <c r="V795" s="124">
        <v>1.0</v>
      </c>
      <c r="W795" s="124">
        <v>4.0</v>
      </c>
      <c r="X795" s="125"/>
      <c r="Y795" s="126"/>
      <c r="Z795" s="125">
        <f t="shared" si="4"/>
        <v>4</v>
      </c>
      <c r="AA795" s="127" t="str">
        <f t="shared" si="5"/>
        <v>Alto</v>
      </c>
      <c r="AB795" s="128">
        <f t="shared" si="6"/>
        <v>22</v>
      </c>
      <c r="AC795" s="129">
        <f t="shared" si="7"/>
        <v>0.3035786554</v>
      </c>
      <c r="AD795" s="130"/>
    </row>
    <row r="796" ht="14.25" hidden="1" customHeight="1">
      <c r="A796" s="116" t="s">
        <v>403</v>
      </c>
      <c r="B796" s="117" t="s">
        <v>1969</v>
      </c>
      <c r="C796" s="117" t="s">
        <v>526</v>
      </c>
      <c r="D796" s="117" t="s">
        <v>2590</v>
      </c>
      <c r="E796" s="117" t="s">
        <v>406</v>
      </c>
      <c r="F796" s="117" t="s">
        <v>907</v>
      </c>
      <c r="G796" s="117" t="s">
        <v>408</v>
      </c>
      <c r="H796" s="117" t="s">
        <v>908</v>
      </c>
      <c r="I796" s="117">
        <v>1.0</v>
      </c>
      <c r="J796" s="117">
        <v>1.0</v>
      </c>
      <c r="K796" s="117" t="str">
        <f t="shared" si="1"/>
        <v>No</v>
      </c>
      <c r="L796" s="118" t="s">
        <v>116</v>
      </c>
      <c r="M796" s="119">
        <v>0.3333333333333333</v>
      </c>
      <c r="N796" s="120">
        <v>0.0</v>
      </c>
      <c r="O796" s="121"/>
      <c r="P796" s="117">
        <v>0.0</v>
      </c>
      <c r="Q796" s="117">
        <f t="shared" si="2"/>
        <v>0</v>
      </c>
      <c r="R796" s="122">
        <f>+(IF(((M796*24)-P796)&lt;0,0,((M796*24)-P796)*'Estimación de pérdidas'!$F$72))*N796</f>
        <v>0</v>
      </c>
      <c r="S796" s="123" t="s">
        <v>272</v>
      </c>
      <c r="T796" s="124" t="s">
        <v>106</v>
      </c>
      <c r="U796" s="124">
        <f t="shared" si="3"/>
        <v>1</v>
      </c>
      <c r="V796" s="124">
        <v>1.0</v>
      </c>
      <c r="W796" s="124">
        <v>4.0</v>
      </c>
      <c r="X796" s="125"/>
      <c r="Y796" s="126"/>
      <c r="Z796" s="125">
        <f t="shared" si="4"/>
        <v>4</v>
      </c>
      <c r="AA796" s="127" t="str">
        <f t="shared" si="5"/>
        <v>Alto</v>
      </c>
      <c r="AB796" s="128">
        <f t="shared" si="6"/>
        <v>22</v>
      </c>
      <c r="AC796" s="129">
        <f t="shared" si="7"/>
        <v>0.3035786554</v>
      </c>
      <c r="AD796" s="130"/>
    </row>
    <row r="797" ht="14.25" hidden="1" customHeight="1">
      <c r="A797" s="116" t="s">
        <v>403</v>
      </c>
      <c r="B797" s="117" t="s">
        <v>1969</v>
      </c>
      <c r="C797" s="117" t="s">
        <v>2591</v>
      </c>
      <c r="D797" s="117" t="s">
        <v>2592</v>
      </c>
      <c r="E797" s="117" t="s">
        <v>2593</v>
      </c>
      <c r="F797" s="117" t="s">
        <v>2594</v>
      </c>
      <c r="G797" s="117" t="s">
        <v>2595</v>
      </c>
      <c r="H797" s="117" t="s">
        <v>2596</v>
      </c>
      <c r="I797" s="117">
        <v>1.0</v>
      </c>
      <c r="J797" s="117">
        <v>1.0</v>
      </c>
      <c r="K797" s="117" t="str">
        <f t="shared" si="1"/>
        <v>No</v>
      </c>
      <c r="L797" s="118" t="s">
        <v>116</v>
      </c>
      <c r="M797" s="119">
        <v>0.25</v>
      </c>
      <c r="N797" s="120">
        <v>0.0</v>
      </c>
      <c r="O797" s="121"/>
      <c r="P797" s="117">
        <v>0.0</v>
      </c>
      <c r="Q797" s="117">
        <f t="shared" si="2"/>
        <v>0</v>
      </c>
      <c r="R797" s="122">
        <f>+(IF(((M797*24)-P797)&lt;0,0,((M797*24)-P797)*'Estimación de pérdidas'!$F$72))*N797</f>
        <v>0</v>
      </c>
      <c r="S797" s="123" t="s">
        <v>272</v>
      </c>
      <c r="T797" s="124" t="s">
        <v>118</v>
      </c>
      <c r="U797" s="124">
        <f t="shared" si="3"/>
        <v>1</v>
      </c>
      <c r="V797" s="124">
        <v>1.0</v>
      </c>
      <c r="W797" s="124">
        <v>5.0</v>
      </c>
      <c r="X797" s="125"/>
      <c r="Y797" s="126"/>
      <c r="Z797" s="125">
        <f t="shared" si="4"/>
        <v>5</v>
      </c>
      <c r="AA797" s="127" t="str">
        <f t="shared" si="5"/>
        <v>Alto</v>
      </c>
      <c r="AB797" s="128">
        <f t="shared" si="6"/>
        <v>19</v>
      </c>
      <c r="AC797" s="129">
        <f t="shared" si="7"/>
        <v>0.1859032006</v>
      </c>
      <c r="AD797" s="130"/>
    </row>
    <row r="798" ht="14.25" hidden="1" customHeight="1">
      <c r="A798" s="116" t="s">
        <v>403</v>
      </c>
      <c r="B798" s="117" t="s">
        <v>1969</v>
      </c>
      <c r="C798" s="117" t="s">
        <v>2591</v>
      </c>
      <c r="D798" s="117" t="s">
        <v>2597</v>
      </c>
      <c r="E798" s="117" t="s">
        <v>2593</v>
      </c>
      <c r="F798" s="117" t="s">
        <v>2594</v>
      </c>
      <c r="G798" s="117" t="s">
        <v>2595</v>
      </c>
      <c r="H798" s="117" t="s">
        <v>2596</v>
      </c>
      <c r="I798" s="117">
        <v>1.0</v>
      </c>
      <c r="J798" s="117">
        <v>1.0</v>
      </c>
      <c r="K798" s="117" t="str">
        <f t="shared" si="1"/>
        <v>No</v>
      </c>
      <c r="L798" s="118" t="s">
        <v>116</v>
      </c>
      <c r="M798" s="119">
        <v>0.25</v>
      </c>
      <c r="N798" s="120">
        <v>0.0</v>
      </c>
      <c r="O798" s="121"/>
      <c r="P798" s="117">
        <v>0.0</v>
      </c>
      <c r="Q798" s="117">
        <f t="shared" si="2"/>
        <v>0</v>
      </c>
      <c r="R798" s="122">
        <f>+(IF(((M798*24)-P798)&lt;0,0,((M798*24)-P798)*'Estimación de pérdidas'!$F$72))*N798</f>
        <v>0</v>
      </c>
      <c r="S798" s="123" t="s">
        <v>272</v>
      </c>
      <c r="T798" s="124" t="s">
        <v>118</v>
      </c>
      <c r="U798" s="124">
        <f t="shared" si="3"/>
        <v>1</v>
      </c>
      <c r="V798" s="124">
        <v>1.0</v>
      </c>
      <c r="W798" s="124">
        <v>5.0</v>
      </c>
      <c r="X798" s="125"/>
      <c r="Y798" s="126"/>
      <c r="Z798" s="125">
        <f t="shared" si="4"/>
        <v>5</v>
      </c>
      <c r="AA798" s="127" t="str">
        <f t="shared" si="5"/>
        <v>Alto</v>
      </c>
      <c r="AB798" s="128">
        <f t="shared" si="6"/>
        <v>19</v>
      </c>
      <c r="AC798" s="129">
        <f t="shared" si="7"/>
        <v>0.1859032006</v>
      </c>
      <c r="AD798" s="130"/>
    </row>
    <row r="799" ht="14.25" hidden="1" customHeight="1">
      <c r="A799" s="116" t="s">
        <v>403</v>
      </c>
      <c r="B799" s="117" t="s">
        <v>1969</v>
      </c>
      <c r="C799" s="117" t="s">
        <v>2591</v>
      </c>
      <c r="D799" s="117" t="s">
        <v>2598</v>
      </c>
      <c r="E799" s="117" t="s">
        <v>2593</v>
      </c>
      <c r="F799" s="117" t="s">
        <v>2594</v>
      </c>
      <c r="G799" s="117" t="s">
        <v>2595</v>
      </c>
      <c r="H799" s="117" t="s">
        <v>2596</v>
      </c>
      <c r="I799" s="117">
        <v>1.0</v>
      </c>
      <c r="J799" s="117">
        <v>1.0</v>
      </c>
      <c r="K799" s="117" t="str">
        <f t="shared" si="1"/>
        <v>No</v>
      </c>
      <c r="L799" s="118" t="s">
        <v>116</v>
      </c>
      <c r="M799" s="119">
        <v>0.25</v>
      </c>
      <c r="N799" s="120">
        <v>0.0</v>
      </c>
      <c r="O799" s="121"/>
      <c r="P799" s="117">
        <v>0.0</v>
      </c>
      <c r="Q799" s="117">
        <f t="shared" si="2"/>
        <v>0</v>
      </c>
      <c r="R799" s="122">
        <f>+(IF(((M799*24)-P799)&lt;0,0,((M799*24)-P799)*'Estimación de pérdidas'!$F$72))*N799</f>
        <v>0</v>
      </c>
      <c r="S799" s="123" t="s">
        <v>272</v>
      </c>
      <c r="T799" s="124" t="s">
        <v>118</v>
      </c>
      <c r="U799" s="124">
        <f t="shared" si="3"/>
        <v>1</v>
      </c>
      <c r="V799" s="124">
        <v>1.0</v>
      </c>
      <c r="W799" s="124">
        <v>5.0</v>
      </c>
      <c r="X799" s="125"/>
      <c r="Y799" s="126"/>
      <c r="Z799" s="125">
        <f t="shared" si="4"/>
        <v>5</v>
      </c>
      <c r="AA799" s="127" t="str">
        <f t="shared" si="5"/>
        <v>Alto</v>
      </c>
      <c r="AB799" s="128">
        <f t="shared" si="6"/>
        <v>19</v>
      </c>
      <c r="AC799" s="129">
        <f t="shared" si="7"/>
        <v>0.1859032006</v>
      </c>
      <c r="AD799" s="130"/>
    </row>
    <row r="800" ht="14.25" hidden="1" customHeight="1">
      <c r="A800" s="116" t="s">
        <v>403</v>
      </c>
      <c r="B800" s="117" t="s">
        <v>1969</v>
      </c>
      <c r="C800" s="117" t="s">
        <v>2599</v>
      </c>
      <c r="D800" s="117" t="s">
        <v>2600</v>
      </c>
      <c r="E800" s="117" t="s">
        <v>2599</v>
      </c>
      <c r="F800" s="117" t="s">
        <v>2601</v>
      </c>
      <c r="G800" s="117" t="s">
        <v>2602</v>
      </c>
      <c r="H800" s="117" t="s">
        <v>2603</v>
      </c>
      <c r="I800" s="117">
        <v>1.0</v>
      </c>
      <c r="J800" s="117">
        <v>1.0</v>
      </c>
      <c r="K800" s="117" t="str">
        <f t="shared" si="1"/>
        <v>No</v>
      </c>
      <c r="L800" s="118" t="s">
        <v>116</v>
      </c>
      <c r="M800" s="119">
        <v>0.25</v>
      </c>
      <c r="N800" s="120">
        <v>0.0</v>
      </c>
      <c r="O800" s="121"/>
      <c r="P800" s="117">
        <v>0.0</v>
      </c>
      <c r="Q800" s="117">
        <f t="shared" si="2"/>
        <v>0</v>
      </c>
      <c r="R800" s="122">
        <f>+(IF(((M800*24)-P800)&lt;0,0,((M800*24)-P800)*'Estimación de pérdidas'!$F$72))*N800</f>
        <v>0</v>
      </c>
      <c r="S800" s="123" t="s">
        <v>272</v>
      </c>
      <c r="T800" s="124" t="s">
        <v>118</v>
      </c>
      <c r="U800" s="124">
        <f t="shared" si="3"/>
        <v>1</v>
      </c>
      <c r="V800" s="124">
        <v>1.0</v>
      </c>
      <c r="W800" s="124">
        <v>5.0</v>
      </c>
      <c r="X800" s="125"/>
      <c r="Y800" s="126"/>
      <c r="Z800" s="125">
        <f t="shared" si="4"/>
        <v>5</v>
      </c>
      <c r="AA800" s="127" t="str">
        <f t="shared" si="5"/>
        <v>Alto</v>
      </c>
      <c r="AB800" s="128">
        <f t="shared" si="6"/>
        <v>19</v>
      </c>
      <c r="AC800" s="129">
        <f t="shared" si="7"/>
        <v>0.1859032006</v>
      </c>
      <c r="AD800" s="130"/>
    </row>
    <row r="801" ht="14.25" hidden="1" customHeight="1">
      <c r="A801" s="116" t="s">
        <v>403</v>
      </c>
      <c r="B801" s="117" t="s">
        <v>1969</v>
      </c>
      <c r="C801" s="117" t="s">
        <v>2599</v>
      </c>
      <c r="D801" s="117" t="s">
        <v>2604</v>
      </c>
      <c r="E801" s="117" t="s">
        <v>2599</v>
      </c>
      <c r="F801" s="117" t="s">
        <v>2601</v>
      </c>
      <c r="G801" s="117" t="s">
        <v>2602</v>
      </c>
      <c r="H801" s="117" t="s">
        <v>2603</v>
      </c>
      <c r="I801" s="117">
        <v>1.0</v>
      </c>
      <c r="J801" s="117">
        <v>1.0</v>
      </c>
      <c r="K801" s="117" t="str">
        <f t="shared" si="1"/>
        <v>No</v>
      </c>
      <c r="L801" s="118" t="s">
        <v>116</v>
      </c>
      <c r="M801" s="119">
        <v>0.25</v>
      </c>
      <c r="N801" s="120">
        <v>0.0</v>
      </c>
      <c r="O801" s="121"/>
      <c r="P801" s="117">
        <v>0.0</v>
      </c>
      <c r="Q801" s="117">
        <f t="shared" si="2"/>
        <v>0</v>
      </c>
      <c r="R801" s="122">
        <f>+(IF(((M801*24)-P801)&lt;0,0,((M801*24)-P801)*'Estimación de pérdidas'!$F$72))*N801</f>
        <v>0</v>
      </c>
      <c r="S801" s="123" t="s">
        <v>272</v>
      </c>
      <c r="T801" s="124" t="s">
        <v>118</v>
      </c>
      <c r="U801" s="124">
        <f t="shared" si="3"/>
        <v>1</v>
      </c>
      <c r="V801" s="124">
        <v>1.0</v>
      </c>
      <c r="W801" s="124">
        <v>5.0</v>
      </c>
      <c r="X801" s="125"/>
      <c r="Y801" s="126"/>
      <c r="Z801" s="125">
        <f t="shared" si="4"/>
        <v>5</v>
      </c>
      <c r="AA801" s="127" t="str">
        <f t="shared" si="5"/>
        <v>Alto</v>
      </c>
      <c r="AB801" s="128">
        <f t="shared" si="6"/>
        <v>19</v>
      </c>
      <c r="AC801" s="129">
        <f t="shared" si="7"/>
        <v>0.1859032006</v>
      </c>
      <c r="AD801" s="130"/>
    </row>
    <row r="802" ht="14.25" hidden="1" customHeight="1">
      <c r="A802" s="116" t="s">
        <v>403</v>
      </c>
      <c r="B802" s="117" t="s">
        <v>1969</v>
      </c>
      <c r="C802" s="117" t="s">
        <v>2605</v>
      </c>
      <c r="D802" s="117" t="s">
        <v>2606</v>
      </c>
      <c r="E802" s="117" t="s">
        <v>2605</v>
      </c>
      <c r="F802" s="117" t="s">
        <v>2601</v>
      </c>
      <c r="G802" s="117" t="s">
        <v>2602</v>
      </c>
      <c r="H802" s="117" t="s">
        <v>2603</v>
      </c>
      <c r="I802" s="117">
        <v>1.0</v>
      </c>
      <c r="J802" s="117">
        <v>1.0</v>
      </c>
      <c r="K802" s="117" t="str">
        <f t="shared" si="1"/>
        <v>No</v>
      </c>
      <c r="L802" s="118" t="s">
        <v>116</v>
      </c>
      <c r="M802" s="119">
        <v>0.25</v>
      </c>
      <c r="N802" s="120">
        <v>0.0</v>
      </c>
      <c r="O802" s="121"/>
      <c r="P802" s="117">
        <v>0.0</v>
      </c>
      <c r="Q802" s="117">
        <f t="shared" si="2"/>
        <v>0</v>
      </c>
      <c r="R802" s="122">
        <f>+(IF(((M802*24)-P802)&lt;0,0,((M802*24)-P802)*'Estimación de pérdidas'!$F$72))*N802</f>
        <v>0</v>
      </c>
      <c r="S802" s="123" t="s">
        <v>272</v>
      </c>
      <c r="T802" s="124" t="s">
        <v>118</v>
      </c>
      <c r="U802" s="124">
        <f t="shared" si="3"/>
        <v>1</v>
      </c>
      <c r="V802" s="124">
        <v>1.0</v>
      </c>
      <c r="W802" s="124">
        <v>5.0</v>
      </c>
      <c r="X802" s="125"/>
      <c r="Y802" s="126"/>
      <c r="Z802" s="125">
        <f t="shared" si="4"/>
        <v>5</v>
      </c>
      <c r="AA802" s="127" t="str">
        <f t="shared" si="5"/>
        <v>Alto</v>
      </c>
      <c r="AB802" s="128">
        <f t="shared" si="6"/>
        <v>19</v>
      </c>
      <c r="AC802" s="129">
        <f t="shared" si="7"/>
        <v>0.1859032006</v>
      </c>
      <c r="AD802" s="130"/>
    </row>
    <row r="803" ht="14.25" hidden="1" customHeight="1">
      <c r="A803" s="116" t="s">
        <v>403</v>
      </c>
      <c r="B803" s="117" t="s">
        <v>1969</v>
      </c>
      <c r="C803" s="117" t="s">
        <v>2605</v>
      </c>
      <c r="D803" s="117" t="s">
        <v>2607</v>
      </c>
      <c r="E803" s="117" t="s">
        <v>2605</v>
      </c>
      <c r="F803" s="117" t="s">
        <v>2601</v>
      </c>
      <c r="G803" s="117" t="s">
        <v>2602</v>
      </c>
      <c r="H803" s="117" t="s">
        <v>2603</v>
      </c>
      <c r="I803" s="117">
        <v>1.0</v>
      </c>
      <c r="J803" s="117">
        <v>1.0</v>
      </c>
      <c r="K803" s="117" t="str">
        <f t="shared" si="1"/>
        <v>No</v>
      </c>
      <c r="L803" s="118" t="s">
        <v>116</v>
      </c>
      <c r="M803" s="119">
        <v>0.25</v>
      </c>
      <c r="N803" s="120">
        <v>0.0</v>
      </c>
      <c r="O803" s="121"/>
      <c r="P803" s="117">
        <v>0.0</v>
      </c>
      <c r="Q803" s="117">
        <f t="shared" si="2"/>
        <v>0</v>
      </c>
      <c r="R803" s="122">
        <f>+(IF(((M803*24)-P803)&lt;0,0,((M803*24)-P803)*'Estimación de pérdidas'!$F$72))*N803</f>
        <v>0</v>
      </c>
      <c r="S803" s="123" t="s">
        <v>272</v>
      </c>
      <c r="T803" s="124" t="s">
        <v>118</v>
      </c>
      <c r="U803" s="124">
        <f t="shared" si="3"/>
        <v>1</v>
      </c>
      <c r="V803" s="124">
        <v>1.0</v>
      </c>
      <c r="W803" s="124">
        <v>5.0</v>
      </c>
      <c r="X803" s="125"/>
      <c r="Y803" s="126"/>
      <c r="Z803" s="125">
        <f t="shared" si="4"/>
        <v>5</v>
      </c>
      <c r="AA803" s="127" t="str">
        <f t="shared" si="5"/>
        <v>Alto</v>
      </c>
      <c r="AB803" s="128">
        <f t="shared" si="6"/>
        <v>19</v>
      </c>
      <c r="AC803" s="129">
        <f t="shared" si="7"/>
        <v>0.1859032006</v>
      </c>
      <c r="AD803" s="130"/>
    </row>
    <row r="804" ht="14.25" hidden="1" customHeight="1">
      <c r="A804" s="116" t="s">
        <v>403</v>
      </c>
      <c r="B804" s="117" t="s">
        <v>1969</v>
      </c>
      <c r="C804" s="117" t="s">
        <v>2605</v>
      </c>
      <c r="D804" s="117" t="s">
        <v>2608</v>
      </c>
      <c r="E804" s="117" t="s">
        <v>2605</v>
      </c>
      <c r="F804" s="117" t="s">
        <v>2601</v>
      </c>
      <c r="G804" s="117" t="s">
        <v>2602</v>
      </c>
      <c r="H804" s="117" t="s">
        <v>2603</v>
      </c>
      <c r="I804" s="117">
        <v>1.0</v>
      </c>
      <c r="J804" s="117">
        <v>1.0</v>
      </c>
      <c r="K804" s="117" t="str">
        <f t="shared" si="1"/>
        <v>No</v>
      </c>
      <c r="L804" s="118" t="s">
        <v>116</v>
      </c>
      <c r="M804" s="119">
        <v>0.25</v>
      </c>
      <c r="N804" s="120">
        <v>0.0</v>
      </c>
      <c r="O804" s="121"/>
      <c r="P804" s="117">
        <v>0.0</v>
      </c>
      <c r="Q804" s="117">
        <f t="shared" si="2"/>
        <v>0</v>
      </c>
      <c r="R804" s="122">
        <f>+(IF(((M804*24)-P804)&lt;0,0,((M804*24)-P804)*'Estimación de pérdidas'!$F$72))*N804</f>
        <v>0</v>
      </c>
      <c r="S804" s="123" t="s">
        <v>272</v>
      </c>
      <c r="T804" s="124" t="s">
        <v>118</v>
      </c>
      <c r="U804" s="124">
        <f t="shared" si="3"/>
        <v>1</v>
      </c>
      <c r="V804" s="124">
        <v>1.0</v>
      </c>
      <c r="W804" s="124">
        <v>5.0</v>
      </c>
      <c r="X804" s="125"/>
      <c r="Y804" s="126"/>
      <c r="Z804" s="125">
        <f t="shared" si="4"/>
        <v>5</v>
      </c>
      <c r="AA804" s="127" t="str">
        <f t="shared" si="5"/>
        <v>Alto</v>
      </c>
      <c r="AB804" s="128">
        <f t="shared" si="6"/>
        <v>19</v>
      </c>
      <c r="AC804" s="129">
        <f t="shared" si="7"/>
        <v>0.1859032006</v>
      </c>
      <c r="AD804" s="130"/>
    </row>
    <row r="805" ht="14.25" hidden="1" customHeight="1">
      <c r="A805" s="116" t="s">
        <v>403</v>
      </c>
      <c r="B805" s="117" t="s">
        <v>1969</v>
      </c>
      <c r="C805" s="117" t="s">
        <v>2609</v>
      </c>
      <c r="D805" s="117" t="s">
        <v>2610</v>
      </c>
      <c r="E805" s="117" t="s">
        <v>2609</v>
      </c>
      <c r="F805" s="117" t="s">
        <v>2601</v>
      </c>
      <c r="G805" s="117" t="s">
        <v>2602</v>
      </c>
      <c r="H805" s="117" t="s">
        <v>2603</v>
      </c>
      <c r="I805" s="117">
        <v>1.0</v>
      </c>
      <c r="J805" s="117">
        <v>1.0</v>
      </c>
      <c r="K805" s="117" t="str">
        <f t="shared" si="1"/>
        <v>No</v>
      </c>
      <c r="L805" s="118" t="s">
        <v>116</v>
      </c>
      <c r="M805" s="119">
        <v>0.25</v>
      </c>
      <c r="N805" s="120">
        <v>0.0</v>
      </c>
      <c r="O805" s="121"/>
      <c r="P805" s="117">
        <v>0.0</v>
      </c>
      <c r="Q805" s="117">
        <f t="shared" si="2"/>
        <v>0</v>
      </c>
      <c r="R805" s="122">
        <f>+(IF(((M805*24)-P805)&lt;0,0,((M805*24)-P805)*'Estimación de pérdidas'!$F$72))*N805</f>
        <v>0</v>
      </c>
      <c r="S805" s="123" t="s">
        <v>272</v>
      </c>
      <c r="T805" s="124" t="s">
        <v>118</v>
      </c>
      <c r="U805" s="124">
        <f t="shared" si="3"/>
        <v>1</v>
      </c>
      <c r="V805" s="124">
        <v>1.0</v>
      </c>
      <c r="W805" s="124">
        <v>5.0</v>
      </c>
      <c r="X805" s="125"/>
      <c r="Y805" s="126"/>
      <c r="Z805" s="125">
        <f t="shared" si="4"/>
        <v>5</v>
      </c>
      <c r="AA805" s="127" t="str">
        <f t="shared" si="5"/>
        <v>Alto</v>
      </c>
      <c r="AB805" s="128">
        <f t="shared" si="6"/>
        <v>19</v>
      </c>
      <c r="AC805" s="129">
        <f t="shared" si="7"/>
        <v>0.1859032006</v>
      </c>
      <c r="AD805" s="130"/>
    </row>
    <row r="806" ht="14.25" hidden="1" customHeight="1">
      <c r="A806" s="116" t="s">
        <v>403</v>
      </c>
      <c r="B806" s="117" t="s">
        <v>1969</v>
      </c>
      <c r="C806" s="117" t="s">
        <v>2609</v>
      </c>
      <c r="D806" s="117" t="s">
        <v>2611</v>
      </c>
      <c r="E806" s="117" t="s">
        <v>2609</v>
      </c>
      <c r="F806" s="117" t="s">
        <v>2601</v>
      </c>
      <c r="G806" s="117" t="s">
        <v>2602</v>
      </c>
      <c r="H806" s="117" t="s">
        <v>2603</v>
      </c>
      <c r="I806" s="117">
        <v>1.0</v>
      </c>
      <c r="J806" s="117">
        <v>1.0</v>
      </c>
      <c r="K806" s="117" t="str">
        <f t="shared" si="1"/>
        <v>No</v>
      </c>
      <c r="L806" s="118" t="s">
        <v>116</v>
      </c>
      <c r="M806" s="119">
        <v>0.25</v>
      </c>
      <c r="N806" s="120">
        <v>0.0</v>
      </c>
      <c r="O806" s="121"/>
      <c r="P806" s="117">
        <v>0.0</v>
      </c>
      <c r="Q806" s="117">
        <f t="shared" si="2"/>
        <v>0</v>
      </c>
      <c r="R806" s="122">
        <f>+(IF(((M806*24)-P806)&lt;0,0,((M806*24)-P806)*'Estimación de pérdidas'!$F$72))*N806</f>
        <v>0</v>
      </c>
      <c r="S806" s="123" t="s">
        <v>272</v>
      </c>
      <c r="T806" s="124" t="s">
        <v>118</v>
      </c>
      <c r="U806" s="124">
        <f t="shared" si="3"/>
        <v>1</v>
      </c>
      <c r="V806" s="124">
        <v>1.0</v>
      </c>
      <c r="W806" s="124">
        <v>5.0</v>
      </c>
      <c r="X806" s="125"/>
      <c r="Y806" s="126"/>
      <c r="Z806" s="125">
        <f t="shared" si="4"/>
        <v>5</v>
      </c>
      <c r="AA806" s="127" t="str">
        <f t="shared" si="5"/>
        <v>Alto</v>
      </c>
      <c r="AB806" s="128">
        <f t="shared" si="6"/>
        <v>19</v>
      </c>
      <c r="AC806" s="129">
        <f t="shared" si="7"/>
        <v>0.1859032006</v>
      </c>
      <c r="AD806" s="130"/>
    </row>
    <row r="807" ht="14.25" hidden="1" customHeight="1">
      <c r="A807" s="116" t="s">
        <v>1969</v>
      </c>
      <c r="B807" s="117" t="s">
        <v>1969</v>
      </c>
      <c r="C807" s="117" t="s">
        <v>2612</v>
      </c>
      <c r="D807" s="117" t="s">
        <v>2613</v>
      </c>
      <c r="E807" s="117" t="s">
        <v>2612</v>
      </c>
      <c r="F807" s="117" t="s">
        <v>2614</v>
      </c>
      <c r="G807" s="117" t="s">
        <v>2615</v>
      </c>
      <c r="H807" s="117" t="s">
        <v>2616</v>
      </c>
      <c r="I807" s="117">
        <v>1.0</v>
      </c>
      <c r="J807" s="117">
        <v>1.0</v>
      </c>
      <c r="K807" s="117" t="str">
        <f t="shared" si="1"/>
        <v>No</v>
      </c>
      <c r="L807" s="118" t="s">
        <v>116</v>
      </c>
      <c r="M807" s="119">
        <v>0.25</v>
      </c>
      <c r="N807" s="120">
        <v>0.0</v>
      </c>
      <c r="O807" s="121"/>
      <c r="P807" s="117">
        <v>0.0</v>
      </c>
      <c r="Q807" s="117">
        <f t="shared" si="2"/>
        <v>0</v>
      </c>
      <c r="R807" s="122">
        <f>+(IF(((M807*24)-P807)&lt;0,0,((M807*24)-P807)*'Estimación de pérdidas'!$F$72))*N807</f>
        <v>0</v>
      </c>
      <c r="S807" s="123" t="s">
        <v>117</v>
      </c>
      <c r="T807" s="124" t="s">
        <v>119</v>
      </c>
      <c r="U807" s="124">
        <f t="shared" si="3"/>
        <v>1</v>
      </c>
      <c r="V807" s="124">
        <v>1.0</v>
      </c>
      <c r="W807" s="124"/>
      <c r="X807" s="125"/>
      <c r="Y807" s="126"/>
      <c r="Z807" s="125">
        <f t="shared" si="4"/>
        <v>1</v>
      </c>
      <c r="AA807" s="127" t="str">
        <f t="shared" si="5"/>
        <v>Bajo</v>
      </c>
      <c r="AB807" s="128">
        <f t="shared" si="6"/>
        <v>4</v>
      </c>
      <c r="AC807" s="129">
        <f t="shared" si="7"/>
        <v>0.07589466384</v>
      </c>
    </row>
    <row r="808" ht="14.25" hidden="1" customHeight="1">
      <c r="A808" s="116" t="s">
        <v>1969</v>
      </c>
      <c r="B808" s="117" t="s">
        <v>1969</v>
      </c>
      <c r="C808" s="117" t="s">
        <v>2612</v>
      </c>
      <c r="D808" s="117" t="s">
        <v>2617</v>
      </c>
      <c r="E808" s="117" t="s">
        <v>2612</v>
      </c>
      <c r="F808" s="117" t="s">
        <v>2614</v>
      </c>
      <c r="G808" s="117" t="s">
        <v>2615</v>
      </c>
      <c r="H808" s="117" t="s">
        <v>2616</v>
      </c>
      <c r="I808" s="117">
        <v>1.0</v>
      </c>
      <c r="J808" s="117">
        <v>1.0</v>
      </c>
      <c r="K808" s="117" t="str">
        <f t="shared" si="1"/>
        <v>No</v>
      </c>
      <c r="L808" s="118" t="s">
        <v>116</v>
      </c>
      <c r="M808" s="119">
        <v>0.25</v>
      </c>
      <c r="N808" s="120">
        <v>0.0</v>
      </c>
      <c r="O808" s="121"/>
      <c r="P808" s="117">
        <v>0.0</v>
      </c>
      <c r="Q808" s="117">
        <f t="shared" si="2"/>
        <v>0</v>
      </c>
      <c r="R808" s="122">
        <f>+(IF(((M808*24)-P808)&lt;0,0,((M808*24)-P808)*'Estimación de pérdidas'!$F$72))*N808</f>
        <v>0</v>
      </c>
      <c r="S808" s="123" t="s">
        <v>117</v>
      </c>
      <c r="T808" s="124" t="s">
        <v>119</v>
      </c>
      <c r="U808" s="124">
        <f t="shared" si="3"/>
        <v>1</v>
      </c>
      <c r="V808" s="124">
        <v>1.0</v>
      </c>
      <c r="W808" s="124"/>
      <c r="X808" s="125"/>
      <c r="Y808" s="126"/>
      <c r="Z808" s="125">
        <f t="shared" si="4"/>
        <v>1</v>
      </c>
      <c r="AA808" s="127" t="str">
        <f t="shared" si="5"/>
        <v>Bajo</v>
      </c>
      <c r="AB808" s="128">
        <f t="shared" si="6"/>
        <v>4</v>
      </c>
      <c r="AC808" s="129">
        <f t="shared" si="7"/>
        <v>0.07589466384</v>
      </c>
    </row>
    <row r="809" ht="14.25" hidden="1" customHeight="1">
      <c r="A809" s="116" t="s">
        <v>1969</v>
      </c>
      <c r="B809" s="117" t="s">
        <v>1969</v>
      </c>
      <c r="C809" s="117" t="s">
        <v>2618</v>
      </c>
      <c r="D809" s="117" t="s">
        <v>2619</v>
      </c>
      <c r="E809" s="117" t="s">
        <v>2618</v>
      </c>
      <c r="F809" s="117" t="s">
        <v>2620</v>
      </c>
      <c r="G809" s="117" t="s">
        <v>205</v>
      </c>
      <c r="H809" s="117" t="s">
        <v>2621</v>
      </c>
      <c r="I809" s="117">
        <v>1.0</v>
      </c>
      <c r="J809" s="117">
        <v>1.0</v>
      </c>
      <c r="K809" s="117" t="str">
        <f t="shared" si="1"/>
        <v>No</v>
      </c>
      <c r="L809" s="118" t="s">
        <v>116</v>
      </c>
      <c r="M809" s="119">
        <v>0.25</v>
      </c>
      <c r="N809" s="120">
        <v>0.0</v>
      </c>
      <c r="O809" s="121"/>
      <c r="P809" s="117">
        <v>0.0</v>
      </c>
      <c r="Q809" s="117">
        <f t="shared" si="2"/>
        <v>0</v>
      </c>
      <c r="R809" s="122">
        <f>+(IF(((M809*24)-P809)&lt;0,0,((M809*24)-P809)*'Estimación de pérdidas'!$F$72))*N809</f>
        <v>0</v>
      </c>
      <c r="S809" s="123" t="s">
        <v>117</v>
      </c>
      <c r="T809" s="124" t="s">
        <v>106</v>
      </c>
      <c r="U809" s="124">
        <f t="shared" si="3"/>
        <v>1</v>
      </c>
      <c r="V809" s="124">
        <v>1.0</v>
      </c>
      <c r="W809" s="124"/>
      <c r="X809" s="125"/>
      <c r="Y809" s="126"/>
      <c r="Z809" s="125">
        <f t="shared" si="4"/>
        <v>1</v>
      </c>
      <c r="AA809" s="127" t="str">
        <f t="shared" si="5"/>
        <v>Bajo</v>
      </c>
      <c r="AB809" s="128">
        <f t="shared" si="6"/>
        <v>7</v>
      </c>
      <c r="AC809" s="129">
        <f t="shared" si="7"/>
        <v>0.1011928851</v>
      </c>
    </row>
    <row r="810" ht="14.25" hidden="1" customHeight="1">
      <c r="A810" s="116" t="s">
        <v>1969</v>
      </c>
      <c r="B810" s="117" t="s">
        <v>1969</v>
      </c>
      <c r="C810" s="117" t="s">
        <v>2618</v>
      </c>
      <c r="D810" s="117" t="s">
        <v>2622</v>
      </c>
      <c r="E810" s="117" t="s">
        <v>2618</v>
      </c>
      <c r="F810" s="117" t="s">
        <v>2620</v>
      </c>
      <c r="G810" s="117" t="s">
        <v>205</v>
      </c>
      <c r="H810" s="117" t="s">
        <v>2621</v>
      </c>
      <c r="I810" s="117">
        <v>1.0</v>
      </c>
      <c r="J810" s="117">
        <v>1.0</v>
      </c>
      <c r="K810" s="117" t="str">
        <f t="shared" si="1"/>
        <v>No</v>
      </c>
      <c r="L810" s="118" t="s">
        <v>116</v>
      </c>
      <c r="M810" s="119">
        <v>0.25</v>
      </c>
      <c r="N810" s="120">
        <v>0.0</v>
      </c>
      <c r="O810" s="121"/>
      <c r="P810" s="117">
        <v>0.0</v>
      </c>
      <c r="Q810" s="117">
        <f t="shared" si="2"/>
        <v>0</v>
      </c>
      <c r="R810" s="122">
        <f>+(IF(((M810*24)-P810)&lt;0,0,((M810*24)-P810)*'Estimación de pérdidas'!$F$72))*N810</f>
        <v>0</v>
      </c>
      <c r="S810" s="123" t="s">
        <v>117</v>
      </c>
      <c r="T810" s="124" t="s">
        <v>106</v>
      </c>
      <c r="U810" s="124">
        <f t="shared" si="3"/>
        <v>1</v>
      </c>
      <c r="V810" s="124">
        <v>1.0</v>
      </c>
      <c r="W810" s="124"/>
      <c r="X810" s="125"/>
      <c r="Y810" s="126"/>
      <c r="Z810" s="125">
        <f t="shared" si="4"/>
        <v>1</v>
      </c>
      <c r="AA810" s="127" t="str">
        <f t="shared" si="5"/>
        <v>Bajo</v>
      </c>
      <c r="AB810" s="128">
        <f t="shared" si="6"/>
        <v>7</v>
      </c>
      <c r="AC810" s="129">
        <f t="shared" si="7"/>
        <v>0.1011928851</v>
      </c>
    </row>
    <row r="811" ht="14.25" hidden="1" customHeight="1">
      <c r="A811" s="116" t="s">
        <v>1969</v>
      </c>
      <c r="B811" s="117" t="s">
        <v>1969</v>
      </c>
      <c r="C811" s="117" t="s">
        <v>2618</v>
      </c>
      <c r="D811" s="117" t="s">
        <v>2623</v>
      </c>
      <c r="E811" s="117" t="s">
        <v>2618</v>
      </c>
      <c r="F811" s="117" t="s">
        <v>2620</v>
      </c>
      <c r="G811" s="117" t="s">
        <v>205</v>
      </c>
      <c r="H811" s="117" t="s">
        <v>2621</v>
      </c>
      <c r="I811" s="117">
        <v>1.0</v>
      </c>
      <c r="J811" s="117">
        <v>1.0</v>
      </c>
      <c r="K811" s="117" t="str">
        <f t="shared" si="1"/>
        <v>No</v>
      </c>
      <c r="L811" s="118" t="s">
        <v>116</v>
      </c>
      <c r="M811" s="119">
        <v>0.25</v>
      </c>
      <c r="N811" s="120">
        <v>0.0</v>
      </c>
      <c r="O811" s="121"/>
      <c r="P811" s="117">
        <v>0.0</v>
      </c>
      <c r="Q811" s="117">
        <f t="shared" si="2"/>
        <v>0</v>
      </c>
      <c r="R811" s="122">
        <f>+(IF(((M811*24)-P811)&lt;0,0,((M811*24)-P811)*'Estimación de pérdidas'!$F$72))*N811</f>
        <v>0</v>
      </c>
      <c r="S811" s="123" t="s">
        <v>117</v>
      </c>
      <c r="T811" s="124" t="s">
        <v>106</v>
      </c>
      <c r="U811" s="124">
        <f t="shared" si="3"/>
        <v>1</v>
      </c>
      <c r="V811" s="124">
        <v>1.0</v>
      </c>
      <c r="W811" s="124"/>
      <c r="X811" s="125"/>
      <c r="Y811" s="126"/>
      <c r="Z811" s="125">
        <f t="shared" si="4"/>
        <v>1</v>
      </c>
      <c r="AA811" s="127" t="str">
        <f t="shared" si="5"/>
        <v>Bajo</v>
      </c>
      <c r="AB811" s="128">
        <f t="shared" si="6"/>
        <v>7</v>
      </c>
      <c r="AC811" s="129">
        <f t="shared" si="7"/>
        <v>0.1011928851</v>
      </c>
    </row>
    <row r="812" ht="14.25" hidden="1" customHeight="1">
      <c r="A812" s="116" t="s">
        <v>1969</v>
      </c>
      <c r="B812" s="117" t="s">
        <v>1969</v>
      </c>
      <c r="C812" s="117" t="s">
        <v>2624</v>
      </c>
      <c r="D812" s="117" t="s">
        <v>2625</v>
      </c>
      <c r="E812" s="117" t="s">
        <v>2624</v>
      </c>
      <c r="F812" s="117" t="s">
        <v>2620</v>
      </c>
      <c r="G812" s="117" t="s">
        <v>205</v>
      </c>
      <c r="H812" s="117" t="s">
        <v>2626</v>
      </c>
      <c r="I812" s="117">
        <v>1.0</v>
      </c>
      <c r="J812" s="117">
        <v>1.0</v>
      </c>
      <c r="K812" s="117" t="str">
        <f t="shared" si="1"/>
        <v>No</v>
      </c>
      <c r="L812" s="118" t="s">
        <v>116</v>
      </c>
      <c r="M812" s="119">
        <v>0.25</v>
      </c>
      <c r="N812" s="120">
        <v>0.0</v>
      </c>
      <c r="O812" s="121"/>
      <c r="P812" s="117">
        <v>0.0</v>
      </c>
      <c r="Q812" s="117">
        <f t="shared" si="2"/>
        <v>0</v>
      </c>
      <c r="R812" s="122">
        <f>+(IF(((M812*24)-P812)&lt;0,0,((M812*24)-P812)*'Estimación de pérdidas'!$F$72))*N812</f>
        <v>0</v>
      </c>
      <c r="S812" s="123" t="s">
        <v>117</v>
      </c>
      <c r="T812" s="124" t="s">
        <v>106</v>
      </c>
      <c r="U812" s="124">
        <f t="shared" si="3"/>
        <v>1</v>
      </c>
      <c r="V812" s="124">
        <v>1.0</v>
      </c>
      <c r="W812" s="124"/>
      <c r="X812" s="125"/>
      <c r="Y812" s="126"/>
      <c r="Z812" s="125">
        <f t="shared" si="4"/>
        <v>1</v>
      </c>
      <c r="AA812" s="127" t="str">
        <f t="shared" si="5"/>
        <v>Bajo</v>
      </c>
      <c r="AB812" s="128">
        <f t="shared" si="6"/>
        <v>7</v>
      </c>
      <c r="AC812" s="129">
        <f t="shared" si="7"/>
        <v>0.1011928851</v>
      </c>
    </row>
    <row r="813" ht="14.25" hidden="1" customHeight="1">
      <c r="A813" s="116" t="s">
        <v>1969</v>
      </c>
      <c r="B813" s="117" t="s">
        <v>1969</v>
      </c>
      <c r="C813" s="117" t="s">
        <v>2624</v>
      </c>
      <c r="D813" s="117" t="s">
        <v>2627</v>
      </c>
      <c r="E813" s="117" t="s">
        <v>2624</v>
      </c>
      <c r="F813" s="117" t="s">
        <v>2620</v>
      </c>
      <c r="G813" s="117" t="s">
        <v>205</v>
      </c>
      <c r="H813" s="117" t="s">
        <v>2626</v>
      </c>
      <c r="I813" s="117">
        <v>1.0</v>
      </c>
      <c r="J813" s="117">
        <v>1.0</v>
      </c>
      <c r="K813" s="117" t="str">
        <f t="shared" si="1"/>
        <v>No</v>
      </c>
      <c r="L813" s="118" t="s">
        <v>116</v>
      </c>
      <c r="M813" s="119">
        <v>0.25</v>
      </c>
      <c r="N813" s="120">
        <v>0.0</v>
      </c>
      <c r="O813" s="121"/>
      <c r="P813" s="117">
        <v>0.0</v>
      </c>
      <c r="Q813" s="117">
        <f t="shared" si="2"/>
        <v>0</v>
      </c>
      <c r="R813" s="122">
        <f>+(IF(((M813*24)-P813)&lt;0,0,((M813*24)-P813)*'Estimación de pérdidas'!$F$72))*N813</f>
        <v>0</v>
      </c>
      <c r="S813" s="123" t="s">
        <v>117</v>
      </c>
      <c r="T813" s="124" t="s">
        <v>106</v>
      </c>
      <c r="U813" s="124">
        <f t="shared" si="3"/>
        <v>1</v>
      </c>
      <c r="V813" s="124">
        <v>1.0</v>
      </c>
      <c r="W813" s="124"/>
      <c r="X813" s="125"/>
      <c r="Y813" s="126"/>
      <c r="Z813" s="125">
        <f t="shared" si="4"/>
        <v>1</v>
      </c>
      <c r="AA813" s="127" t="str">
        <f t="shared" si="5"/>
        <v>Bajo</v>
      </c>
      <c r="AB813" s="128">
        <f t="shared" si="6"/>
        <v>7</v>
      </c>
      <c r="AC813" s="129">
        <f t="shared" si="7"/>
        <v>0.1011928851</v>
      </c>
    </row>
    <row r="814" ht="14.25" hidden="1" customHeight="1">
      <c r="A814" s="116" t="s">
        <v>1969</v>
      </c>
      <c r="B814" s="117" t="s">
        <v>1969</v>
      </c>
      <c r="C814" s="117" t="s">
        <v>2628</v>
      </c>
      <c r="D814" s="117" t="s">
        <v>2629</v>
      </c>
      <c r="E814" s="117" t="s">
        <v>2628</v>
      </c>
      <c r="F814" s="117" t="s">
        <v>2630</v>
      </c>
      <c r="G814" s="117" t="s">
        <v>205</v>
      </c>
      <c r="H814" s="117" t="s">
        <v>700</v>
      </c>
      <c r="I814" s="117">
        <v>1.0</v>
      </c>
      <c r="J814" s="117">
        <v>1.0</v>
      </c>
      <c r="K814" s="117" t="str">
        <f t="shared" si="1"/>
        <v>No</v>
      </c>
      <c r="L814" s="118" t="s">
        <v>116</v>
      </c>
      <c r="M814" s="119">
        <v>0.25</v>
      </c>
      <c r="N814" s="120">
        <v>0.0</v>
      </c>
      <c r="O814" s="121"/>
      <c r="P814" s="117">
        <v>0.0</v>
      </c>
      <c r="Q814" s="117">
        <f t="shared" si="2"/>
        <v>0</v>
      </c>
      <c r="R814" s="122">
        <f>+(IF(((M814*24)-P814)&lt;0,0,((M814*24)-P814)*'Estimación de pérdidas'!$F$72))*N814</f>
        <v>0</v>
      </c>
      <c r="S814" s="123" t="s">
        <v>117</v>
      </c>
      <c r="T814" s="124" t="s">
        <v>106</v>
      </c>
      <c r="U814" s="124">
        <f t="shared" si="3"/>
        <v>1</v>
      </c>
      <c r="V814" s="124">
        <v>1.0</v>
      </c>
      <c r="W814" s="124"/>
      <c r="X814" s="125"/>
      <c r="Y814" s="126"/>
      <c r="Z814" s="125">
        <f t="shared" si="4"/>
        <v>1</v>
      </c>
      <c r="AA814" s="127" t="str">
        <f t="shared" si="5"/>
        <v>Bajo</v>
      </c>
      <c r="AB814" s="128">
        <f t="shared" si="6"/>
        <v>7</v>
      </c>
      <c r="AC814" s="129">
        <f t="shared" si="7"/>
        <v>0.1011928851</v>
      </c>
    </row>
    <row r="815" ht="14.25" hidden="1" customHeight="1">
      <c r="A815" s="116" t="s">
        <v>1969</v>
      </c>
      <c r="B815" s="117" t="s">
        <v>1969</v>
      </c>
      <c r="C815" s="117" t="s">
        <v>2631</v>
      </c>
      <c r="D815" s="117" t="s">
        <v>2632</v>
      </c>
      <c r="E815" s="117" t="s">
        <v>2633</v>
      </c>
      <c r="F815" s="117" t="s">
        <v>2634</v>
      </c>
      <c r="G815" s="117" t="s">
        <v>205</v>
      </c>
      <c r="H815" s="117" t="s">
        <v>1049</v>
      </c>
      <c r="I815" s="117">
        <v>2.0</v>
      </c>
      <c r="J815" s="117">
        <v>1.0</v>
      </c>
      <c r="K815" s="117" t="str">
        <f t="shared" si="1"/>
        <v>Si</v>
      </c>
      <c r="L815" s="118" t="s">
        <v>287</v>
      </c>
      <c r="M815" s="119">
        <v>0.25</v>
      </c>
      <c r="N815" s="120">
        <v>0.0</v>
      </c>
      <c r="O815" s="121">
        <v>91.32</v>
      </c>
      <c r="P815" s="117">
        <v>1.0</v>
      </c>
      <c r="Q815" s="117">
        <f t="shared" si="2"/>
        <v>0</v>
      </c>
      <c r="R815" s="122">
        <f>+(IF(((M815*24)-P815)&lt;0,0,((M815*24)-P815)*'Estimación de pérdidas'!$F$72))*N815</f>
        <v>0</v>
      </c>
      <c r="S815" s="123" t="s">
        <v>117</v>
      </c>
      <c r="T815" s="124" t="s">
        <v>106</v>
      </c>
      <c r="U815" s="124">
        <f t="shared" si="3"/>
        <v>1</v>
      </c>
      <c r="V815" s="124">
        <v>1.0</v>
      </c>
      <c r="W815" s="124"/>
      <c r="X815" s="125"/>
      <c r="Y815" s="126"/>
      <c r="Z815" s="125">
        <f t="shared" si="4"/>
        <v>1</v>
      </c>
      <c r="AA815" s="127" t="str">
        <f t="shared" si="5"/>
        <v>Bajo</v>
      </c>
      <c r="AB815" s="128">
        <f t="shared" si="6"/>
        <v>7</v>
      </c>
      <c r="AC815" s="129">
        <f t="shared" si="7"/>
        <v>0.1011928851</v>
      </c>
    </row>
    <row r="816" ht="14.25" hidden="1" customHeight="1">
      <c r="A816" s="116" t="s">
        <v>1969</v>
      </c>
      <c r="B816" s="117" t="s">
        <v>1969</v>
      </c>
      <c r="C816" s="117" t="s">
        <v>2631</v>
      </c>
      <c r="D816" s="117" t="s">
        <v>2635</v>
      </c>
      <c r="E816" s="117" t="s">
        <v>2633</v>
      </c>
      <c r="F816" s="117" t="s">
        <v>2634</v>
      </c>
      <c r="G816" s="117" t="s">
        <v>205</v>
      </c>
      <c r="H816" s="117" t="s">
        <v>1049</v>
      </c>
      <c r="I816" s="117">
        <v>2.0</v>
      </c>
      <c r="J816" s="117">
        <v>1.0</v>
      </c>
      <c r="K816" s="117" t="str">
        <f t="shared" si="1"/>
        <v>Si</v>
      </c>
      <c r="L816" s="118" t="s">
        <v>287</v>
      </c>
      <c r="M816" s="119">
        <v>0.25</v>
      </c>
      <c r="N816" s="120">
        <v>0.0</v>
      </c>
      <c r="O816" s="121">
        <v>91.32</v>
      </c>
      <c r="P816" s="117">
        <v>1.0</v>
      </c>
      <c r="Q816" s="117">
        <f t="shared" si="2"/>
        <v>0</v>
      </c>
      <c r="R816" s="122">
        <f>+(IF(((M816*24)-P816)&lt;0,0,((M816*24)-P816)*'Estimación de pérdidas'!$F$72))*N816</f>
        <v>0</v>
      </c>
      <c r="S816" s="123" t="s">
        <v>117</v>
      </c>
      <c r="T816" s="124" t="s">
        <v>106</v>
      </c>
      <c r="U816" s="124">
        <f t="shared" si="3"/>
        <v>1</v>
      </c>
      <c r="V816" s="124">
        <v>1.0</v>
      </c>
      <c r="W816" s="124"/>
      <c r="X816" s="125"/>
      <c r="Y816" s="126"/>
      <c r="Z816" s="125">
        <f t="shared" si="4"/>
        <v>1</v>
      </c>
      <c r="AA816" s="127" t="str">
        <f t="shared" si="5"/>
        <v>Bajo</v>
      </c>
      <c r="AB816" s="128">
        <f t="shared" si="6"/>
        <v>7</v>
      </c>
      <c r="AC816" s="129">
        <f t="shared" si="7"/>
        <v>0.1011928851</v>
      </c>
    </row>
    <row r="817" ht="14.25" hidden="1" customHeight="1">
      <c r="A817" s="116" t="s">
        <v>1969</v>
      </c>
      <c r="B817" s="117" t="s">
        <v>1969</v>
      </c>
      <c r="C817" s="117" t="s">
        <v>2636</v>
      </c>
      <c r="D817" s="117" t="s">
        <v>2637</v>
      </c>
      <c r="E817" s="117" t="s">
        <v>2636</v>
      </c>
      <c r="F817" s="117" t="s">
        <v>2638</v>
      </c>
      <c r="G817" s="117" t="s">
        <v>205</v>
      </c>
      <c r="H817" s="117" t="s">
        <v>1049</v>
      </c>
      <c r="I817" s="117">
        <v>1.0</v>
      </c>
      <c r="J817" s="117">
        <v>1.0</v>
      </c>
      <c r="K817" s="117" t="str">
        <f t="shared" si="1"/>
        <v>No</v>
      </c>
      <c r="L817" s="118" t="s">
        <v>116</v>
      </c>
      <c r="M817" s="119">
        <v>0.25</v>
      </c>
      <c r="N817" s="120">
        <v>0.0</v>
      </c>
      <c r="O817" s="121"/>
      <c r="P817" s="117">
        <v>0.0</v>
      </c>
      <c r="Q817" s="117">
        <f t="shared" si="2"/>
        <v>0</v>
      </c>
      <c r="R817" s="122">
        <f>+(IF(((M817*24)-P817)&lt;0,0,((M817*24)-P817)*'Estimación de pérdidas'!$F$72))*N817</f>
        <v>0</v>
      </c>
      <c r="S817" s="123" t="s">
        <v>117</v>
      </c>
      <c r="T817" s="124" t="s">
        <v>106</v>
      </c>
      <c r="U817" s="124">
        <f t="shared" si="3"/>
        <v>1</v>
      </c>
      <c r="V817" s="124">
        <v>1.0</v>
      </c>
      <c r="W817" s="124"/>
      <c r="X817" s="125"/>
      <c r="Y817" s="126"/>
      <c r="Z817" s="125">
        <f t="shared" si="4"/>
        <v>1</v>
      </c>
      <c r="AA817" s="127" t="str">
        <f t="shared" si="5"/>
        <v>Bajo</v>
      </c>
      <c r="AB817" s="128">
        <f t="shared" si="6"/>
        <v>7</v>
      </c>
      <c r="AC817" s="129">
        <f t="shared" si="7"/>
        <v>0.1011928851</v>
      </c>
    </row>
    <row r="818" ht="14.25" hidden="1" customHeight="1">
      <c r="A818" s="116" t="s">
        <v>1969</v>
      </c>
      <c r="B818" s="117" t="s">
        <v>1969</v>
      </c>
      <c r="C818" s="117" t="s">
        <v>2639</v>
      </c>
      <c r="D818" s="117" t="s">
        <v>2640</v>
      </c>
      <c r="E818" s="117" t="s">
        <v>2641</v>
      </c>
      <c r="F818" s="117" t="s">
        <v>2642</v>
      </c>
      <c r="G818" s="117" t="s">
        <v>205</v>
      </c>
      <c r="H818" s="117" t="s">
        <v>2643</v>
      </c>
      <c r="I818" s="117">
        <v>1.0</v>
      </c>
      <c r="J818" s="117">
        <v>1.0</v>
      </c>
      <c r="K818" s="117" t="str">
        <f t="shared" si="1"/>
        <v>No</v>
      </c>
      <c r="L818" s="118" t="s">
        <v>116</v>
      </c>
      <c r="M818" s="119">
        <v>0.25</v>
      </c>
      <c r="N818" s="120">
        <v>0.0</v>
      </c>
      <c r="O818" s="121"/>
      <c r="P818" s="117">
        <v>0.0</v>
      </c>
      <c r="Q818" s="117">
        <f t="shared" si="2"/>
        <v>0</v>
      </c>
      <c r="R818" s="122">
        <f>+(IF(((M818*24)-P818)&lt;0,0,((M818*24)-P818)*'Estimación de pérdidas'!$F$72))*N818</f>
        <v>0</v>
      </c>
      <c r="S818" s="123" t="s">
        <v>117</v>
      </c>
      <c r="T818" s="124" t="s">
        <v>106</v>
      </c>
      <c r="U818" s="124">
        <f t="shared" si="3"/>
        <v>1</v>
      </c>
      <c r="V818" s="124">
        <v>1.0</v>
      </c>
      <c r="W818" s="124">
        <v>1.0</v>
      </c>
      <c r="X818" s="125"/>
      <c r="Y818" s="126"/>
      <c r="Z818" s="125">
        <f t="shared" si="4"/>
        <v>1</v>
      </c>
      <c r="AA818" s="127" t="str">
        <f t="shared" si="5"/>
        <v>Bajo</v>
      </c>
      <c r="AB818" s="128">
        <f t="shared" si="6"/>
        <v>7</v>
      </c>
      <c r="AC818" s="129">
        <f t="shared" si="7"/>
        <v>0.1239354671</v>
      </c>
    </row>
    <row r="819" ht="14.25" hidden="1" customHeight="1">
      <c r="A819" s="116" t="s">
        <v>1969</v>
      </c>
      <c r="B819" s="117" t="s">
        <v>1969</v>
      </c>
      <c r="C819" s="117" t="s">
        <v>2644</v>
      </c>
      <c r="D819" s="117" t="s">
        <v>2645</v>
      </c>
      <c r="E819" s="117" t="s">
        <v>2646</v>
      </c>
      <c r="F819" s="117" t="s">
        <v>2647</v>
      </c>
      <c r="G819" s="117" t="s">
        <v>205</v>
      </c>
      <c r="H819" s="117" t="s">
        <v>961</v>
      </c>
      <c r="I819" s="117">
        <v>1.0</v>
      </c>
      <c r="J819" s="117">
        <v>1.0</v>
      </c>
      <c r="K819" s="117" t="str">
        <f t="shared" si="1"/>
        <v>No</v>
      </c>
      <c r="L819" s="118" t="s">
        <v>116</v>
      </c>
      <c r="M819" s="119">
        <v>0.25</v>
      </c>
      <c r="N819" s="120">
        <v>0.0</v>
      </c>
      <c r="O819" s="121"/>
      <c r="P819" s="117">
        <v>0.0</v>
      </c>
      <c r="Q819" s="117">
        <f t="shared" si="2"/>
        <v>0</v>
      </c>
      <c r="R819" s="122">
        <f>+(IF(((M819*24)-P819)&lt;0,0,((M819*24)-P819)*'Estimación de pérdidas'!$F$72))*N819</f>
        <v>0</v>
      </c>
      <c r="S819" s="123" t="s">
        <v>117</v>
      </c>
      <c r="T819" s="124" t="s">
        <v>106</v>
      </c>
      <c r="U819" s="124">
        <f t="shared" si="3"/>
        <v>1</v>
      </c>
      <c r="V819" s="124">
        <v>1.0</v>
      </c>
      <c r="W819" s="124"/>
      <c r="X819" s="125"/>
      <c r="Y819" s="126"/>
      <c r="Z819" s="125">
        <f t="shared" si="4"/>
        <v>1</v>
      </c>
      <c r="AA819" s="127" t="str">
        <f t="shared" si="5"/>
        <v>Bajo</v>
      </c>
      <c r="AB819" s="128">
        <f t="shared" si="6"/>
        <v>7</v>
      </c>
      <c r="AC819" s="129">
        <f t="shared" si="7"/>
        <v>0.1011928851</v>
      </c>
    </row>
    <row r="820" ht="14.25" hidden="1" customHeight="1">
      <c r="A820" s="116" t="s">
        <v>1969</v>
      </c>
      <c r="B820" s="117" t="s">
        <v>1969</v>
      </c>
      <c r="C820" s="117" t="s">
        <v>2644</v>
      </c>
      <c r="D820" s="117" t="s">
        <v>2648</v>
      </c>
      <c r="E820" s="117" t="s">
        <v>2649</v>
      </c>
      <c r="F820" s="117" t="s">
        <v>2647</v>
      </c>
      <c r="G820" s="117" t="s">
        <v>205</v>
      </c>
      <c r="H820" s="117" t="s">
        <v>961</v>
      </c>
      <c r="I820" s="117">
        <v>1.0</v>
      </c>
      <c r="J820" s="117">
        <v>1.0</v>
      </c>
      <c r="K820" s="117" t="str">
        <f t="shared" si="1"/>
        <v>No</v>
      </c>
      <c r="L820" s="118" t="s">
        <v>116</v>
      </c>
      <c r="M820" s="119">
        <v>0.25</v>
      </c>
      <c r="N820" s="120">
        <v>0.0</v>
      </c>
      <c r="O820" s="121"/>
      <c r="P820" s="117">
        <v>0.0</v>
      </c>
      <c r="Q820" s="117">
        <f t="shared" si="2"/>
        <v>0</v>
      </c>
      <c r="R820" s="122">
        <f>+(IF(((M820*24)-P820)&lt;0,0,((M820*24)-P820)*'Estimación de pérdidas'!$F$72))*N820</f>
        <v>0</v>
      </c>
      <c r="S820" s="123" t="s">
        <v>117</v>
      </c>
      <c r="T820" s="124" t="s">
        <v>106</v>
      </c>
      <c r="U820" s="124">
        <f t="shared" si="3"/>
        <v>1</v>
      </c>
      <c r="V820" s="124">
        <v>1.0</v>
      </c>
      <c r="W820" s="124"/>
      <c r="X820" s="125"/>
      <c r="Y820" s="126"/>
      <c r="Z820" s="125">
        <f t="shared" si="4"/>
        <v>1</v>
      </c>
      <c r="AA820" s="127" t="str">
        <f t="shared" si="5"/>
        <v>Bajo</v>
      </c>
      <c r="AB820" s="128">
        <f t="shared" si="6"/>
        <v>7</v>
      </c>
      <c r="AC820" s="129">
        <f t="shared" si="7"/>
        <v>0.1011928851</v>
      </c>
    </row>
    <row r="821" ht="14.25" hidden="1" customHeight="1">
      <c r="A821" s="116" t="s">
        <v>1969</v>
      </c>
      <c r="B821" s="117" t="s">
        <v>1969</v>
      </c>
      <c r="C821" s="117" t="s">
        <v>2650</v>
      </c>
      <c r="D821" s="117" t="s">
        <v>2651</v>
      </c>
      <c r="E821" s="117" t="s">
        <v>2652</v>
      </c>
      <c r="F821" s="117" t="s">
        <v>2653</v>
      </c>
      <c r="G821" s="117" t="s">
        <v>205</v>
      </c>
      <c r="H821" s="117" t="s">
        <v>961</v>
      </c>
      <c r="I821" s="117">
        <v>1.0</v>
      </c>
      <c r="J821" s="117">
        <v>1.0</v>
      </c>
      <c r="K821" s="117" t="str">
        <f t="shared" si="1"/>
        <v>No</v>
      </c>
      <c r="L821" s="118" t="s">
        <v>116</v>
      </c>
      <c r="M821" s="119">
        <v>0.25</v>
      </c>
      <c r="N821" s="120">
        <v>0.0</v>
      </c>
      <c r="O821" s="121"/>
      <c r="P821" s="117">
        <v>0.0</v>
      </c>
      <c r="Q821" s="117">
        <f t="shared" si="2"/>
        <v>0</v>
      </c>
      <c r="R821" s="122">
        <f>+(IF(((M821*24)-P821)&lt;0,0,((M821*24)-P821)*'Estimación de pérdidas'!$F$72))*N821</f>
        <v>0</v>
      </c>
      <c r="S821" s="123" t="s">
        <v>117</v>
      </c>
      <c r="T821" s="124" t="s">
        <v>106</v>
      </c>
      <c r="U821" s="124">
        <f t="shared" si="3"/>
        <v>1</v>
      </c>
      <c r="V821" s="124">
        <v>1.0</v>
      </c>
      <c r="W821" s="124"/>
      <c r="X821" s="125"/>
      <c r="Y821" s="126"/>
      <c r="Z821" s="125">
        <f t="shared" si="4"/>
        <v>1</v>
      </c>
      <c r="AA821" s="127" t="str">
        <f t="shared" si="5"/>
        <v>Bajo</v>
      </c>
      <c r="AB821" s="128">
        <f t="shared" si="6"/>
        <v>7</v>
      </c>
      <c r="AC821" s="129">
        <f t="shared" si="7"/>
        <v>0.1011928851</v>
      </c>
    </row>
    <row r="822" ht="14.25" hidden="1" customHeight="1">
      <c r="A822" s="116" t="s">
        <v>1969</v>
      </c>
      <c r="B822" s="117" t="s">
        <v>1969</v>
      </c>
      <c r="C822" s="117" t="s">
        <v>2654</v>
      </c>
      <c r="D822" s="117" t="s">
        <v>2655</v>
      </c>
      <c r="E822" s="117" t="s">
        <v>2654</v>
      </c>
      <c r="F822" s="117" t="s">
        <v>2656</v>
      </c>
      <c r="G822" s="117" t="s">
        <v>205</v>
      </c>
      <c r="H822" s="117" t="s">
        <v>961</v>
      </c>
      <c r="I822" s="117">
        <v>1.0</v>
      </c>
      <c r="J822" s="117">
        <v>1.0</v>
      </c>
      <c r="K822" s="117" t="str">
        <f t="shared" si="1"/>
        <v>No</v>
      </c>
      <c r="L822" s="118" t="s">
        <v>116</v>
      </c>
      <c r="M822" s="119">
        <v>0.25</v>
      </c>
      <c r="N822" s="120">
        <v>0.0</v>
      </c>
      <c r="O822" s="121"/>
      <c r="P822" s="117">
        <v>0.0</v>
      </c>
      <c r="Q822" s="117">
        <f t="shared" si="2"/>
        <v>0</v>
      </c>
      <c r="R822" s="122">
        <f>+(IF(((M822*24)-P822)&lt;0,0,((M822*24)-P822)*'Estimación de pérdidas'!$F$72))*N822</f>
        <v>0</v>
      </c>
      <c r="S822" s="123" t="s">
        <v>117</v>
      </c>
      <c r="T822" s="124" t="s">
        <v>106</v>
      </c>
      <c r="U822" s="124">
        <f t="shared" si="3"/>
        <v>1</v>
      </c>
      <c r="V822" s="124">
        <v>1.0</v>
      </c>
      <c r="W822" s="124"/>
      <c r="X822" s="125"/>
      <c r="Y822" s="126"/>
      <c r="Z822" s="125">
        <f t="shared" si="4"/>
        <v>1</v>
      </c>
      <c r="AA822" s="127" t="str">
        <f t="shared" si="5"/>
        <v>Bajo</v>
      </c>
      <c r="AB822" s="128">
        <f t="shared" si="6"/>
        <v>7</v>
      </c>
      <c r="AC822" s="129">
        <f t="shared" si="7"/>
        <v>0.1011928851</v>
      </c>
    </row>
    <row r="823" ht="14.25" hidden="1" customHeight="1">
      <c r="A823" s="116" t="s">
        <v>1969</v>
      </c>
      <c r="B823" s="117" t="s">
        <v>1969</v>
      </c>
      <c r="C823" s="117" t="s">
        <v>2657</v>
      </c>
      <c r="D823" s="117" t="s">
        <v>2658</v>
      </c>
      <c r="E823" s="117" t="s">
        <v>2657</v>
      </c>
      <c r="F823" s="117" t="s">
        <v>2659</v>
      </c>
      <c r="G823" s="117" t="s">
        <v>205</v>
      </c>
      <c r="H823" s="117" t="s">
        <v>961</v>
      </c>
      <c r="I823" s="117">
        <v>1.0</v>
      </c>
      <c r="J823" s="117">
        <v>1.0</v>
      </c>
      <c r="K823" s="117" t="str">
        <f t="shared" si="1"/>
        <v>No</v>
      </c>
      <c r="L823" s="118" t="s">
        <v>116</v>
      </c>
      <c r="M823" s="119">
        <v>0.25</v>
      </c>
      <c r="N823" s="120">
        <v>0.0</v>
      </c>
      <c r="O823" s="121"/>
      <c r="P823" s="117">
        <v>0.0</v>
      </c>
      <c r="Q823" s="117">
        <f t="shared" si="2"/>
        <v>0</v>
      </c>
      <c r="R823" s="122">
        <f>+(IF(((M823*24)-P823)&lt;0,0,((M823*24)-P823)*'Estimación de pérdidas'!$F$72))*N823</f>
        <v>0</v>
      </c>
      <c r="S823" s="123" t="s">
        <v>117</v>
      </c>
      <c r="T823" s="124" t="s">
        <v>106</v>
      </c>
      <c r="U823" s="124">
        <f t="shared" si="3"/>
        <v>1</v>
      </c>
      <c r="V823" s="124">
        <v>1.0</v>
      </c>
      <c r="W823" s="124"/>
      <c r="X823" s="125"/>
      <c r="Y823" s="126"/>
      <c r="Z823" s="125">
        <f t="shared" si="4"/>
        <v>1</v>
      </c>
      <c r="AA823" s="127" t="str">
        <f t="shared" si="5"/>
        <v>Bajo</v>
      </c>
      <c r="AB823" s="128">
        <f t="shared" si="6"/>
        <v>7</v>
      </c>
      <c r="AC823" s="129">
        <f t="shared" si="7"/>
        <v>0.1011928851</v>
      </c>
    </row>
    <row r="824" ht="14.25" hidden="1" customHeight="1">
      <c r="A824" s="116" t="s">
        <v>1969</v>
      </c>
      <c r="B824" s="117" t="s">
        <v>1969</v>
      </c>
      <c r="C824" s="117" t="s">
        <v>2660</v>
      </c>
      <c r="D824" s="117" t="s">
        <v>2661</v>
      </c>
      <c r="E824" s="117" t="s">
        <v>2662</v>
      </c>
      <c r="F824" s="117" t="s">
        <v>2663</v>
      </c>
      <c r="G824" s="117" t="s">
        <v>2136</v>
      </c>
      <c r="H824" s="117" t="s">
        <v>2137</v>
      </c>
      <c r="I824" s="117">
        <v>1.0</v>
      </c>
      <c r="J824" s="117">
        <v>1.0</v>
      </c>
      <c r="K824" s="117" t="str">
        <f t="shared" si="1"/>
        <v>No</v>
      </c>
      <c r="L824" s="118" t="s">
        <v>116</v>
      </c>
      <c r="M824" s="119">
        <v>0.3333333333333333</v>
      </c>
      <c r="N824" s="120">
        <v>0.0</v>
      </c>
      <c r="O824" s="121"/>
      <c r="P824" s="117">
        <v>0.0</v>
      </c>
      <c r="Q824" s="117">
        <f t="shared" si="2"/>
        <v>0</v>
      </c>
      <c r="R824" s="122">
        <f>+(IF(((M824*24)-P824)&lt;0,0,((M824*24)-P824)*'Estimación de pérdidas'!$F$72))*N824</f>
        <v>0</v>
      </c>
      <c r="S824" s="123" t="s">
        <v>117</v>
      </c>
      <c r="T824" s="124" t="s">
        <v>119</v>
      </c>
      <c r="U824" s="124">
        <f t="shared" si="3"/>
        <v>1</v>
      </c>
      <c r="V824" s="124">
        <v>1.0</v>
      </c>
      <c r="W824" s="124"/>
      <c r="X824" s="125"/>
      <c r="Y824" s="126"/>
      <c r="Z824" s="125">
        <f t="shared" si="4"/>
        <v>1</v>
      </c>
      <c r="AA824" s="127" t="str">
        <f t="shared" si="5"/>
        <v>Bajo</v>
      </c>
      <c r="AB824" s="128">
        <f t="shared" si="6"/>
        <v>4</v>
      </c>
      <c r="AC824" s="129">
        <f t="shared" si="7"/>
        <v>0.07589466384</v>
      </c>
    </row>
    <row r="825" ht="14.25" hidden="1" customHeight="1">
      <c r="A825" s="116" t="s">
        <v>1969</v>
      </c>
      <c r="B825" s="117" t="s">
        <v>1969</v>
      </c>
      <c r="C825" s="117" t="s">
        <v>2660</v>
      </c>
      <c r="D825" s="117" t="s">
        <v>2664</v>
      </c>
      <c r="E825" s="117" t="s">
        <v>2662</v>
      </c>
      <c r="F825" s="117" t="s">
        <v>2663</v>
      </c>
      <c r="G825" s="117" t="s">
        <v>2136</v>
      </c>
      <c r="H825" s="117" t="s">
        <v>2137</v>
      </c>
      <c r="I825" s="117">
        <v>1.0</v>
      </c>
      <c r="J825" s="117">
        <v>1.0</v>
      </c>
      <c r="K825" s="117" t="str">
        <f t="shared" si="1"/>
        <v>No</v>
      </c>
      <c r="L825" s="118" t="s">
        <v>116</v>
      </c>
      <c r="M825" s="119">
        <v>0.3333333333333333</v>
      </c>
      <c r="N825" s="120">
        <v>0.0</v>
      </c>
      <c r="O825" s="121"/>
      <c r="P825" s="117">
        <v>0.0</v>
      </c>
      <c r="Q825" s="117">
        <f t="shared" si="2"/>
        <v>0</v>
      </c>
      <c r="R825" s="122">
        <f>+(IF(((M825*24)-P825)&lt;0,0,((M825*24)-P825)*'Estimación de pérdidas'!$F$72))*N825</f>
        <v>0</v>
      </c>
      <c r="S825" s="123" t="s">
        <v>117</v>
      </c>
      <c r="T825" s="124" t="s">
        <v>119</v>
      </c>
      <c r="U825" s="124">
        <f t="shared" si="3"/>
        <v>1</v>
      </c>
      <c r="V825" s="124">
        <v>1.0</v>
      </c>
      <c r="W825" s="124"/>
      <c r="X825" s="125"/>
      <c r="Y825" s="126"/>
      <c r="Z825" s="125">
        <f t="shared" si="4"/>
        <v>1</v>
      </c>
      <c r="AA825" s="127" t="str">
        <f t="shared" si="5"/>
        <v>Bajo</v>
      </c>
      <c r="AB825" s="128">
        <f t="shared" si="6"/>
        <v>4</v>
      </c>
      <c r="AC825" s="129">
        <f t="shared" si="7"/>
        <v>0.07589466384</v>
      </c>
    </row>
    <row r="826" ht="14.25" hidden="1" customHeight="1">
      <c r="A826" s="116" t="s">
        <v>1969</v>
      </c>
      <c r="B826" s="117" t="s">
        <v>1969</v>
      </c>
      <c r="C826" s="117" t="s">
        <v>2660</v>
      </c>
      <c r="D826" s="117" t="s">
        <v>2665</v>
      </c>
      <c r="E826" s="117" t="s">
        <v>2662</v>
      </c>
      <c r="F826" s="117" t="s">
        <v>2663</v>
      </c>
      <c r="G826" s="117" t="s">
        <v>2136</v>
      </c>
      <c r="H826" s="117" t="s">
        <v>2137</v>
      </c>
      <c r="I826" s="117">
        <v>1.0</v>
      </c>
      <c r="J826" s="117">
        <v>1.0</v>
      </c>
      <c r="K826" s="117" t="str">
        <f t="shared" si="1"/>
        <v>No</v>
      </c>
      <c r="L826" s="118" t="s">
        <v>116</v>
      </c>
      <c r="M826" s="119">
        <v>0.3333333333333333</v>
      </c>
      <c r="N826" s="120">
        <v>0.0</v>
      </c>
      <c r="O826" s="121"/>
      <c r="P826" s="117">
        <v>0.0</v>
      </c>
      <c r="Q826" s="117">
        <f t="shared" si="2"/>
        <v>0</v>
      </c>
      <c r="R826" s="122">
        <f>+(IF(((M826*24)-P826)&lt;0,0,((M826*24)-P826)*'Estimación de pérdidas'!$F$72))*N826</f>
        <v>0</v>
      </c>
      <c r="S826" s="123" t="s">
        <v>117</v>
      </c>
      <c r="T826" s="124" t="s">
        <v>119</v>
      </c>
      <c r="U826" s="124">
        <f t="shared" si="3"/>
        <v>1</v>
      </c>
      <c r="V826" s="124">
        <v>1.0</v>
      </c>
      <c r="W826" s="124"/>
      <c r="X826" s="125"/>
      <c r="Y826" s="126"/>
      <c r="Z826" s="125">
        <f t="shared" si="4"/>
        <v>1</v>
      </c>
      <c r="AA826" s="127" t="str">
        <f t="shared" si="5"/>
        <v>Bajo</v>
      </c>
      <c r="AB826" s="128">
        <f t="shared" si="6"/>
        <v>4</v>
      </c>
      <c r="AC826" s="129">
        <f t="shared" si="7"/>
        <v>0.07589466384</v>
      </c>
    </row>
    <row r="827" ht="14.25" hidden="1" customHeight="1">
      <c r="A827" s="116" t="s">
        <v>1969</v>
      </c>
      <c r="B827" s="117" t="s">
        <v>1969</v>
      </c>
      <c r="C827" s="117" t="s">
        <v>2660</v>
      </c>
      <c r="D827" s="117" t="s">
        <v>2666</v>
      </c>
      <c r="E827" s="117" t="s">
        <v>2662</v>
      </c>
      <c r="F827" s="117" t="s">
        <v>2663</v>
      </c>
      <c r="G827" s="117" t="s">
        <v>2136</v>
      </c>
      <c r="H827" s="117" t="s">
        <v>2137</v>
      </c>
      <c r="I827" s="117">
        <v>1.0</v>
      </c>
      <c r="J827" s="117">
        <v>1.0</v>
      </c>
      <c r="K827" s="117" t="str">
        <f t="shared" si="1"/>
        <v>No</v>
      </c>
      <c r="L827" s="118" t="s">
        <v>116</v>
      </c>
      <c r="M827" s="119">
        <v>0.3333333333333333</v>
      </c>
      <c r="N827" s="120">
        <v>0.0</v>
      </c>
      <c r="O827" s="121"/>
      <c r="P827" s="117">
        <v>0.0</v>
      </c>
      <c r="Q827" s="117">
        <f t="shared" si="2"/>
        <v>0</v>
      </c>
      <c r="R827" s="122">
        <f>+(IF(((M827*24)-P827)&lt;0,0,((M827*24)-P827)*'Estimación de pérdidas'!$F$72))*N827</f>
        <v>0</v>
      </c>
      <c r="S827" s="123" t="s">
        <v>117</v>
      </c>
      <c r="T827" s="124" t="s">
        <v>119</v>
      </c>
      <c r="U827" s="124">
        <f t="shared" si="3"/>
        <v>1</v>
      </c>
      <c r="V827" s="124">
        <v>1.0</v>
      </c>
      <c r="W827" s="124"/>
      <c r="X827" s="125"/>
      <c r="Y827" s="126"/>
      <c r="Z827" s="125">
        <f t="shared" si="4"/>
        <v>1</v>
      </c>
      <c r="AA827" s="127" t="str">
        <f t="shared" si="5"/>
        <v>Bajo</v>
      </c>
      <c r="AB827" s="128">
        <f t="shared" si="6"/>
        <v>4</v>
      </c>
      <c r="AC827" s="129">
        <f t="shared" si="7"/>
        <v>0.07589466384</v>
      </c>
    </row>
    <row r="828" ht="14.25" hidden="1" customHeight="1">
      <c r="A828" s="116" t="s">
        <v>1969</v>
      </c>
      <c r="B828" s="117" t="s">
        <v>1969</v>
      </c>
      <c r="C828" s="117" t="s">
        <v>2660</v>
      </c>
      <c r="D828" s="117" t="s">
        <v>2667</v>
      </c>
      <c r="E828" s="117" t="s">
        <v>2662</v>
      </c>
      <c r="F828" s="117" t="s">
        <v>2663</v>
      </c>
      <c r="G828" s="117" t="s">
        <v>2136</v>
      </c>
      <c r="H828" s="117" t="s">
        <v>2137</v>
      </c>
      <c r="I828" s="117">
        <v>1.0</v>
      </c>
      <c r="J828" s="117">
        <v>1.0</v>
      </c>
      <c r="K828" s="117" t="str">
        <f t="shared" si="1"/>
        <v>No</v>
      </c>
      <c r="L828" s="118" t="s">
        <v>116</v>
      </c>
      <c r="M828" s="119">
        <v>0.3333333333333333</v>
      </c>
      <c r="N828" s="120">
        <v>0.0</v>
      </c>
      <c r="O828" s="121"/>
      <c r="P828" s="117">
        <v>0.0</v>
      </c>
      <c r="Q828" s="117">
        <f t="shared" si="2"/>
        <v>0</v>
      </c>
      <c r="R828" s="122">
        <f>+(IF(((M828*24)-P828)&lt;0,0,((M828*24)-P828)*'Estimación de pérdidas'!$F$72))*N828</f>
        <v>0</v>
      </c>
      <c r="S828" s="123" t="s">
        <v>117</v>
      </c>
      <c r="T828" s="124" t="s">
        <v>119</v>
      </c>
      <c r="U828" s="124">
        <f t="shared" si="3"/>
        <v>1</v>
      </c>
      <c r="V828" s="124">
        <v>1.0</v>
      </c>
      <c r="W828" s="124"/>
      <c r="X828" s="125"/>
      <c r="Y828" s="126"/>
      <c r="Z828" s="125">
        <f t="shared" si="4"/>
        <v>1</v>
      </c>
      <c r="AA828" s="127" t="str">
        <f t="shared" si="5"/>
        <v>Bajo</v>
      </c>
      <c r="AB828" s="128">
        <f t="shared" si="6"/>
        <v>4</v>
      </c>
      <c r="AC828" s="129">
        <f t="shared" si="7"/>
        <v>0.07589466384</v>
      </c>
    </row>
    <row r="829" ht="14.25" hidden="1" customHeight="1">
      <c r="A829" s="116" t="s">
        <v>1969</v>
      </c>
      <c r="B829" s="117" t="s">
        <v>1969</v>
      </c>
      <c r="C829" s="117" t="s">
        <v>2668</v>
      </c>
      <c r="D829" s="117" t="s">
        <v>2669</v>
      </c>
      <c r="E829" s="117" t="s">
        <v>2668</v>
      </c>
      <c r="F829" s="117" t="s">
        <v>2670</v>
      </c>
      <c r="G829" s="117" t="s">
        <v>2136</v>
      </c>
      <c r="H829" s="117" t="s">
        <v>2137</v>
      </c>
      <c r="I829" s="117">
        <v>1.0</v>
      </c>
      <c r="J829" s="117">
        <v>1.0</v>
      </c>
      <c r="K829" s="117" t="str">
        <f t="shared" si="1"/>
        <v>No</v>
      </c>
      <c r="L829" s="118" t="s">
        <v>116</v>
      </c>
      <c r="M829" s="119">
        <v>0.3333333333333333</v>
      </c>
      <c r="N829" s="120">
        <v>0.0</v>
      </c>
      <c r="O829" s="121"/>
      <c r="P829" s="117">
        <v>0.0</v>
      </c>
      <c r="Q829" s="117">
        <f t="shared" si="2"/>
        <v>0</v>
      </c>
      <c r="R829" s="122">
        <f>+(IF(((M829*24)-P829)&lt;0,0,((M829*24)-P829)*'Estimación de pérdidas'!$F$72))*N829</f>
        <v>0</v>
      </c>
      <c r="S829" s="123" t="s">
        <v>117</v>
      </c>
      <c r="T829" s="124" t="s">
        <v>119</v>
      </c>
      <c r="U829" s="124">
        <f t="shared" si="3"/>
        <v>1</v>
      </c>
      <c r="V829" s="124">
        <v>1.0</v>
      </c>
      <c r="W829" s="124"/>
      <c r="X829" s="125"/>
      <c r="Y829" s="126"/>
      <c r="Z829" s="125">
        <f t="shared" si="4"/>
        <v>1</v>
      </c>
      <c r="AA829" s="127" t="str">
        <f t="shared" si="5"/>
        <v>Bajo</v>
      </c>
      <c r="AB829" s="128">
        <f t="shared" si="6"/>
        <v>4</v>
      </c>
      <c r="AC829" s="129">
        <f t="shared" si="7"/>
        <v>0.07589466384</v>
      </c>
    </row>
    <row r="830" ht="14.25" hidden="1" customHeight="1">
      <c r="A830" s="116" t="s">
        <v>1969</v>
      </c>
      <c r="B830" s="117" t="s">
        <v>1969</v>
      </c>
      <c r="C830" s="117" t="s">
        <v>2671</v>
      </c>
      <c r="D830" s="117" t="s">
        <v>2672</v>
      </c>
      <c r="E830" s="117" t="s">
        <v>2671</v>
      </c>
      <c r="F830" s="117" t="s">
        <v>2630</v>
      </c>
      <c r="G830" s="117" t="s">
        <v>2673</v>
      </c>
      <c r="H830" s="117" t="s">
        <v>2674</v>
      </c>
      <c r="I830" s="117">
        <v>1.0</v>
      </c>
      <c r="J830" s="117">
        <v>1.0</v>
      </c>
      <c r="K830" s="117" t="str">
        <f t="shared" si="1"/>
        <v>No</v>
      </c>
      <c r="L830" s="118" t="s">
        <v>116</v>
      </c>
      <c r="M830" s="119">
        <v>0.25</v>
      </c>
      <c r="N830" s="120">
        <v>0.0</v>
      </c>
      <c r="O830" s="121"/>
      <c r="P830" s="117">
        <v>0.0</v>
      </c>
      <c r="Q830" s="117">
        <f t="shared" si="2"/>
        <v>0</v>
      </c>
      <c r="R830" s="122">
        <f>+(IF(((M830*24)-P830)&lt;0,0,((M830*24)-P830)*'Estimación de pérdidas'!$F$72))*N830</f>
        <v>0</v>
      </c>
      <c r="S830" s="123" t="s">
        <v>117</v>
      </c>
      <c r="T830" s="124" t="s">
        <v>118</v>
      </c>
      <c r="U830" s="124">
        <f t="shared" si="3"/>
        <v>1</v>
      </c>
      <c r="V830" s="124">
        <v>1.0</v>
      </c>
      <c r="W830" s="124"/>
      <c r="X830" s="125"/>
      <c r="Y830" s="126"/>
      <c r="Z830" s="125">
        <f t="shared" si="4"/>
        <v>1</v>
      </c>
      <c r="AA830" s="127" t="str">
        <f t="shared" si="5"/>
        <v>Bajo</v>
      </c>
      <c r="AB830" s="128">
        <f t="shared" si="6"/>
        <v>2</v>
      </c>
      <c r="AC830" s="129">
        <f t="shared" si="7"/>
        <v>0.05059644256</v>
      </c>
    </row>
    <row r="831" ht="14.25" hidden="1" customHeight="1">
      <c r="A831" s="116" t="s">
        <v>1969</v>
      </c>
      <c r="B831" s="117" t="s">
        <v>1969</v>
      </c>
      <c r="C831" s="117" t="s">
        <v>2675</v>
      </c>
      <c r="D831" s="117" t="s">
        <v>2676</v>
      </c>
      <c r="E831" s="117" t="s">
        <v>2675</v>
      </c>
      <c r="F831" s="117" t="s">
        <v>2677</v>
      </c>
      <c r="G831" s="117" t="s">
        <v>211</v>
      </c>
      <c r="H831" s="117" t="s">
        <v>806</v>
      </c>
      <c r="I831" s="117">
        <v>1.0</v>
      </c>
      <c r="J831" s="117">
        <v>1.0</v>
      </c>
      <c r="K831" s="117" t="str">
        <f t="shared" si="1"/>
        <v>No</v>
      </c>
      <c r="L831" s="118" t="s">
        <v>116</v>
      </c>
      <c r="M831" s="119">
        <v>1.0</v>
      </c>
      <c r="N831" s="120">
        <v>0.0</v>
      </c>
      <c r="O831" s="121"/>
      <c r="P831" s="117">
        <v>0.0</v>
      </c>
      <c r="Q831" s="117">
        <f t="shared" si="2"/>
        <v>0</v>
      </c>
      <c r="R831" s="122">
        <f>+(IF(((M831*24)-P831)&lt;0,0,((M831*24)-P831)*'Estimación de pérdidas'!$F$72))*N831</f>
        <v>0</v>
      </c>
      <c r="S831" s="123" t="s">
        <v>272</v>
      </c>
      <c r="T831" s="124" t="s">
        <v>118</v>
      </c>
      <c r="U831" s="124">
        <f t="shared" si="3"/>
        <v>1</v>
      </c>
      <c r="V831" s="124">
        <v>1.0</v>
      </c>
      <c r="W831" s="124"/>
      <c r="X831" s="125">
        <v>2.0</v>
      </c>
      <c r="Y831" s="126"/>
      <c r="Z831" s="125">
        <f t="shared" si="4"/>
        <v>2</v>
      </c>
      <c r="AA831" s="127" t="str">
        <f t="shared" si="5"/>
        <v>Bajo</v>
      </c>
      <c r="AB831" s="128">
        <f t="shared" si="6"/>
        <v>5</v>
      </c>
      <c r="AC831" s="129">
        <f t="shared" si="7"/>
        <v>0.0876356092</v>
      </c>
    </row>
    <row r="832" ht="14.25" hidden="1" customHeight="1">
      <c r="A832" s="116" t="s">
        <v>1969</v>
      </c>
      <c r="B832" s="117" t="s">
        <v>1969</v>
      </c>
      <c r="C832" s="117" t="s">
        <v>2678</v>
      </c>
      <c r="D832" s="117" t="s">
        <v>2679</v>
      </c>
      <c r="E832" s="117" t="s">
        <v>2678</v>
      </c>
      <c r="F832" s="117" t="s">
        <v>2680</v>
      </c>
      <c r="G832" s="117" t="s">
        <v>211</v>
      </c>
      <c r="H832" s="117" t="s">
        <v>806</v>
      </c>
      <c r="I832" s="117">
        <v>1.0</v>
      </c>
      <c r="J832" s="117">
        <v>1.0</v>
      </c>
      <c r="K832" s="117" t="str">
        <f t="shared" si="1"/>
        <v>No</v>
      </c>
      <c r="L832" s="118" t="s">
        <v>116</v>
      </c>
      <c r="M832" s="119">
        <v>1.0</v>
      </c>
      <c r="N832" s="120">
        <v>0.0</v>
      </c>
      <c r="O832" s="121"/>
      <c r="P832" s="117">
        <v>0.0</v>
      </c>
      <c r="Q832" s="117">
        <f t="shared" si="2"/>
        <v>0</v>
      </c>
      <c r="R832" s="122">
        <f>+(IF(((M832*24)-P832)&lt;0,0,((M832*24)-P832)*'Estimación de pérdidas'!$F$72))*N832</f>
        <v>0</v>
      </c>
      <c r="S832" s="123" t="s">
        <v>272</v>
      </c>
      <c r="T832" s="124" t="s">
        <v>118</v>
      </c>
      <c r="U832" s="124">
        <f t="shared" si="3"/>
        <v>1</v>
      </c>
      <c r="V832" s="124">
        <v>1.0</v>
      </c>
      <c r="W832" s="124"/>
      <c r="X832" s="125">
        <v>2.0</v>
      </c>
      <c r="Y832" s="126"/>
      <c r="Z832" s="125">
        <f t="shared" si="4"/>
        <v>2</v>
      </c>
      <c r="AA832" s="127" t="str">
        <f t="shared" si="5"/>
        <v>Bajo</v>
      </c>
      <c r="AB832" s="128">
        <f t="shared" si="6"/>
        <v>5</v>
      </c>
      <c r="AC832" s="129">
        <f t="shared" si="7"/>
        <v>0.0876356092</v>
      </c>
    </row>
    <row r="833" ht="14.25" hidden="1" customHeight="1">
      <c r="A833" s="116" t="s">
        <v>1969</v>
      </c>
      <c r="B833" s="117" t="s">
        <v>1969</v>
      </c>
      <c r="C833" s="117" t="s">
        <v>2681</v>
      </c>
      <c r="D833" s="117" t="s">
        <v>2682</v>
      </c>
      <c r="E833" s="117" t="s">
        <v>2683</v>
      </c>
      <c r="F833" s="117" t="s">
        <v>2684</v>
      </c>
      <c r="G833" s="117" t="s">
        <v>211</v>
      </c>
      <c r="H833" s="117" t="s">
        <v>806</v>
      </c>
      <c r="I833" s="117">
        <v>1.0</v>
      </c>
      <c r="J833" s="117">
        <v>1.0</v>
      </c>
      <c r="K833" s="117" t="str">
        <f t="shared" si="1"/>
        <v>No</v>
      </c>
      <c r="L833" s="118" t="s">
        <v>116</v>
      </c>
      <c r="M833" s="119">
        <v>1.0</v>
      </c>
      <c r="N833" s="120">
        <v>0.0</v>
      </c>
      <c r="O833" s="121"/>
      <c r="P833" s="117">
        <v>0.0</v>
      </c>
      <c r="Q833" s="117">
        <f t="shared" si="2"/>
        <v>0</v>
      </c>
      <c r="R833" s="122">
        <f>+(IF(((M833*24)-P833)&lt;0,0,((M833*24)-P833)*'Estimación de pérdidas'!$F$72))*N833</f>
        <v>0</v>
      </c>
      <c r="S833" s="123" t="s">
        <v>272</v>
      </c>
      <c r="T833" s="124" t="s">
        <v>118</v>
      </c>
      <c r="U833" s="124">
        <f t="shared" si="3"/>
        <v>1</v>
      </c>
      <c r="V833" s="124">
        <v>1.0</v>
      </c>
      <c r="W833" s="124"/>
      <c r="X833" s="125">
        <v>2.0</v>
      </c>
      <c r="Y833" s="126"/>
      <c r="Z833" s="125">
        <f t="shared" si="4"/>
        <v>2</v>
      </c>
      <c r="AA833" s="127" t="str">
        <f t="shared" si="5"/>
        <v>Bajo</v>
      </c>
      <c r="AB833" s="128">
        <f t="shared" si="6"/>
        <v>5</v>
      </c>
      <c r="AC833" s="129">
        <f t="shared" si="7"/>
        <v>0.0876356092</v>
      </c>
    </row>
    <row r="834" ht="14.25" hidden="1" customHeight="1">
      <c r="A834" s="116" t="s">
        <v>1969</v>
      </c>
      <c r="B834" s="117" t="s">
        <v>1969</v>
      </c>
      <c r="C834" s="117" t="s">
        <v>2685</v>
      </c>
      <c r="D834" s="117" t="s">
        <v>2686</v>
      </c>
      <c r="E834" s="117" t="s">
        <v>2683</v>
      </c>
      <c r="F834" s="117" t="s">
        <v>2687</v>
      </c>
      <c r="G834" s="117" t="s">
        <v>211</v>
      </c>
      <c r="H834" s="117" t="s">
        <v>806</v>
      </c>
      <c r="I834" s="117">
        <v>1.0</v>
      </c>
      <c r="J834" s="117">
        <v>1.0</v>
      </c>
      <c r="K834" s="117" t="str">
        <f t="shared" si="1"/>
        <v>No</v>
      </c>
      <c r="L834" s="118" t="s">
        <v>116</v>
      </c>
      <c r="M834" s="119">
        <v>1.0</v>
      </c>
      <c r="N834" s="120">
        <v>0.0</v>
      </c>
      <c r="O834" s="121"/>
      <c r="P834" s="117">
        <v>0.0</v>
      </c>
      <c r="Q834" s="117">
        <f t="shared" si="2"/>
        <v>0</v>
      </c>
      <c r="R834" s="122">
        <f>+(IF(((M834*24)-P834)&lt;0,0,((M834*24)-P834)*'Estimación de pérdidas'!$F$72))*N834</f>
        <v>0</v>
      </c>
      <c r="S834" s="123" t="s">
        <v>272</v>
      </c>
      <c r="T834" s="124" t="s">
        <v>118</v>
      </c>
      <c r="U834" s="124">
        <f t="shared" si="3"/>
        <v>1</v>
      </c>
      <c r="V834" s="124">
        <v>1.0</v>
      </c>
      <c r="W834" s="124"/>
      <c r="X834" s="125">
        <v>2.0</v>
      </c>
      <c r="Y834" s="126"/>
      <c r="Z834" s="125">
        <f t="shared" si="4"/>
        <v>2</v>
      </c>
      <c r="AA834" s="127" t="str">
        <f t="shared" si="5"/>
        <v>Bajo</v>
      </c>
      <c r="AB834" s="128">
        <f t="shared" si="6"/>
        <v>5</v>
      </c>
      <c r="AC834" s="129">
        <f t="shared" si="7"/>
        <v>0.0876356092</v>
      </c>
    </row>
    <row r="835" ht="14.25" hidden="1" customHeight="1">
      <c r="A835" s="116" t="s">
        <v>1969</v>
      </c>
      <c r="B835" s="117" t="s">
        <v>1969</v>
      </c>
      <c r="C835" s="117" t="s">
        <v>2688</v>
      </c>
      <c r="D835" s="117" t="s">
        <v>2689</v>
      </c>
      <c r="E835" s="117" t="s">
        <v>2690</v>
      </c>
      <c r="F835" s="117" t="s">
        <v>2691</v>
      </c>
      <c r="G835" s="117" t="s">
        <v>211</v>
      </c>
      <c r="H835" s="117" t="s">
        <v>806</v>
      </c>
      <c r="I835" s="117">
        <v>1.0</v>
      </c>
      <c r="J835" s="117">
        <v>1.0</v>
      </c>
      <c r="K835" s="117" t="str">
        <f t="shared" si="1"/>
        <v>No</v>
      </c>
      <c r="L835" s="118" t="s">
        <v>116</v>
      </c>
      <c r="M835" s="119">
        <v>1.0</v>
      </c>
      <c r="N835" s="120">
        <v>0.0</v>
      </c>
      <c r="O835" s="121"/>
      <c r="P835" s="117">
        <v>0.0</v>
      </c>
      <c r="Q835" s="117">
        <f t="shared" si="2"/>
        <v>0</v>
      </c>
      <c r="R835" s="122">
        <f>+(IF(((M835*24)-P835)&lt;0,0,((M835*24)-P835)*'Estimación de pérdidas'!$F$72))*N835</f>
        <v>0</v>
      </c>
      <c r="S835" s="123" t="s">
        <v>272</v>
      </c>
      <c r="T835" s="124" t="s">
        <v>118</v>
      </c>
      <c r="U835" s="124">
        <f t="shared" si="3"/>
        <v>1</v>
      </c>
      <c r="V835" s="124">
        <v>1.0</v>
      </c>
      <c r="W835" s="124"/>
      <c r="X835" s="125">
        <v>2.0</v>
      </c>
      <c r="Y835" s="126"/>
      <c r="Z835" s="125">
        <f t="shared" si="4"/>
        <v>2</v>
      </c>
      <c r="AA835" s="127" t="str">
        <f t="shared" si="5"/>
        <v>Bajo</v>
      </c>
      <c r="AB835" s="128">
        <f t="shared" si="6"/>
        <v>5</v>
      </c>
      <c r="AC835" s="129">
        <f t="shared" si="7"/>
        <v>0.0876356092</v>
      </c>
    </row>
    <row r="836" ht="14.25" hidden="1" customHeight="1">
      <c r="A836" s="116" t="s">
        <v>1969</v>
      </c>
      <c r="B836" s="117" t="s">
        <v>1969</v>
      </c>
      <c r="C836" s="117" t="s">
        <v>2692</v>
      </c>
      <c r="D836" s="117" t="s">
        <v>2693</v>
      </c>
      <c r="E836" s="117" t="s">
        <v>2692</v>
      </c>
      <c r="F836" s="117" t="s">
        <v>2694</v>
      </c>
      <c r="G836" s="117" t="s">
        <v>211</v>
      </c>
      <c r="H836" s="117" t="s">
        <v>806</v>
      </c>
      <c r="I836" s="117">
        <v>1.0</v>
      </c>
      <c r="J836" s="117">
        <v>1.0</v>
      </c>
      <c r="K836" s="117" t="str">
        <f t="shared" si="1"/>
        <v>No</v>
      </c>
      <c r="L836" s="118" t="s">
        <v>116</v>
      </c>
      <c r="M836" s="119">
        <v>1.0</v>
      </c>
      <c r="N836" s="120">
        <v>0.0</v>
      </c>
      <c r="O836" s="121"/>
      <c r="P836" s="117">
        <v>0.0</v>
      </c>
      <c r="Q836" s="117">
        <f t="shared" si="2"/>
        <v>0</v>
      </c>
      <c r="R836" s="122">
        <f>+(IF(((M836*24)-P836)&lt;0,0,((M836*24)-P836)*'Estimación de pérdidas'!$F$72))*N836</f>
        <v>0</v>
      </c>
      <c r="S836" s="123" t="s">
        <v>272</v>
      </c>
      <c r="T836" s="124" t="s">
        <v>118</v>
      </c>
      <c r="U836" s="124">
        <f t="shared" si="3"/>
        <v>1</v>
      </c>
      <c r="V836" s="124">
        <v>1.0</v>
      </c>
      <c r="W836" s="124"/>
      <c r="X836" s="125">
        <v>2.0</v>
      </c>
      <c r="Y836" s="126"/>
      <c r="Z836" s="125">
        <f t="shared" si="4"/>
        <v>2</v>
      </c>
      <c r="AA836" s="127" t="str">
        <f t="shared" si="5"/>
        <v>Bajo</v>
      </c>
      <c r="AB836" s="128">
        <f t="shared" si="6"/>
        <v>5</v>
      </c>
      <c r="AC836" s="129">
        <f t="shared" si="7"/>
        <v>0.0876356092</v>
      </c>
    </row>
    <row r="837" ht="14.25" hidden="1" customHeight="1">
      <c r="A837" s="116" t="s">
        <v>1969</v>
      </c>
      <c r="B837" s="117" t="s">
        <v>1969</v>
      </c>
      <c r="C837" s="117" t="s">
        <v>2695</v>
      </c>
      <c r="D837" s="117" t="s">
        <v>2696</v>
      </c>
      <c r="E837" s="117" t="s">
        <v>2695</v>
      </c>
      <c r="F837" s="117" t="s">
        <v>2697</v>
      </c>
      <c r="G837" s="117" t="s">
        <v>211</v>
      </c>
      <c r="H837" s="117" t="s">
        <v>806</v>
      </c>
      <c r="I837" s="117">
        <v>1.0</v>
      </c>
      <c r="J837" s="117">
        <v>1.0</v>
      </c>
      <c r="K837" s="117" t="str">
        <f t="shared" si="1"/>
        <v>No</v>
      </c>
      <c r="L837" s="118" t="s">
        <v>116</v>
      </c>
      <c r="M837" s="119">
        <v>1.0</v>
      </c>
      <c r="N837" s="120">
        <v>0.0</v>
      </c>
      <c r="O837" s="121"/>
      <c r="P837" s="117">
        <v>0.0</v>
      </c>
      <c r="Q837" s="117">
        <f t="shared" si="2"/>
        <v>0</v>
      </c>
      <c r="R837" s="122">
        <f>+(IF(((M837*24)-P837)&lt;0,0,((M837*24)-P837)*'Estimación de pérdidas'!$F$72))*N837</f>
        <v>0</v>
      </c>
      <c r="S837" s="123" t="s">
        <v>272</v>
      </c>
      <c r="T837" s="124" t="s">
        <v>118</v>
      </c>
      <c r="U837" s="124">
        <f t="shared" si="3"/>
        <v>1</v>
      </c>
      <c r="V837" s="124">
        <v>1.0</v>
      </c>
      <c r="W837" s="124"/>
      <c r="X837" s="125">
        <v>2.0</v>
      </c>
      <c r="Y837" s="126"/>
      <c r="Z837" s="125">
        <f t="shared" si="4"/>
        <v>2</v>
      </c>
      <c r="AA837" s="127" t="str">
        <f t="shared" si="5"/>
        <v>Bajo</v>
      </c>
      <c r="AB837" s="128">
        <f t="shared" si="6"/>
        <v>5</v>
      </c>
      <c r="AC837" s="129">
        <f t="shared" si="7"/>
        <v>0.0876356092</v>
      </c>
    </row>
    <row r="838" ht="14.25" hidden="1" customHeight="1">
      <c r="A838" s="116" t="s">
        <v>1969</v>
      </c>
      <c r="B838" s="117" t="s">
        <v>1969</v>
      </c>
      <c r="C838" s="117" t="s">
        <v>2698</v>
      </c>
      <c r="D838" s="117" t="s">
        <v>2699</v>
      </c>
      <c r="E838" s="117" t="s">
        <v>2698</v>
      </c>
      <c r="F838" s="117" t="s">
        <v>2700</v>
      </c>
      <c r="G838" s="117" t="s">
        <v>211</v>
      </c>
      <c r="H838" s="117" t="s">
        <v>806</v>
      </c>
      <c r="I838" s="117">
        <v>1.0</v>
      </c>
      <c r="J838" s="117">
        <v>1.0</v>
      </c>
      <c r="K838" s="117" t="str">
        <f t="shared" si="1"/>
        <v>No</v>
      </c>
      <c r="L838" s="118" t="s">
        <v>116</v>
      </c>
      <c r="M838" s="119">
        <v>1.0</v>
      </c>
      <c r="N838" s="120">
        <v>0.0</v>
      </c>
      <c r="O838" s="121"/>
      <c r="P838" s="117">
        <v>0.0</v>
      </c>
      <c r="Q838" s="117">
        <f t="shared" si="2"/>
        <v>0</v>
      </c>
      <c r="R838" s="122">
        <f>+(IF(((M838*24)-P838)&lt;0,0,((M838*24)-P838)*'Estimación de pérdidas'!$F$72))*N838</f>
        <v>0</v>
      </c>
      <c r="S838" s="123" t="s">
        <v>272</v>
      </c>
      <c r="T838" s="124" t="s">
        <v>118</v>
      </c>
      <c r="U838" s="124">
        <f t="shared" si="3"/>
        <v>1</v>
      </c>
      <c r="V838" s="124">
        <v>1.0</v>
      </c>
      <c r="W838" s="124"/>
      <c r="X838" s="125">
        <v>2.0</v>
      </c>
      <c r="Y838" s="126"/>
      <c r="Z838" s="125">
        <f t="shared" si="4"/>
        <v>2</v>
      </c>
      <c r="AA838" s="127" t="str">
        <f t="shared" si="5"/>
        <v>Bajo</v>
      </c>
      <c r="AB838" s="128">
        <f t="shared" si="6"/>
        <v>5</v>
      </c>
      <c r="AC838" s="129">
        <f t="shared" si="7"/>
        <v>0.0876356092</v>
      </c>
    </row>
    <row r="839" ht="14.25" hidden="1" customHeight="1">
      <c r="A839" s="116" t="s">
        <v>1969</v>
      </c>
      <c r="B839" s="117" t="s">
        <v>1969</v>
      </c>
      <c r="C839" s="117" t="s">
        <v>2701</v>
      </c>
      <c r="D839" s="117" t="s">
        <v>2702</v>
      </c>
      <c r="E839" s="117" t="s">
        <v>2701</v>
      </c>
      <c r="F839" s="117" t="s">
        <v>2703</v>
      </c>
      <c r="G839" s="117" t="s">
        <v>211</v>
      </c>
      <c r="H839" s="117" t="s">
        <v>212</v>
      </c>
      <c r="I839" s="117">
        <v>1.0</v>
      </c>
      <c r="J839" s="117">
        <v>1.0</v>
      </c>
      <c r="K839" s="117" t="str">
        <f t="shared" si="1"/>
        <v>No</v>
      </c>
      <c r="L839" s="118" t="s">
        <v>116</v>
      </c>
      <c r="M839" s="119">
        <v>1.0</v>
      </c>
      <c r="N839" s="120">
        <v>0.0</v>
      </c>
      <c r="O839" s="121">
        <v>20.0</v>
      </c>
      <c r="P839" s="124">
        <v>18.203679369250985</v>
      </c>
      <c r="Q839" s="117">
        <f t="shared" si="2"/>
        <v>0</v>
      </c>
      <c r="R839" s="122">
        <f>+(IF(((M839*24)-P839)&lt;0,0,((M839*24)-P839)*'Estimación de pérdidas'!$F$72))*N839</f>
        <v>0</v>
      </c>
      <c r="S839" s="123" t="s">
        <v>117</v>
      </c>
      <c r="T839" s="124" t="s">
        <v>118</v>
      </c>
      <c r="U839" s="124">
        <f t="shared" si="3"/>
        <v>1</v>
      </c>
      <c r="V839" s="124">
        <v>1.0</v>
      </c>
      <c r="W839" s="124"/>
      <c r="X839" s="125"/>
      <c r="Y839" s="126"/>
      <c r="Z839" s="125">
        <f t="shared" si="4"/>
        <v>1</v>
      </c>
      <c r="AA839" s="127" t="str">
        <f t="shared" si="5"/>
        <v>Bajo</v>
      </c>
      <c r="AB839" s="128">
        <f t="shared" si="6"/>
        <v>2</v>
      </c>
      <c r="AC839" s="129">
        <f t="shared" si="7"/>
        <v>0.05059644256</v>
      </c>
    </row>
    <row r="840" ht="14.25" hidden="1" customHeight="1">
      <c r="A840" s="116" t="s">
        <v>1969</v>
      </c>
      <c r="B840" s="117" t="s">
        <v>1969</v>
      </c>
      <c r="C840" s="117" t="s">
        <v>2704</v>
      </c>
      <c r="D840" s="117" t="s">
        <v>2705</v>
      </c>
      <c r="E840" s="117" t="s">
        <v>2704</v>
      </c>
      <c r="F840" s="117" t="s">
        <v>2706</v>
      </c>
      <c r="G840" s="117" t="s">
        <v>211</v>
      </c>
      <c r="H840" s="117" t="s">
        <v>806</v>
      </c>
      <c r="I840" s="117">
        <v>1.0</v>
      </c>
      <c r="J840" s="117">
        <v>1.0</v>
      </c>
      <c r="K840" s="117" t="str">
        <f t="shared" si="1"/>
        <v>No</v>
      </c>
      <c r="L840" s="118" t="s">
        <v>116</v>
      </c>
      <c r="M840" s="119">
        <v>1.0</v>
      </c>
      <c r="N840" s="120">
        <v>0.0</v>
      </c>
      <c r="O840" s="121"/>
      <c r="P840" s="117">
        <v>0.0</v>
      </c>
      <c r="Q840" s="117">
        <f t="shared" si="2"/>
        <v>0</v>
      </c>
      <c r="R840" s="122">
        <f>+(IF(((M840*24)-P840)&lt;0,0,((M840*24)-P840)*'Estimación de pérdidas'!$F$72))*N840</f>
        <v>0</v>
      </c>
      <c r="S840" s="123" t="s">
        <v>272</v>
      </c>
      <c r="T840" s="124" t="s">
        <v>118</v>
      </c>
      <c r="U840" s="124">
        <f t="shared" si="3"/>
        <v>1</v>
      </c>
      <c r="V840" s="124">
        <v>1.0</v>
      </c>
      <c r="W840" s="124"/>
      <c r="X840" s="125">
        <v>2.0</v>
      </c>
      <c r="Y840" s="126"/>
      <c r="Z840" s="125">
        <f t="shared" si="4"/>
        <v>2</v>
      </c>
      <c r="AA840" s="127" t="str">
        <f t="shared" si="5"/>
        <v>Bajo</v>
      </c>
      <c r="AB840" s="128">
        <f t="shared" si="6"/>
        <v>5</v>
      </c>
      <c r="AC840" s="129">
        <f t="shared" si="7"/>
        <v>0.0876356092</v>
      </c>
    </row>
    <row r="841" ht="14.25" hidden="1" customHeight="1">
      <c r="A841" s="116" t="s">
        <v>1969</v>
      </c>
      <c r="B841" s="117" t="s">
        <v>1969</v>
      </c>
      <c r="C841" s="117" t="s">
        <v>1854</v>
      </c>
      <c r="D841" s="117" t="s">
        <v>2707</v>
      </c>
      <c r="E841" s="117" t="s">
        <v>1854</v>
      </c>
      <c r="F841" s="117" t="s">
        <v>2708</v>
      </c>
      <c r="G841" s="117" t="s">
        <v>211</v>
      </c>
      <c r="H841" s="117" t="s">
        <v>2709</v>
      </c>
      <c r="I841" s="117">
        <v>1.0</v>
      </c>
      <c r="J841" s="117">
        <v>1.0</v>
      </c>
      <c r="K841" s="117" t="str">
        <f t="shared" si="1"/>
        <v>No</v>
      </c>
      <c r="L841" s="118" t="s">
        <v>116</v>
      </c>
      <c r="M841" s="119">
        <v>1.0</v>
      </c>
      <c r="N841" s="120">
        <v>0.0</v>
      </c>
      <c r="O841" s="121"/>
      <c r="P841" s="117">
        <v>0.0</v>
      </c>
      <c r="Q841" s="117">
        <f t="shared" si="2"/>
        <v>0</v>
      </c>
      <c r="R841" s="122">
        <f>+(IF(((M841*24)-P841)&lt;0,0,((M841*24)-P841)*'Estimación de pérdidas'!$F$72))*N841</f>
        <v>0</v>
      </c>
      <c r="S841" s="123" t="s">
        <v>272</v>
      </c>
      <c r="T841" s="124" t="s">
        <v>118</v>
      </c>
      <c r="U841" s="124">
        <f t="shared" si="3"/>
        <v>1</v>
      </c>
      <c r="V841" s="124">
        <v>1.0</v>
      </c>
      <c r="W841" s="124">
        <v>3.0</v>
      </c>
      <c r="X841" s="125"/>
      <c r="Y841" s="126"/>
      <c r="Z841" s="125">
        <f t="shared" si="4"/>
        <v>3</v>
      </c>
      <c r="AA841" s="127" t="str">
        <f t="shared" si="5"/>
        <v>Moderado</v>
      </c>
      <c r="AB841" s="128">
        <f t="shared" si="6"/>
        <v>9</v>
      </c>
      <c r="AC841" s="129">
        <f t="shared" si="7"/>
        <v>0.1186591758</v>
      </c>
    </row>
    <row r="842" ht="14.25" hidden="1" customHeight="1">
      <c r="A842" s="116" t="s">
        <v>1969</v>
      </c>
      <c r="B842" s="117" t="s">
        <v>1969</v>
      </c>
      <c r="C842" s="117" t="s">
        <v>2710</v>
      </c>
      <c r="D842" s="117" t="s">
        <v>2711</v>
      </c>
      <c r="E842" s="117" t="s">
        <v>2710</v>
      </c>
      <c r="F842" s="117" t="s">
        <v>2712</v>
      </c>
      <c r="G842" s="117" t="s">
        <v>211</v>
      </c>
      <c r="H842" s="117" t="s">
        <v>806</v>
      </c>
      <c r="I842" s="117">
        <v>1.0</v>
      </c>
      <c r="J842" s="117">
        <v>1.0</v>
      </c>
      <c r="K842" s="117" t="str">
        <f t="shared" si="1"/>
        <v>No</v>
      </c>
      <c r="L842" s="118" t="s">
        <v>116</v>
      </c>
      <c r="M842" s="119">
        <v>1.0</v>
      </c>
      <c r="N842" s="120">
        <v>0.0</v>
      </c>
      <c r="O842" s="121"/>
      <c r="P842" s="117">
        <v>0.0</v>
      </c>
      <c r="Q842" s="117">
        <f t="shared" si="2"/>
        <v>0</v>
      </c>
      <c r="R842" s="122">
        <f>+(IF(((M842*24)-P842)&lt;0,0,((M842*24)-P842)*'Estimación de pérdidas'!$F$72))*N842</f>
        <v>0</v>
      </c>
      <c r="S842" s="123" t="s">
        <v>272</v>
      </c>
      <c r="T842" s="124" t="s">
        <v>118</v>
      </c>
      <c r="U842" s="124">
        <f t="shared" si="3"/>
        <v>1</v>
      </c>
      <c r="V842" s="124">
        <v>1.0</v>
      </c>
      <c r="W842" s="124"/>
      <c r="X842" s="125">
        <v>2.0</v>
      </c>
      <c r="Y842" s="126"/>
      <c r="Z842" s="125">
        <f t="shared" si="4"/>
        <v>2</v>
      </c>
      <c r="AA842" s="127" t="str">
        <f t="shared" si="5"/>
        <v>Bajo</v>
      </c>
      <c r="AB842" s="128">
        <f t="shared" si="6"/>
        <v>5</v>
      </c>
      <c r="AC842" s="129">
        <f t="shared" si="7"/>
        <v>0.0876356092</v>
      </c>
    </row>
    <row r="843" ht="14.25" hidden="1" customHeight="1">
      <c r="A843" s="116" t="s">
        <v>1969</v>
      </c>
      <c r="B843" s="117" t="s">
        <v>1969</v>
      </c>
      <c r="C843" s="117" t="s">
        <v>2713</v>
      </c>
      <c r="D843" s="117" t="s">
        <v>2714</v>
      </c>
      <c r="E843" s="117" t="s">
        <v>2715</v>
      </c>
      <c r="F843" s="117" t="s">
        <v>2716</v>
      </c>
      <c r="G843" s="117" t="s">
        <v>2717</v>
      </c>
      <c r="H843" s="117" t="s">
        <v>2718</v>
      </c>
      <c r="I843" s="117">
        <v>1.0</v>
      </c>
      <c r="J843" s="117">
        <v>1.0</v>
      </c>
      <c r="K843" s="117" t="str">
        <f t="shared" si="1"/>
        <v>No</v>
      </c>
      <c r="L843" s="118" t="s">
        <v>116</v>
      </c>
      <c r="M843" s="119">
        <v>0.25</v>
      </c>
      <c r="N843" s="120">
        <v>0.0</v>
      </c>
      <c r="O843" s="121"/>
      <c r="P843" s="117">
        <v>0.0</v>
      </c>
      <c r="Q843" s="117">
        <f t="shared" si="2"/>
        <v>0</v>
      </c>
      <c r="R843" s="122">
        <f>+(IF(((M843*24)-P843)&lt;0,0,((M843*24)-P843)*'Estimación de pérdidas'!$F$72))*N843</f>
        <v>0</v>
      </c>
      <c r="S843" s="123" t="s">
        <v>117</v>
      </c>
      <c r="T843" s="124" t="s">
        <v>119</v>
      </c>
      <c r="U843" s="124">
        <f t="shared" si="3"/>
        <v>1</v>
      </c>
      <c r="V843" s="124">
        <v>1.0</v>
      </c>
      <c r="W843" s="124"/>
      <c r="X843" s="125"/>
      <c r="Y843" s="126"/>
      <c r="Z843" s="125">
        <f t="shared" si="4"/>
        <v>1</v>
      </c>
      <c r="AA843" s="127" t="str">
        <f t="shared" si="5"/>
        <v>Bajo</v>
      </c>
      <c r="AB843" s="128">
        <f t="shared" si="6"/>
        <v>4</v>
      </c>
      <c r="AC843" s="129">
        <f t="shared" si="7"/>
        <v>0.07589466384</v>
      </c>
    </row>
    <row r="844" ht="14.25" hidden="1" customHeight="1">
      <c r="A844" s="116" t="s">
        <v>1969</v>
      </c>
      <c r="B844" s="117" t="s">
        <v>1969</v>
      </c>
      <c r="C844" s="117" t="s">
        <v>2719</v>
      </c>
      <c r="D844" s="117" t="s">
        <v>2720</v>
      </c>
      <c r="E844" s="117" t="s">
        <v>2721</v>
      </c>
      <c r="F844" s="117" t="s">
        <v>2722</v>
      </c>
      <c r="G844" s="117" t="s">
        <v>1334</v>
      </c>
      <c r="H844" s="117" t="s">
        <v>2723</v>
      </c>
      <c r="I844" s="117">
        <v>1.0</v>
      </c>
      <c r="J844" s="117">
        <v>1.0</v>
      </c>
      <c r="K844" s="117" t="str">
        <f t="shared" si="1"/>
        <v>No</v>
      </c>
      <c r="L844" s="118" t="s">
        <v>116</v>
      </c>
      <c r="M844" s="119">
        <v>0.25</v>
      </c>
      <c r="N844" s="120">
        <v>0.0</v>
      </c>
      <c r="O844" s="121"/>
      <c r="P844" s="117">
        <v>0.0</v>
      </c>
      <c r="Q844" s="117">
        <f t="shared" si="2"/>
        <v>0</v>
      </c>
      <c r="R844" s="122">
        <f>+(IF(((M844*24)-P844)&lt;0,0,((M844*24)-P844)*'Estimación de pérdidas'!$F$72))*N844</f>
        <v>0</v>
      </c>
      <c r="S844" s="123" t="s">
        <v>117</v>
      </c>
      <c r="T844" s="124" t="s">
        <v>118</v>
      </c>
      <c r="U844" s="124">
        <f t="shared" si="3"/>
        <v>1</v>
      </c>
      <c r="V844" s="124">
        <v>1.0</v>
      </c>
      <c r="W844" s="124"/>
      <c r="X844" s="125"/>
      <c r="Y844" s="126"/>
      <c r="Z844" s="125">
        <f t="shared" si="4"/>
        <v>1</v>
      </c>
      <c r="AA844" s="127" t="str">
        <f t="shared" si="5"/>
        <v>Bajo</v>
      </c>
      <c r="AB844" s="128">
        <f t="shared" si="6"/>
        <v>2</v>
      </c>
      <c r="AC844" s="129">
        <f t="shared" si="7"/>
        <v>0.05059644256</v>
      </c>
    </row>
    <row r="845" ht="14.25" hidden="1" customHeight="1">
      <c r="A845" s="116" t="s">
        <v>1969</v>
      </c>
      <c r="B845" s="117" t="s">
        <v>1969</v>
      </c>
      <c r="C845" s="117" t="s">
        <v>2724</v>
      </c>
      <c r="D845" s="117" t="s">
        <v>2725</v>
      </c>
      <c r="E845" s="117" t="s">
        <v>2726</v>
      </c>
      <c r="F845" s="117" t="s">
        <v>2727</v>
      </c>
      <c r="G845" s="117" t="s">
        <v>2595</v>
      </c>
      <c r="H845" s="117" t="s">
        <v>2728</v>
      </c>
      <c r="I845" s="117">
        <v>1.0</v>
      </c>
      <c r="J845" s="117">
        <v>1.0</v>
      </c>
      <c r="K845" s="117" t="str">
        <f t="shared" si="1"/>
        <v>No</v>
      </c>
      <c r="L845" s="118" t="s">
        <v>116</v>
      </c>
      <c r="M845" s="119">
        <v>0.25</v>
      </c>
      <c r="N845" s="120">
        <v>0.0</v>
      </c>
      <c r="O845" s="121"/>
      <c r="P845" s="117">
        <v>0.0</v>
      </c>
      <c r="Q845" s="117">
        <f t="shared" si="2"/>
        <v>0</v>
      </c>
      <c r="R845" s="122">
        <f>+(IF(((M845*24)-P845)&lt;0,0,((M845*24)-P845)*'Estimación de pérdidas'!$F$72))*N845</f>
        <v>0</v>
      </c>
      <c r="S845" s="123" t="s">
        <v>117</v>
      </c>
      <c r="T845" s="124" t="s">
        <v>119</v>
      </c>
      <c r="U845" s="124">
        <f t="shared" si="3"/>
        <v>1</v>
      </c>
      <c r="V845" s="124">
        <v>1.0</v>
      </c>
      <c r="W845" s="124"/>
      <c r="X845" s="125"/>
      <c r="Y845" s="126"/>
      <c r="Z845" s="125">
        <f t="shared" si="4"/>
        <v>1</v>
      </c>
      <c r="AA845" s="127" t="str">
        <f t="shared" si="5"/>
        <v>Bajo</v>
      </c>
      <c r="AB845" s="128">
        <f t="shared" si="6"/>
        <v>4</v>
      </c>
      <c r="AC845" s="129">
        <f t="shared" si="7"/>
        <v>0.07589466384</v>
      </c>
    </row>
    <row r="846" ht="14.25" hidden="1" customHeight="1">
      <c r="A846" s="116" t="s">
        <v>1969</v>
      </c>
      <c r="B846" s="117" t="s">
        <v>1969</v>
      </c>
      <c r="C846" s="117" t="s">
        <v>2724</v>
      </c>
      <c r="D846" s="117" t="s">
        <v>2729</v>
      </c>
      <c r="E846" s="117" t="s">
        <v>2726</v>
      </c>
      <c r="F846" s="117" t="s">
        <v>2727</v>
      </c>
      <c r="G846" s="117" t="s">
        <v>2595</v>
      </c>
      <c r="H846" s="117" t="s">
        <v>2728</v>
      </c>
      <c r="I846" s="117">
        <v>1.0</v>
      </c>
      <c r="J846" s="117">
        <v>1.0</v>
      </c>
      <c r="K846" s="117" t="str">
        <f t="shared" si="1"/>
        <v>No</v>
      </c>
      <c r="L846" s="118" t="s">
        <v>116</v>
      </c>
      <c r="M846" s="119">
        <v>0.25</v>
      </c>
      <c r="N846" s="120">
        <v>0.0</v>
      </c>
      <c r="O846" s="121"/>
      <c r="P846" s="117">
        <v>0.0</v>
      </c>
      <c r="Q846" s="117">
        <f t="shared" si="2"/>
        <v>0</v>
      </c>
      <c r="R846" s="122">
        <f>+(IF(((M846*24)-P846)&lt;0,0,((M846*24)-P846)*'Estimación de pérdidas'!$F$72))*N846</f>
        <v>0</v>
      </c>
      <c r="S846" s="123" t="s">
        <v>117</v>
      </c>
      <c r="T846" s="124" t="s">
        <v>119</v>
      </c>
      <c r="U846" s="124">
        <f t="shared" si="3"/>
        <v>1</v>
      </c>
      <c r="V846" s="124">
        <v>1.0</v>
      </c>
      <c r="W846" s="124"/>
      <c r="X846" s="125"/>
      <c r="Y846" s="126"/>
      <c r="Z846" s="125">
        <f t="shared" si="4"/>
        <v>1</v>
      </c>
      <c r="AA846" s="127" t="str">
        <f t="shared" si="5"/>
        <v>Bajo</v>
      </c>
      <c r="AB846" s="128">
        <f t="shared" si="6"/>
        <v>4</v>
      </c>
      <c r="AC846" s="129">
        <f t="shared" si="7"/>
        <v>0.07589466384</v>
      </c>
    </row>
    <row r="847" ht="14.25" hidden="1" customHeight="1">
      <c r="A847" s="116" t="s">
        <v>1969</v>
      </c>
      <c r="B847" s="117" t="s">
        <v>1969</v>
      </c>
      <c r="C847" s="117" t="s">
        <v>2730</v>
      </c>
      <c r="D847" s="117" t="s">
        <v>2731</v>
      </c>
      <c r="E847" s="117" t="s">
        <v>2730</v>
      </c>
      <c r="F847" s="117" t="s">
        <v>2732</v>
      </c>
      <c r="G847" s="117" t="s">
        <v>472</v>
      </c>
      <c r="H847" s="117" t="s">
        <v>2733</v>
      </c>
      <c r="I847" s="117">
        <v>1.0</v>
      </c>
      <c r="J847" s="117">
        <v>1.0</v>
      </c>
      <c r="K847" s="117" t="str">
        <f t="shared" si="1"/>
        <v>No</v>
      </c>
      <c r="L847" s="118" t="s">
        <v>116</v>
      </c>
      <c r="M847" s="119">
        <v>0.25</v>
      </c>
      <c r="N847" s="120">
        <v>0.0</v>
      </c>
      <c r="O847" s="121"/>
      <c r="P847" s="117">
        <v>0.0</v>
      </c>
      <c r="Q847" s="117">
        <f t="shared" si="2"/>
        <v>0</v>
      </c>
      <c r="R847" s="122">
        <f>+(IF(((M847*24)-P847)&lt;0,0,((M847*24)-P847)*'Estimación de pérdidas'!$F$72))*N847</f>
        <v>0</v>
      </c>
      <c r="S847" s="123" t="s">
        <v>117</v>
      </c>
      <c r="T847" s="124" t="s">
        <v>119</v>
      </c>
      <c r="U847" s="124">
        <f t="shared" si="3"/>
        <v>1</v>
      </c>
      <c r="V847" s="124">
        <v>1.0</v>
      </c>
      <c r="W847" s="124">
        <v>1.0</v>
      </c>
      <c r="X847" s="125"/>
      <c r="Y847" s="126"/>
      <c r="Z847" s="125">
        <f t="shared" si="4"/>
        <v>1</v>
      </c>
      <c r="AA847" s="127" t="str">
        <f t="shared" si="5"/>
        <v>Bajo</v>
      </c>
      <c r="AB847" s="128">
        <f t="shared" si="6"/>
        <v>4</v>
      </c>
      <c r="AC847" s="129">
        <f t="shared" si="7"/>
        <v>0.09295160031</v>
      </c>
    </row>
    <row r="848" ht="14.25" hidden="1" customHeight="1">
      <c r="A848" s="116" t="s">
        <v>1969</v>
      </c>
      <c r="B848" s="117" t="s">
        <v>1969</v>
      </c>
      <c r="C848" s="117" t="s">
        <v>2734</v>
      </c>
      <c r="D848" s="117" t="s">
        <v>2735</v>
      </c>
      <c r="E848" s="117" t="s">
        <v>2736</v>
      </c>
      <c r="F848" s="117" t="s">
        <v>2737</v>
      </c>
      <c r="G848" s="117" t="s">
        <v>2738</v>
      </c>
      <c r="H848" s="117" t="s">
        <v>2739</v>
      </c>
      <c r="I848" s="117">
        <v>1.0</v>
      </c>
      <c r="J848" s="117">
        <v>1.0</v>
      </c>
      <c r="K848" s="117" t="str">
        <f t="shared" si="1"/>
        <v>No</v>
      </c>
      <c r="L848" s="118" t="s">
        <v>116</v>
      </c>
      <c r="M848" s="119">
        <v>0.25</v>
      </c>
      <c r="N848" s="120">
        <v>0.0</v>
      </c>
      <c r="O848" s="121"/>
      <c r="P848" s="117">
        <v>0.0</v>
      </c>
      <c r="Q848" s="117">
        <f t="shared" si="2"/>
        <v>0</v>
      </c>
      <c r="R848" s="122">
        <f>+(IF(((M848*24)-P848)&lt;0,0,((M848*24)-P848)*'Estimación de pérdidas'!$F$72))*N848</f>
        <v>0</v>
      </c>
      <c r="S848" s="123" t="s">
        <v>117</v>
      </c>
      <c r="T848" s="124" t="s">
        <v>118</v>
      </c>
      <c r="U848" s="124">
        <f t="shared" si="3"/>
        <v>1</v>
      </c>
      <c r="V848" s="124">
        <v>1.0</v>
      </c>
      <c r="W848" s="124"/>
      <c r="X848" s="125"/>
      <c r="Y848" s="126"/>
      <c r="Z848" s="125">
        <f t="shared" si="4"/>
        <v>1</v>
      </c>
      <c r="AA848" s="127" t="str">
        <f t="shared" si="5"/>
        <v>Bajo</v>
      </c>
      <c r="AB848" s="128">
        <f t="shared" si="6"/>
        <v>2</v>
      </c>
      <c r="AC848" s="129">
        <f t="shared" si="7"/>
        <v>0.05059644256</v>
      </c>
    </row>
    <row r="849" ht="14.25" hidden="1" customHeight="1">
      <c r="A849" s="116" t="s">
        <v>1969</v>
      </c>
      <c r="B849" s="117" t="s">
        <v>1969</v>
      </c>
      <c r="C849" s="117" t="s">
        <v>2734</v>
      </c>
      <c r="D849" s="117" t="s">
        <v>2740</v>
      </c>
      <c r="E849" s="117" t="s">
        <v>2736</v>
      </c>
      <c r="F849" s="117" t="s">
        <v>2737</v>
      </c>
      <c r="G849" s="117" t="s">
        <v>2738</v>
      </c>
      <c r="H849" s="117" t="s">
        <v>2739</v>
      </c>
      <c r="I849" s="117">
        <v>1.0</v>
      </c>
      <c r="J849" s="117">
        <v>1.0</v>
      </c>
      <c r="K849" s="117" t="str">
        <f t="shared" si="1"/>
        <v>No</v>
      </c>
      <c r="L849" s="118" t="s">
        <v>116</v>
      </c>
      <c r="M849" s="119">
        <v>0.25</v>
      </c>
      <c r="N849" s="120">
        <v>0.0</v>
      </c>
      <c r="O849" s="121"/>
      <c r="P849" s="117">
        <v>0.0</v>
      </c>
      <c r="Q849" s="117">
        <f t="shared" si="2"/>
        <v>0</v>
      </c>
      <c r="R849" s="122">
        <f>+(IF(((M849*24)-P849)&lt;0,0,((M849*24)-P849)*'Estimación de pérdidas'!$F$72))*N849</f>
        <v>0</v>
      </c>
      <c r="S849" s="123" t="s">
        <v>117</v>
      </c>
      <c r="T849" s="124" t="s">
        <v>118</v>
      </c>
      <c r="U849" s="124">
        <f t="shared" si="3"/>
        <v>1</v>
      </c>
      <c r="V849" s="124">
        <v>1.0</v>
      </c>
      <c r="W849" s="124"/>
      <c r="X849" s="125"/>
      <c r="Y849" s="126"/>
      <c r="Z849" s="125">
        <f t="shared" si="4"/>
        <v>1</v>
      </c>
      <c r="AA849" s="127" t="str">
        <f t="shared" si="5"/>
        <v>Bajo</v>
      </c>
      <c r="AB849" s="128">
        <f t="shared" si="6"/>
        <v>2</v>
      </c>
      <c r="AC849" s="129">
        <f t="shared" si="7"/>
        <v>0.05059644256</v>
      </c>
    </row>
    <row r="850" ht="14.25" hidden="1" customHeight="1">
      <c r="A850" s="116" t="s">
        <v>1969</v>
      </c>
      <c r="B850" s="117" t="s">
        <v>1969</v>
      </c>
      <c r="C850" s="117" t="s">
        <v>2734</v>
      </c>
      <c r="D850" s="117" t="s">
        <v>2741</v>
      </c>
      <c r="E850" s="117" t="s">
        <v>2736</v>
      </c>
      <c r="F850" s="117" t="s">
        <v>2737</v>
      </c>
      <c r="G850" s="117" t="s">
        <v>2738</v>
      </c>
      <c r="H850" s="117" t="s">
        <v>2739</v>
      </c>
      <c r="I850" s="117">
        <v>1.0</v>
      </c>
      <c r="J850" s="117">
        <v>1.0</v>
      </c>
      <c r="K850" s="117" t="str">
        <f t="shared" si="1"/>
        <v>No</v>
      </c>
      <c r="L850" s="118" t="s">
        <v>116</v>
      </c>
      <c r="M850" s="119">
        <v>0.25</v>
      </c>
      <c r="N850" s="120">
        <v>0.0</v>
      </c>
      <c r="O850" s="121"/>
      <c r="P850" s="117">
        <v>0.0</v>
      </c>
      <c r="Q850" s="117">
        <f t="shared" si="2"/>
        <v>0</v>
      </c>
      <c r="R850" s="122">
        <f>+(IF(((M850*24)-P850)&lt;0,0,((M850*24)-P850)*'Estimación de pérdidas'!$F$72))*N850</f>
        <v>0</v>
      </c>
      <c r="S850" s="123" t="s">
        <v>117</v>
      </c>
      <c r="T850" s="124" t="s">
        <v>118</v>
      </c>
      <c r="U850" s="124">
        <f t="shared" si="3"/>
        <v>1</v>
      </c>
      <c r="V850" s="124">
        <v>1.0</v>
      </c>
      <c r="W850" s="124"/>
      <c r="X850" s="125"/>
      <c r="Y850" s="126"/>
      <c r="Z850" s="125">
        <f t="shared" si="4"/>
        <v>1</v>
      </c>
      <c r="AA850" s="127" t="str">
        <f t="shared" si="5"/>
        <v>Bajo</v>
      </c>
      <c r="AB850" s="128">
        <f t="shared" si="6"/>
        <v>2</v>
      </c>
      <c r="AC850" s="129">
        <f t="shared" si="7"/>
        <v>0.05059644256</v>
      </c>
    </row>
    <row r="851" ht="14.25" hidden="1" customHeight="1">
      <c r="A851" s="116" t="s">
        <v>1969</v>
      </c>
      <c r="B851" s="117" t="s">
        <v>1969</v>
      </c>
      <c r="C851" s="117" t="s">
        <v>2734</v>
      </c>
      <c r="D851" s="117" t="s">
        <v>2742</v>
      </c>
      <c r="E851" s="117" t="s">
        <v>2736</v>
      </c>
      <c r="F851" s="117" t="s">
        <v>2737</v>
      </c>
      <c r="G851" s="117" t="s">
        <v>2738</v>
      </c>
      <c r="H851" s="117" t="s">
        <v>2739</v>
      </c>
      <c r="I851" s="117">
        <v>1.0</v>
      </c>
      <c r="J851" s="117">
        <v>1.0</v>
      </c>
      <c r="K851" s="117" t="str">
        <f t="shared" si="1"/>
        <v>No</v>
      </c>
      <c r="L851" s="118" t="s">
        <v>116</v>
      </c>
      <c r="M851" s="119">
        <v>0.25</v>
      </c>
      <c r="N851" s="120">
        <v>0.0</v>
      </c>
      <c r="O851" s="121"/>
      <c r="P851" s="117">
        <v>0.0</v>
      </c>
      <c r="Q851" s="117">
        <f t="shared" si="2"/>
        <v>0</v>
      </c>
      <c r="R851" s="122">
        <f>+(IF(((M851*24)-P851)&lt;0,0,((M851*24)-P851)*'Estimación de pérdidas'!$F$72))*N851</f>
        <v>0</v>
      </c>
      <c r="S851" s="123" t="s">
        <v>117</v>
      </c>
      <c r="T851" s="124" t="s">
        <v>118</v>
      </c>
      <c r="U851" s="124">
        <f t="shared" si="3"/>
        <v>1</v>
      </c>
      <c r="V851" s="124">
        <v>1.0</v>
      </c>
      <c r="W851" s="124"/>
      <c r="X851" s="125"/>
      <c r="Y851" s="126"/>
      <c r="Z851" s="125">
        <f t="shared" si="4"/>
        <v>1</v>
      </c>
      <c r="AA851" s="127" t="str">
        <f t="shared" si="5"/>
        <v>Bajo</v>
      </c>
      <c r="AB851" s="128">
        <f t="shared" si="6"/>
        <v>2</v>
      </c>
      <c r="AC851" s="129">
        <f t="shared" si="7"/>
        <v>0.05059644256</v>
      </c>
    </row>
    <row r="852" ht="14.25" hidden="1" customHeight="1">
      <c r="A852" s="116" t="s">
        <v>1969</v>
      </c>
      <c r="B852" s="117" t="s">
        <v>1969</v>
      </c>
      <c r="C852" s="117" t="s">
        <v>2734</v>
      </c>
      <c r="D852" s="117" t="s">
        <v>2743</v>
      </c>
      <c r="E852" s="117" t="s">
        <v>2736</v>
      </c>
      <c r="F852" s="117" t="s">
        <v>2737</v>
      </c>
      <c r="G852" s="117" t="s">
        <v>2738</v>
      </c>
      <c r="H852" s="117" t="s">
        <v>2739</v>
      </c>
      <c r="I852" s="117">
        <v>1.0</v>
      </c>
      <c r="J852" s="117">
        <v>1.0</v>
      </c>
      <c r="K852" s="117" t="str">
        <f t="shared" si="1"/>
        <v>No</v>
      </c>
      <c r="L852" s="118" t="s">
        <v>116</v>
      </c>
      <c r="M852" s="119">
        <v>0.25</v>
      </c>
      <c r="N852" s="120">
        <v>0.0</v>
      </c>
      <c r="O852" s="121"/>
      <c r="P852" s="117">
        <v>0.0</v>
      </c>
      <c r="Q852" s="117">
        <f t="shared" si="2"/>
        <v>0</v>
      </c>
      <c r="R852" s="122">
        <f>+(IF(((M852*24)-P852)&lt;0,0,((M852*24)-P852)*'Estimación de pérdidas'!$F$72))*N852</f>
        <v>0</v>
      </c>
      <c r="S852" s="123" t="s">
        <v>117</v>
      </c>
      <c r="T852" s="124" t="s">
        <v>118</v>
      </c>
      <c r="U852" s="124">
        <f t="shared" si="3"/>
        <v>1</v>
      </c>
      <c r="V852" s="124">
        <v>1.0</v>
      </c>
      <c r="W852" s="124"/>
      <c r="X852" s="125"/>
      <c r="Y852" s="126"/>
      <c r="Z852" s="125">
        <f t="shared" si="4"/>
        <v>1</v>
      </c>
      <c r="AA852" s="127" t="str">
        <f t="shared" si="5"/>
        <v>Bajo</v>
      </c>
      <c r="AB852" s="128">
        <f t="shared" si="6"/>
        <v>2</v>
      </c>
      <c r="AC852" s="129">
        <f t="shared" si="7"/>
        <v>0.05059644256</v>
      </c>
    </row>
    <row r="853" ht="14.25" hidden="1" customHeight="1">
      <c r="A853" s="116" t="s">
        <v>1969</v>
      </c>
      <c r="B853" s="117" t="s">
        <v>1969</v>
      </c>
      <c r="C853" s="117" t="s">
        <v>2734</v>
      </c>
      <c r="D853" s="117" t="s">
        <v>2744</v>
      </c>
      <c r="E853" s="117" t="s">
        <v>2736</v>
      </c>
      <c r="F853" s="117" t="s">
        <v>2737</v>
      </c>
      <c r="G853" s="117" t="s">
        <v>2738</v>
      </c>
      <c r="H853" s="117" t="s">
        <v>2739</v>
      </c>
      <c r="I853" s="117">
        <v>1.0</v>
      </c>
      <c r="J853" s="117">
        <v>1.0</v>
      </c>
      <c r="K853" s="117" t="str">
        <f t="shared" si="1"/>
        <v>No</v>
      </c>
      <c r="L853" s="118" t="s">
        <v>116</v>
      </c>
      <c r="M853" s="119">
        <v>0.25</v>
      </c>
      <c r="N853" s="120">
        <v>0.0</v>
      </c>
      <c r="O853" s="121"/>
      <c r="P853" s="117">
        <v>0.0</v>
      </c>
      <c r="Q853" s="117">
        <f t="shared" si="2"/>
        <v>0</v>
      </c>
      <c r="R853" s="122">
        <f>+(IF(((M853*24)-P853)&lt;0,0,((M853*24)-P853)*'Estimación de pérdidas'!$F$72))*N853</f>
        <v>0</v>
      </c>
      <c r="S853" s="123" t="s">
        <v>117</v>
      </c>
      <c r="T853" s="124" t="s">
        <v>118</v>
      </c>
      <c r="U853" s="124">
        <f t="shared" si="3"/>
        <v>1</v>
      </c>
      <c r="V853" s="124">
        <v>1.0</v>
      </c>
      <c r="W853" s="124"/>
      <c r="X853" s="125"/>
      <c r="Y853" s="126"/>
      <c r="Z853" s="125">
        <f t="shared" si="4"/>
        <v>1</v>
      </c>
      <c r="AA853" s="127" t="str">
        <f t="shared" si="5"/>
        <v>Bajo</v>
      </c>
      <c r="AB853" s="128">
        <f t="shared" si="6"/>
        <v>2</v>
      </c>
      <c r="AC853" s="129">
        <f t="shared" si="7"/>
        <v>0.05059644256</v>
      </c>
    </row>
    <row r="854" ht="14.25" hidden="1" customHeight="1">
      <c r="A854" s="116" t="s">
        <v>1969</v>
      </c>
      <c r="B854" s="117" t="s">
        <v>1969</v>
      </c>
      <c r="C854" s="117" t="s">
        <v>2745</v>
      </c>
      <c r="D854" s="117" t="s">
        <v>2746</v>
      </c>
      <c r="E854" s="117" t="s">
        <v>2745</v>
      </c>
      <c r="F854" s="117" t="s">
        <v>2747</v>
      </c>
      <c r="G854" s="117" t="s">
        <v>2748</v>
      </c>
      <c r="H854" s="117" t="s">
        <v>2749</v>
      </c>
      <c r="I854" s="117">
        <v>1.0</v>
      </c>
      <c r="J854" s="117">
        <v>1.0</v>
      </c>
      <c r="K854" s="117" t="str">
        <f t="shared" si="1"/>
        <v>No</v>
      </c>
      <c r="L854" s="118" t="s">
        <v>116</v>
      </c>
      <c r="M854" s="119">
        <v>0.25</v>
      </c>
      <c r="N854" s="120">
        <v>0.0</v>
      </c>
      <c r="O854" s="121">
        <v>91.32</v>
      </c>
      <c r="P854" s="117">
        <v>1.0</v>
      </c>
      <c r="Q854" s="117">
        <f t="shared" si="2"/>
        <v>0</v>
      </c>
      <c r="R854" s="122">
        <f>+(IF(((M854*24)-P854)&lt;0,0,((M854*24)-P854)*'Estimación de pérdidas'!$F$72))*N854</f>
        <v>0</v>
      </c>
      <c r="S854" s="123" t="s">
        <v>117</v>
      </c>
      <c r="T854" s="124" t="s">
        <v>119</v>
      </c>
      <c r="U854" s="124">
        <f t="shared" si="3"/>
        <v>1</v>
      </c>
      <c r="V854" s="124">
        <v>1.0</v>
      </c>
      <c r="W854" s="124"/>
      <c r="X854" s="125"/>
      <c r="Y854" s="126"/>
      <c r="Z854" s="125">
        <f t="shared" si="4"/>
        <v>1</v>
      </c>
      <c r="AA854" s="127" t="str">
        <f t="shared" si="5"/>
        <v>Bajo</v>
      </c>
      <c r="AB854" s="128">
        <f t="shared" si="6"/>
        <v>4</v>
      </c>
      <c r="AC854" s="129">
        <f t="shared" si="7"/>
        <v>0.07589466384</v>
      </c>
    </row>
    <row r="855" ht="14.25" hidden="1" customHeight="1">
      <c r="A855" s="116" t="s">
        <v>1969</v>
      </c>
      <c r="B855" s="117" t="s">
        <v>1969</v>
      </c>
      <c r="C855" s="117" t="s">
        <v>2745</v>
      </c>
      <c r="D855" s="117" t="s">
        <v>2750</v>
      </c>
      <c r="E855" s="117" t="s">
        <v>2745</v>
      </c>
      <c r="F855" s="117" t="s">
        <v>2747</v>
      </c>
      <c r="G855" s="117" t="s">
        <v>2748</v>
      </c>
      <c r="H855" s="117" t="s">
        <v>2749</v>
      </c>
      <c r="I855" s="117">
        <v>1.0</v>
      </c>
      <c r="J855" s="117">
        <v>1.0</v>
      </c>
      <c r="K855" s="117" t="str">
        <f t="shared" si="1"/>
        <v>No</v>
      </c>
      <c r="L855" s="118" t="s">
        <v>116</v>
      </c>
      <c r="M855" s="119">
        <v>0.25</v>
      </c>
      <c r="N855" s="120">
        <v>0.0</v>
      </c>
      <c r="O855" s="121">
        <v>91.32</v>
      </c>
      <c r="P855" s="117">
        <v>1.0</v>
      </c>
      <c r="Q855" s="117">
        <f t="shared" si="2"/>
        <v>0</v>
      </c>
      <c r="R855" s="122">
        <f>+(IF(((M855*24)-P855)&lt;0,0,((M855*24)-P855)*'Estimación de pérdidas'!$F$72))*N855</f>
        <v>0</v>
      </c>
      <c r="S855" s="123" t="s">
        <v>117</v>
      </c>
      <c r="T855" s="124" t="s">
        <v>119</v>
      </c>
      <c r="U855" s="124">
        <f t="shared" si="3"/>
        <v>1</v>
      </c>
      <c r="V855" s="124">
        <v>1.0</v>
      </c>
      <c r="W855" s="124"/>
      <c r="X855" s="125"/>
      <c r="Y855" s="126"/>
      <c r="Z855" s="125">
        <f t="shared" si="4"/>
        <v>1</v>
      </c>
      <c r="AA855" s="127" t="str">
        <f t="shared" si="5"/>
        <v>Bajo</v>
      </c>
      <c r="AB855" s="128">
        <f t="shared" si="6"/>
        <v>4</v>
      </c>
      <c r="AC855" s="129">
        <f t="shared" si="7"/>
        <v>0.07589466384</v>
      </c>
    </row>
    <row r="856" ht="14.25" hidden="1" customHeight="1">
      <c r="A856" s="116" t="s">
        <v>1969</v>
      </c>
      <c r="B856" s="117" t="s">
        <v>1969</v>
      </c>
      <c r="C856" s="117" t="s">
        <v>2745</v>
      </c>
      <c r="D856" s="117" t="s">
        <v>2751</v>
      </c>
      <c r="E856" s="117" t="s">
        <v>2745</v>
      </c>
      <c r="F856" s="117" t="s">
        <v>2747</v>
      </c>
      <c r="G856" s="117" t="s">
        <v>2748</v>
      </c>
      <c r="H856" s="117" t="s">
        <v>2749</v>
      </c>
      <c r="I856" s="117">
        <v>1.0</v>
      </c>
      <c r="J856" s="117">
        <v>1.0</v>
      </c>
      <c r="K856" s="117" t="str">
        <f t="shared" si="1"/>
        <v>No</v>
      </c>
      <c r="L856" s="118" t="s">
        <v>116</v>
      </c>
      <c r="M856" s="119">
        <v>0.25</v>
      </c>
      <c r="N856" s="120">
        <v>0.0</v>
      </c>
      <c r="O856" s="121">
        <v>91.32</v>
      </c>
      <c r="P856" s="117">
        <v>1.0</v>
      </c>
      <c r="Q856" s="117">
        <f t="shared" si="2"/>
        <v>0</v>
      </c>
      <c r="R856" s="122">
        <f>+(IF(((M856*24)-P856)&lt;0,0,((M856*24)-P856)*'Estimación de pérdidas'!$F$72))*N856</f>
        <v>0</v>
      </c>
      <c r="S856" s="123" t="s">
        <v>117</v>
      </c>
      <c r="T856" s="124" t="s">
        <v>119</v>
      </c>
      <c r="U856" s="124">
        <f t="shared" si="3"/>
        <v>1</v>
      </c>
      <c r="V856" s="124">
        <v>1.0</v>
      </c>
      <c r="W856" s="124"/>
      <c r="X856" s="125"/>
      <c r="Y856" s="126"/>
      <c r="Z856" s="125">
        <f t="shared" si="4"/>
        <v>1</v>
      </c>
      <c r="AA856" s="127" t="str">
        <f t="shared" si="5"/>
        <v>Bajo</v>
      </c>
      <c r="AB856" s="128">
        <f t="shared" si="6"/>
        <v>4</v>
      </c>
      <c r="AC856" s="129">
        <f t="shared" si="7"/>
        <v>0.07589466384</v>
      </c>
    </row>
    <row r="857" ht="14.25" hidden="1" customHeight="1">
      <c r="A857" s="116" t="s">
        <v>1969</v>
      </c>
      <c r="B857" s="117" t="s">
        <v>1969</v>
      </c>
      <c r="C857" s="117" t="s">
        <v>2745</v>
      </c>
      <c r="D857" s="117" t="s">
        <v>2752</v>
      </c>
      <c r="E857" s="117" t="s">
        <v>2745</v>
      </c>
      <c r="F857" s="117" t="s">
        <v>2747</v>
      </c>
      <c r="G857" s="117" t="s">
        <v>2748</v>
      </c>
      <c r="H857" s="117" t="s">
        <v>2749</v>
      </c>
      <c r="I857" s="117">
        <v>1.0</v>
      </c>
      <c r="J857" s="117">
        <v>1.0</v>
      </c>
      <c r="K857" s="117" t="str">
        <f t="shared" si="1"/>
        <v>No</v>
      </c>
      <c r="L857" s="118" t="s">
        <v>116</v>
      </c>
      <c r="M857" s="119">
        <v>0.25</v>
      </c>
      <c r="N857" s="120">
        <v>0.0</v>
      </c>
      <c r="O857" s="121">
        <v>91.32</v>
      </c>
      <c r="P857" s="117">
        <v>1.0</v>
      </c>
      <c r="Q857" s="117">
        <f t="shared" si="2"/>
        <v>0</v>
      </c>
      <c r="R857" s="122">
        <f>+(IF(((M857*24)-P857)&lt;0,0,((M857*24)-P857)*'Estimación de pérdidas'!$F$72))*N857</f>
        <v>0</v>
      </c>
      <c r="S857" s="123" t="s">
        <v>117</v>
      </c>
      <c r="T857" s="124" t="s">
        <v>119</v>
      </c>
      <c r="U857" s="124">
        <f t="shared" si="3"/>
        <v>1</v>
      </c>
      <c r="V857" s="124">
        <v>1.0</v>
      </c>
      <c r="W857" s="124"/>
      <c r="X857" s="125"/>
      <c r="Y857" s="126"/>
      <c r="Z857" s="125">
        <f t="shared" si="4"/>
        <v>1</v>
      </c>
      <c r="AA857" s="127" t="str">
        <f t="shared" si="5"/>
        <v>Bajo</v>
      </c>
      <c r="AB857" s="128">
        <f t="shared" si="6"/>
        <v>4</v>
      </c>
      <c r="AC857" s="129">
        <f t="shared" si="7"/>
        <v>0.07589466384</v>
      </c>
    </row>
    <row r="858" ht="14.25" hidden="1" customHeight="1">
      <c r="A858" s="116" t="s">
        <v>1969</v>
      </c>
      <c r="B858" s="117" t="s">
        <v>1969</v>
      </c>
      <c r="C858" s="117" t="s">
        <v>2745</v>
      </c>
      <c r="D858" s="117" t="s">
        <v>2753</v>
      </c>
      <c r="E858" s="117" t="s">
        <v>2745</v>
      </c>
      <c r="F858" s="117" t="s">
        <v>2747</v>
      </c>
      <c r="G858" s="117" t="s">
        <v>2748</v>
      </c>
      <c r="H858" s="117" t="s">
        <v>2749</v>
      </c>
      <c r="I858" s="117">
        <v>1.0</v>
      </c>
      <c r="J858" s="117">
        <v>1.0</v>
      </c>
      <c r="K858" s="117" t="str">
        <f t="shared" si="1"/>
        <v>No</v>
      </c>
      <c r="L858" s="118" t="s">
        <v>116</v>
      </c>
      <c r="M858" s="119">
        <v>0.25</v>
      </c>
      <c r="N858" s="120">
        <v>0.0</v>
      </c>
      <c r="O858" s="121">
        <v>91.32</v>
      </c>
      <c r="P858" s="117">
        <v>1.0</v>
      </c>
      <c r="Q858" s="117">
        <f t="shared" si="2"/>
        <v>0</v>
      </c>
      <c r="R858" s="122">
        <f>+(IF(((M858*24)-P858)&lt;0,0,((M858*24)-P858)*'Estimación de pérdidas'!$F$72))*N858</f>
        <v>0</v>
      </c>
      <c r="S858" s="123" t="s">
        <v>117</v>
      </c>
      <c r="T858" s="124" t="s">
        <v>119</v>
      </c>
      <c r="U858" s="124">
        <f t="shared" si="3"/>
        <v>1</v>
      </c>
      <c r="V858" s="124">
        <v>1.0</v>
      </c>
      <c r="W858" s="124"/>
      <c r="X858" s="125"/>
      <c r="Y858" s="126"/>
      <c r="Z858" s="125">
        <f t="shared" si="4"/>
        <v>1</v>
      </c>
      <c r="AA858" s="127" t="str">
        <f t="shared" si="5"/>
        <v>Bajo</v>
      </c>
      <c r="AB858" s="128">
        <f t="shared" si="6"/>
        <v>4</v>
      </c>
      <c r="AC858" s="129">
        <f t="shared" si="7"/>
        <v>0.07589466384</v>
      </c>
    </row>
    <row r="859" ht="14.25" hidden="1" customHeight="1">
      <c r="A859" s="116" t="s">
        <v>1969</v>
      </c>
      <c r="B859" s="117" t="s">
        <v>1969</v>
      </c>
      <c r="C859" s="117" t="s">
        <v>2754</v>
      </c>
      <c r="D859" s="117" t="s">
        <v>2755</v>
      </c>
      <c r="E859" s="117" t="s">
        <v>2754</v>
      </c>
      <c r="F859" s="117" t="s">
        <v>2756</v>
      </c>
      <c r="G859" s="117" t="s">
        <v>2748</v>
      </c>
      <c r="H859" s="117" t="s">
        <v>2749</v>
      </c>
      <c r="I859" s="117">
        <v>1.0</v>
      </c>
      <c r="J859" s="117">
        <v>1.0</v>
      </c>
      <c r="K859" s="117" t="str">
        <f t="shared" si="1"/>
        <v>No</v>
      </c>
      <c r="L859" s="118" t="s">
        <v>116</v>
      </c>
      <c r="M859" s="119">
        <v>0.25</v>
      </c>
      <c r="N859" s="120">
        <v>0.0</v>
      </c>
      <c r="O859" s="121">
        <v>91.32</v>
      </c>
      <c r="P859" s="117">
        <v>1.0</v>
      </c>
      <c r="Q859" s="117">
        <f t="shared" si="2"/>
        <v>0</v>
      </c>
      <c r="R859" s="122">
        <f>+(IF(((M859*24)-P859)&lt;0,0,((M859*24)-P859)*'Estimación de pérdidas'!$F$72))*N859</f>
        <v>0</v>
      </c>
      <c r="S859" s="123" t="s">
        <v>117</v>
      </c>
      <c r="T859" s="124" t="s">
        <v>119</v>
      </c>
      <c r="U859" s="124">
        <f t="shared" si="3"/>
        <v>1</v>
      </c>
      <c r="V859" s="124">
        <v>1.0</v>
      </c>
      <c r="W859" s="124"/>
      <c r="X859" s="125"/>
      <c r="Y859" s="126"/>
      <c r="Z859" s="125">
        <f t="shared" si="4"/>
        <v>1</v>
      </c>
      <c r="AA859" s="127" t="str">
        <f t="shared" si="5"/>
        <v>Bajo</v>
      </c>
      <c r="AB859" s="128">
        <f t="shared" si="6"/>
        <v>4</v>
      </c>
      <c r="AC859" s="129">
        <f t="shared" si="7"/>
        <v>0.07589466384</v>
      </c>
    </row>
    <row r="860" ht="14.25" hidden="1" customHeight="1">
      <c r="A860" s="116" t="s">
        <v>1969</v>
      </c>
      <c r="B860" s="117" t="s">
        <v>1969</v>
      </c>
      <c r="C860" s="117" t="s">
        <v>2754</v>
      </c>
      <c r="D860" s="117" t="s">
        <v>2757</v>
      </c>
      <c r="E860" s="117" t="s">
        <v>2754</v>
      </c>
      <c r="F860" s="117" t="s">
        <v>2756</v>
      </c>
      <c r="G860" s="117" t="s">
        <v>2748</v>
      </c>
      <c r="H860" s="117" t="s">
        <v>2749</v>
      </c>
      <c r="I860" s="117">
        <v>1.0</v>
      </c>
      <c r="J860" s="117">
        <v>1.0</v>
      </c>
      <c r="K860" s="117" t="str">
        <f t="shared" si="1"/>
        <v>No</v>
      </c>
      <c r="L860" s="118" t="s">
        <v>116</v>
      </c>
      <c r="M860" s="119">
        <v>0.25</v>
      </c>
      <c r="N860" s="120">
        <v>0.0</v>
      </c>
      <c r="O860" s="121">
        <v>91.32</v>
      </c>
      <c r="P860" s="117">
        <v>1.0</v>
      </c>
      <c r="Q860" s="117">
        <f t="shared" si="2"/>
        <v>0</v>
      </c>
      <c r="R860" s="122">
        <f>+(IF(((M860*24)-P860)&lt;0,0,((M860*24)-P860)*'Estimación de pérdidas'!$F$72))*N860</f>
        <v>0</v>
      </c>
      <c r="S860" s="123" t="s">
        <v>117</v>
      </c>
      <c r="T860" s="124" t="s">
        <v>119</v>
      </c>
      <c r="U860" s="124">
        <f t="shared" si="3"/>
        <v>1</v>
      </c>
      <c r="V860" s="124">
        <v>1.0</v>
      </c>
      <c r="W860" s="124"/>
      <c r="X860" s="125"/>
      <c r="Y860" s="126"/>
      <c r="Z860" s="125">
        <f t="shared" si="4"/>
        <v>1</v>
      </c>
      <c r="AA860" s="127" t="str">
        <f t="shared" si="5"/>
        <v>Bajo</v>
      </c>
      <c r="AB860" s="128">
        <f t="shared" si="6"/>
        <v>4</v>
      </c>
      <c r="AC860" s="129">
        <f t="shared" si="7"/>
        <v>0.07589466384</v>
      </c>
    </row>
    <row r="861" ht="14.25" hidden="1" customHeight="1">
      <c r="A861" s="116" t="s">
        <v>1969</v>
      </c>
      <c r="B861" s="117" t="s">
        <v>1969</v>
      </c>
      <c r="C861" s="117" t="s">
        <v>2754</v>
      </c>
      <c r="D861" s="117" t="s">
        <v>2758</v>
      </c>
      <c r="E861" s="117" t="s">
        <v>2754</v>
      </c>
      <c r="F861" s="117" t="s">
        <v>2756</v>
      </c>
      <c r="G861" s="117" t="s">
        <v>2748</v>
      </c>
      <c r="H861" s="117" t="s">
        <v>2749</v>
      </c>
      <c r="I861" s="117">
        <v>1.0</v>
      </c>
      <c r="J861" s="117">
        <v>1.0</v>
      </c>
      <c r="K861" s="117" t="str">
        <f t="shared" si="1"/>
        <v>No</v>
      </c>
      <c r="L861" s="118" t="s">
        <v>116</v>
      </c>
      <c r="M861" s="119">
        <v>0.25</v>
      </c>
      <c r="N861" s="120">
        <v>0.0</v>
      </c>
      <c r="O861" s="121">
        <v>91.32</v>
      </c>
      <c r="P861" s="117">
        <v>1.0</v>
      </c>
      <c r="Q861" s="117">
        <f t="shared" si="2"/>
        <v>0</v>
      </c>
      <c r="R861" s="122">
        <f>+(IF(((M861*24)-P861)&lt;0,0,((M861*24)-P861)*'Estimación de pérdidas'!$F$72))*N861</f>
        <v>0</v>
      </c>
      <c r="S861" s="123" t="s">
        <v>117</v>
      </c>
      <c r="T861" s="124" t="s">
        <v>119</v>
      </c>
      <c r="U861" s="124">
        <f t="shared" si="3"/>
        <v>1</v>
      </c>
      <c r="V861" s="124">
        <v>1.0</v>
      </c>
      <c r="W861" s="124"/>
      <c r="X861" s="125"/>
      <c r="Y861" s="126"/>
      <c r="Z861" s="125">
        <f t="shared" si="4"/>
        <v>1</v>
      </c>
      <c r="AA861" s="127" t="str">
        <f t="shared" si="5"/>
        <v>Bajo</v>
      </c>
      <c r="AB861" s="128">
        <f t="shared" si="6"/>
        <v>4</v>
      </c>
      <c r="AC861" s="129">
        <f t="shared" si="7"/>
        <v>0.07589466384</v>
      </c>
    </row>
    <row r="862" ht="14.25" hidden="1" customHeight="1">
      <c r="A862" s="116" t="s">
        <v>1969</v>
      </c>
      <c r="B862" s="117" t="s">
        <v>1969</v>
      </c>
      <c r="C862" s="117" t="s">
        <v>2754</v>
      </c>
      <c r="D862" s="117" t="s">
        <v>2759</v>
      </c>
      <c r="E862" s="117" t="s">
        <v>2754</v>
      </c>
      <c r="F862" s="117" t="s">
        <v>2756</v>
      </c>
      <c r="G862" s="117" t="s">
        <v>2748</v>
      </c>
      <c r="H862" s="117" t="s">
        <v>2749</v>
      </c>
      <c r="I862" s="117">
        <v>1.0</v>
      </c>
      <c r="J862" s="117">
        <v>1.0</v>
      </c>
      <c r="K862" s="117" t="str">
        <f t="shared" si="1"/>
        <v>No</v>
      </c>
      <c r="L862" s="118" t="s">
        <v>116</v>
      </c>
      <c r="M862" s="119">
        <v>0.25</v>
      </c>
      <c r="N862" s="120">
        <v>0.0</v>
      </c>
      <c r="O862" s="121">
        <v>91.32</v>
      </c>
      <c r="P862" s="117">
        <v>1.0</v>
      </c>
      <c r="Q862" s="117">
        <f t="shared" si="2"/>
        <v>0</v>
      </c>
      <c r="R862" s="122">
        <f>+(IF(((M862*24)-P862)&lt;0,0,((M862*24)-P862)*'Estimación de pérdidas'!$F$72))*N862</f>
        <v>0</v>
      </c>
      <c r="S862" s="123" t="s">
        <v>117</v>
      </c>
      <c r="T862" s="124" t="s">
        <v>119</v>
      </c>
      <c r="U862" s="124">
        <f t="shared" si="3"/>
        <v>1</v>
      </c>
      <c r="V862" s="124">
        <v>1.0</v>
      </c>
      <c r="W862" s="124"/>
      <c r="X862" s="125"/>
      <c r="Y862" s="126"/>
      <c r="Z862" s="125">
        <f t="shared" si="4"/>
        <v>1</v>
      </c>
      <c r="AA862" s="127" t="str">
        <f t="shared" si="5"/>
        <v>Bajo</v>
      </c>
      <c r="AB862" s="128">
        <f t="shared" si="6"/>
        <v>4</v>
      </c>
      <c r="AC862" s="129">
        <f t="shared" si="7"/>
        <v>0.07589466384</v>
      </c>
    </row>
    <row r="863" ht="14.25" hidden="1" customHeight="1">
      <c r="A863" s="116" t="s">
        <v>1969</v>
      </c>
      <c r="B863" s="117" t="s">
        <v>1969</v>
      </c>
      <c r="C863" s="117" t="s">
        <v>2754</v>
      </c>
      <c r="D863" s="117" t="s">
        <v>2760</v>
      </c>
      <c r="E863" s="117" t="s">
        <v>2754</v>
      </c>
      <c r="F863" s="117" t="s">
        <v>2756</v>
      </c>
      <c r="G863" s="117" t="s">
        <v>2748</v>
      </c>
      <c r="H863" s="117" t="s">
        <v>2749</v>
      </c>
      <c r="I863" s="117">
        <v>1.0</v>
      </c>
      <c r="J863" s="117">
        <v>1.0</v>
      </c>
      <c r="K863" s="117" t="str">
        <f t="shared" si="1"/>
        <v>No</v>
      </c>
      <c r="L863" s="118" t="s">
        <v>116</v>
      </c>
      <c r="M863" s="119">
        <v>0.25</v>
      </c>
      <c r="N863" s="120">
        <v>0.0</v>
      </c>
      <c r="O863" s="121">
        <v>91.32</v>
      </c>
      <c r="P863" s="117">
        <v>1.0</v>
      </c>
      <c r="Q863" s="117">
        <f t="shared" si="2"/>
        <v>0</v>
      </c>
      <c r="R863" s="122">
        <f>+(IF(((M863*24)-P863)&lt;0,0,((M863*24)-P863)*'Estimación de pérdidas'!$F$72))*N863</f>
        <v>0</v>
      </c>
      <c r="S863" s="123" t="s">
        <v>117</v>
      </c>
      <c r="T863" s="124" t="s">
        <v>119</v>
      </c>
      <c r="U863" s="124">
        <f t="shared" si="3"/>
        <v>1</v>
      </c>
      <c r="V863" s="124">
        <v>1.0</v>
      </c>
      <c r="W863" s="124"/>
      <c r="X863" s="125"/>
      <c r="Y863" s="126"/>
      <c r="Z863" s="125">
        <f t="shared" si="4"/>
        <v>1</v>
      </c>
      <c r="AA863" s="127" t="str">
        <f t="shared" si="5"/>
        <v>Bajo</v>
      </c>
      <c r="AB863" s="128">
        <f t="shared" si="6"/>
        <v>4</v>
      </c>
      <c r="AC863" s="129">
        <f t="shared" si="7"/>
        <v>0.07589466384</v>
      </c>
    </row>
    <row r="864" ht="14.25" hidden="1" customHeight="1">
      <c r="A864" s="116" t="s">
        <v>1969</v>
      </c>
      <c r="B864" s="117" t="s">
        <v>1969</v>
      </c>
      <c r="C864" s="117" t="s">
        <v>2754</v>
      </c>
      <c r="D864" s="117" t="s">
        <v>2761</v>
      </c>
      <c r="E864" s="117" t="s">
        <v>2754</v>
      </c>
      <c r="F864" s="117" t="s">
        <v>2756</v>
      </c>
      <c r="G864" s="117" t="s">
        <v>2748</v>
      </c>
      <c r="H864" s="117" t="s">
        <v>2749</v>
      </c>
      <c r="I864" s="117">
        <v>1.0</v>
      </c>
      <c r="J864" s="117">
        <v>1.0</v>
      </c>
      <c r="K864" s="117" t="str">
        <f t="shared" si="1"/>
        <v>No</v>
      </c>
      <c r="L864" s="118" t="s">
        <v>116</v>
      </c>
      <c r="M864" s="119">
        <v>0.25</v>
      </c>
      <c r="N864" s="120">
        <v>0.0</v>
      </c>
      <c r="O864" s="121">
        <v>91.32</v>
      </c>
      <c r="P864" s="117">
        <v>1.0</v>
      </c>
      <c r="Q864" s="117">
        <f t="shared" si="2"/>
        <v>0</v>
      </c>
      <c r="R864" s="122">
        <f>+(IF(((M864*24)-P864)&lt;0,0,((M864*24)-P864)*'Estimación de pérdidas'!$F$72))*N864</f>
        <v>0</v>
      </c>
      <c r="S864" s="123" t="s">
        <v>117</v>
      </c>
      <c r="T864" s="124" t="s">
        <v>119</v>
      </c>
      <c r="U864" s="124">
        <f t="shared" si="3"/>
        <v>1</v>
      </c>
      <c r="V864" s="124">
        <v>1.0</v>
      </c>
      <c r="W864" s="124"/>
      <c r="X864" s="125"/>
      <c r="Y864" s="126"/>
      <c r="Z864" s="125">
        <f t="shared" si="4"/>
        <v>1</v>
      </c>
      <c r="AA864" s="127" t="str">
        <f t="shared" si="5"/>
        <v>Bajo</v>
      </c>
      <c r="AB864" s="128">
        <f t="shared" si="6"/>
        <v>4</v>
      </c>
      <c r="AC864" s="129">
        <f t="shared" si="7"/>
        <v>0.07589466384</v>
      </c>
    </row>
    <row r="865" ht="14.25" hidden="1" customHeight="1">
      <c r="A865" s="116" t="s">
        <v>1969</v>
      </c>
      <c r="B865" s="117" t="s">
        <v>1969</v>
      </c>
      <c r="C865" s="117" t="s">
        <v>2754</v>
      </c>
      <c r="D865" s="117" t="s">
        <v>2762</v>
      </c>
      <c r="E865" s="117" t="s">
        <v>2754</v>
      </c>
      <c r="F865" s="117" t="s">
        <v>2756</v>
      </c>
      <c r="G865" s="117" t="s">
        <v>2748</v>
      </c>
      <c r="H865" s="117" t="s">
        <v>2749</v>
      </c>
      <c r="I865" s="117">
        <v>1.0</v>
      </c>
      <c r="J865" s="117">
        <v>1.0</v>
      </c>
      <c r="K865" s="117" t="str">
        <f t="shared" si="1"/>
        <v>No</v>
      </c>
      <c r="L865" s="118" t="s">
        <v>116</v>
      </c>
      <c r="M865" s="119">
        <v>0.25</v>
      </c>
      <c r="N865" s="120">
        <v>0.0</v>
      </c>
      <c r="O865" s="121">
        <v>91.32</v>
      </c>
      <c r="P865" s="117">
        <v>1.0</v>
      </c>
      <c r="Q865" s="117">
        <f t="shared" si="2"/>
        <v>0</v>
      </c>
      <c r="R865" s="122">
        <f>+(IF(((M865*24)-P865)&lt;0,0,((M865*24)-P865)*'Estimación de pérdidas'!$F$72))*N865</f>
        <v>0</v>
      </c>
      <c r="S865" s="123" t="s">
        <v>117</v>
      </c>
      <c r="T865" s="124" t="s">
        <v>119</v>
      </c>
      <c r="U865" s="124">
        <f t="shared" si="3"/>
        <v>1</v>
      </c>
      <c r="V865" s="124">
        <v>1.0</v>
      </c>
      <c r="W865" s="124"/>
      <c r="X865" s="125"/>
      <c r="Y865" s="126"/>
      <c r="Z865" s="125">
        <f t="shared" si="4"/>
        <v>1</v>
      </c>
      <c r="AA865" s="127" t="str">
        <f t="shared" si="5"/>
        <v>Bajo</v>
      </c>
      <c r="AB865" s="128">
        <f t="shared" si="6"/>
        <v>4</v>
      </c>
      <c r="AC865" s="129">
        <f t="shared" si="7"/>
        <v>0.07589466384</v>
      </c>
    </row>
    <row r="866" ht="14.25" hidden="1" customHeight="1">
      <c r="A866" s="116" t="s">
        <v>1969</v>
      </c>
      <c r="B866" s="117" t="s">
        <v>1969</v>
      </c>
      <c r="C866" s="117" t="s">
        <v>2754</v>
      </c>
      <c r="D866" s="117" t="s">
        <v>2763</v>
      </c>
      <c r="E866" s="117" t="s">
        <v>2754</v>
      </c>
      <c r="F866" s="117" t="s">
        <v>2756</v>
      </c>
      <c r="G866" s="117" t="s">
        <v>2748</v>
      </c>
      <c r="H866" s="117" t="s">
        <v>2749</v>
      </c>
      <c r="I866" s="117">
        <v>1.0</v>
      </c>
      <c r="J866" s="117">
        <v>1.0</v>
      </c>
      <c r="K866" s="117" t="str">
        <f t="shared" si="1"/>
        <v>No</v>
      </c>
      <c r="L866" s="118" t="s">
        <v>116</v>
      </c>
      <c r="M866" s="119">
        <v>0.25</v>
      </c>
      <c r="N866" s="120">
        <v>0.0</v>
      </c>
      <c r="O866" s="121">
        <v>91.32</v>
      </c>
      <c r="P866" s="117">
        <v>1.0</v>
      </c>
      <c r="Q866" s="117">
        <f t="shared" si="2"/>
        <v>0</v>
      </c>
      <c r="R866" s="122">
        <f>+(IF(((M866*24)-P866)&lt;0,0,((M866*24)-P866)*'Estimación de pérdidas'!$F$72))*N866</f>
        <v>0</v>
      </c>
      <c r="S866" s="123" t="s">
        <v>117</v>
      </c>
      <c r="T866" s="124" t="s">
        <v>119</v>
      </c>
      <c r="U866" s="124">
        <f t="shared" si="3"/>
        <v>1</v>
      </c>
      <c r="V866" s="124">
        <v>1.0</v>
      </c>
      <c r="W866" s="124"/>
      <c r="X866" s="125"/>
      <c r="Y866" s="126"/>
      <c r="Z866" s="125">
        <f t="shared" si="4"/>
        <v>1</v>
      </c>
      <c r="AA866" s="127" t="str">
        <f t="shared" si="5"/>
        <v>Bajo</v>
      </c>
      <c r="AB866" s="128">
        <f t="shared" si="6"/>
        <v>4</v>
      </c>
      <c r="AC866" s="129">
        <f t="shared" si="7"/>
        <v>0.07589466384</v>
      </c>
    </row>
    <row r="867" ht="14.25" hidden="1" customHeight="1">
      <c r="A867" s="116" t="s">
        <v>1969</v>
      </c>
      <c r="B867" s="117" t="s">
        <v>1969</v>
      </c>
      <c r="C867" s="117" t="s">
        <v>2754</v>
      </c>
      <c r="D867" s="117" t="s">
        <v>2764</v>
      </c>
      <c r="E867" s="117" t="s">
        <v>2754</v>
      </c>
      <c r="F867" s="117" t="s">
        <v>2756</v>
      </c>
      <c r="G867" s="117" t="s">
        <v>2748</v>
      </c>
      <c r="H867" s="117" t="s">
        <v>2749</v>
      </c>
      <c r="I867" s="117">
        <v>1.0</v>
      </c>
      <c r="J867" s="117">
        <v>1.0</v>
      </c>
      <c r="K867" s="117" t="str">
        <f t="shared" si="1"/>
        <v>No</v>
      </c>
      <c r="L867" s="118" t="s">
        <v>116</v>
      </c>
      <c r="M867" s="119">
        <v>0.25</v>
      </c>
      <c r="N867" s="120">
        <v>0.0</v>
      </c>
      <c r="O867" s="121">
        <v>91.32</v>
      </c>
      <c r="P867" s="117">
        <v>1.0</v>
      </c>
      <c r="Q867" s="117">
        <f t="shared" si="2"/>
        <v>0</v>
      </c>
      <c r="R867" s="122">
        <f>+(IF(((M867*24)-P867)&lt;0,0,((M867*24)-P867)*'Estimación de pérdidas'!$F$72))*N867</f>
        <v>0</v>
      </c>
      <c r="S867" s="123" t="s">
        <v>117</v>
      </c>
      <c r="T867" s="124" t="s">
        <v>119</v>
      </c>
      <c r="U867" s="124">
        <f t="shared" si="3"/>
        <v>1</v>
      </c>
      <c r="V867" s="124">
        <v>1.0</v>
      </c>
      <c r="W867" s="124"/>
      <c r="X867" s="125"/>
      <c r="Y867" s="126"/>
      <c r="Z867" s="125">
        <f t="shared" si="4"/>
        <v>1</v>
      </c>
      <c r="AA867" s="127" t="str">
        <f t="shared" si="5"/>
        <v>Bajo</v>
      </c>
      <c r="AB867" s="128">
        <f t="shared" si="6"/>
        <v>4</v>
      </c>
      <c r="AC867" s="129">
        <f t="shared" si="7"/>
        <v>0.07589466384</v>
      </c>
    </row>
    <row r="868" ht="14.25" hidden="1" customHeight="1">
      <c r="A868" s="116" t="s">
        <v>1969</v>
      </c>
      <c r="B868" s="117" t="s">
        <v>1969</v>
      </c>
      <c r="C868" s="117" t="s">
        <v>2754</v>
      </c>
      <c r="D868" s="117" t="s">
        <v>2765</v>
      </c>
      <c r="E868" s="117" t="s">
        <v>2754</v>
      </c>
      <c r="F868" s="117" t="s">
        <v>2756</v>
      </c>
      <c r="G868" s="117" t="s">
        <v>2748</v>
      </c>
      <c r="H868" s="117" t="s">
        <v>2749</v>
      </c>
      <c r="I868" s="117">
        <v>1.0</v>
      </c>
      <c r="J868" s="117">
        <v>1.0</v>
      </c>
      <c r="K868" s="117" t="str">
        <f t="shared" si="1"/>
        <v>No</v>
      </c>
      <c r="L868" s="118" t="s">
        <v>116</v>
      </c>
      <c r="M868" s="119">
        <v>0.25</v>
      </c>
      <c r="N868" s="120">
        <v>0.0</v>
      </c>
      <c r="O868" s="121">
        <v>91.32</v>
      </c>
      <c r="P868" s="117">
        <v>1.0</v>
      </c>
      <c r="Q868" s="117">
        <f t="shared" si="2"/>
        <v>0</v>
      </c>
      <c r="R868" s="122">
        <f>+(IF(((M868*24)-P868)&lt;0,0,((M868*24)-P868)*'Estimación de pérdidas'!$F$72))*N868</f>
        <v>0</v>
      </c>
      <c r="S868" s="123" t="s">
        <v>117</v>
      </c>
      <c r="T868" s="124" t="s">
        <v>119</v>
      </c>
      <c r="U868" s="124">
        <f t="shared" si="3"/>
        <v>1</v>
      </c>
      <c r="V868" s="124">
        <v>1.0</v>
      </c>
      <c r="W868" s="124"/>
      <c r="X868" s="125"/>
      <c r="Y868" s="126"/>
      <c r="Z868" s="125">
        <f t="shared" si="4"/>
        <v>1</v>
      </c>
      <c r="AA868" s="127" t="str">
        <f t="shared" si="5"/>
        <v>Bajo</v>
      </c>
      <c r="AB868" s="128">
        <f t="shared" si="6"/>
        <v>4</v>
      </c>
      <c r="AC868" s="129">
        <f t="shared" si="7"/>
        <v>0.07589466384</v>
      </c>
    </row>
    <row r="869" ht="14.25" hidden="1" customHeight="1">
      <c r="A869" s="116" t="s">
        <v>1969</v>
      </c>
      <c r="B869" s="117" t="s">
        <v>1969</v>
      </c>
      <c r="C869" s="117" t="s">
        <v>2766</v>
      </c>
      <c r="D869" s="117" t="s">
        <v>2767</v>
      </c>
      <c r="E869" s="117" t="s">
        <v>2768</v>
      </c>
      <c r="F869" s="117" t="s">
        <v>2769</v>
      </c>
      <c r="G869" s="117" t="s">
        <v>2770</v>
      </c>
      <c r="H869" s="117" t="s">
        <v>2771</v>
      </c>
      <c r="I869" s="117">
        <v>1.0</v>
      </c>
      <c r="J869" s="117">
        <v>1.0</v>
      </c>
      <c r="K869" s="117" t="str">
        <f t="shared" si="1"/>
        <v>No</v>
      </c>
      <c r="L869" s="118" t="s">
        <v>116</v>
      </c>
      <c r="M869" s="119">
        <v>0.25</v>
      </c>
      <c r="N869" s="120">
        <v>0.0</v>
      </c>
      <c r="O869" s="121"/>
      <c r="P869" s="117">
        <v>0.0</v>
      </c>
      <c r="Q869" s="117">
        <f t="shared" si="2"/>
        <v>0</v>
      </c>
      <c r="R869" s="122">
        <f>+(IF(((M869*24)-P869)&lt;0,0,((M869*24)-P869)*'Estimación de pérdidas'!$F$72))*N869</f>
        <v>0</v>
      </c>
      <c r="S869" s="123" t="s">
        <v>117</v>
      </c>
      <c r="T869" s="124" t="s">
        <v>119</v>
      </c>
      <c r="U869" s="124">
        <f t="shared" si="3"/>
        <v>1</v>
      </c>
      <c r="V869" s="124">
        <v>1.0</v>
      </c>
      <c r="W869" s="124"/>
      <c r="X869" s="125"/>
      <c r="Y869" s="126"/>
      <c r="Z869" s="125">
        <f t="shared" si="4"/>
        <v>1</v>
      </c>
      <c r="AA869" s="127" t="str">
        <f t="shared" si="5"/>
        <v>Bajo</v>
      </c>
      <c r="AB869" s="128">
        <f t="shared" si="6"/>
        <v>4</v>
      </c>
      <c r="AC869" s="129">
        <f t="shared" si="7"/>
        <v>0.07589466384</v>
      </c>
    </row>
    <row r="870" ht="14.25" hidden="1" customHeight="1">
      <c r="A870" s="116" t="s">
        <v>1969</v>
      </c>
      <c r="B870" s="117" t="s">
        <v>1969</v>
      </c>
      <c r="C870" s="117" t="s">
        <v>2766</v>
      </c>
      <c r="D870" s="117" t="s">
        <v>2772</v>
      </c>
      <c r="E870" s="117" t="s">
        <v>2768</v>
      </c>
      <c r="F870" s="117" t="s">
        <v>2769</v>
      </c>
      <c r="G870" s="117" t="s">
        <v>2770</v>
      </c>
      <c r="H870" s="117" t="s">
        <v>2771</v>
      </c>
      <c r="I870" s="117">
        <v>1.0</v>
      </c>
      <c r="J870" s="117">
        <v>1.0</v>
      </c>
      <c r="K870" s="117" t="str">
        <f t="shared" si="1"/>
        <v>No</v>
      </c>
      <c r="L870" s="118" t="s">
        <v>116</v>
      </c>
      <c r="M870" s="119">
        <v>0.25</v>
      </c>
      <c r="N870" s="120">
        <v>0.0</v>
      </c>
      <c r="O870" s="121"/>
      <c r="P870" s="117">
        <v>0.0</v>
      </c>
      <c r="Q870" s="117">
        <f t="shared" si="2"/>
        <v>0</v>
      </c>
      <c r="R870" s="122">
        <f>+(IF(((M870*24)-P870)&lt;0,0,((M870*24)-P870)*'Estimación de pérdidas'!$F$72))*N870</f>
        <v>0</v>
      </c>
      <c r="S870" s="123" t="s">
        <v>117</v>
      </c>
      <c r="T870" s="124" t="s">
        <v>119</v>
      </c>
      <c r="U870" s="124">
        <f t="shared" si="3"/>
        <v>1</v>
      </c>
      <c r="V870" s="124">
        <v>1.0</v>
      </c>
      <c r="W870" s="124"/>
      <c r="X870" s="125"/>
      <c r="Y870" s="126"/>
      <c r="Z870" s="125">
        <f t="shared" si="4"/>
        <v>1</v>
      </c>
      <c r="AA870" s="127" t="str">
        <f t="shared" si="5"/>
        <v>Bajo</v>
      </c>
      <c r="AB870" s="128">
        <f t="shared" si="6"/>
        <v>4</v>
      </c>
      <c r="AC870" s="129">
        <f t="shared" si="7"/>
        <v>0.07589466384</v>
      </c>
    </row>
    <row r="871" ht="14.25" hidden="1" customHeight="1">
      <c r="A871" s="116" t="s">
        <v>1969</v>
      </c>
      <c r="B871" s="117" t="s">
        <v>1969</v>
      </c>
      <c r="C871" s="117" t="s">
        <v>2766</v>
      </c>
      <c r="D871" s="117" t="s">
        <v>2773</v>
      </c>
      <c r="E871" s="117" t="s">
        <v>2768</v>
      </c>
      <c r="F871" s="117" t="s">
        <v>2769</v>
      </c>
      <c r="G871" s="117" t="s">
        <v>2770</v>
      </c>
      <c r="H871" s="117" t="s">
        <v>2771</v>
      </c>
      <c r="I871" s="117">
        <v>1.0</v>
      </c>
      <c r="J871" s="117">
        <v>1.0</v>
      </c>
      <c r="K871" s="117" t="str">
        <f t="shared" si="1"/>
        <v>No</v>
      </c>
      <c r="L871" s="118" t="s">
        <v>116</v>
      </c>
      <c r="M871" s="119">
        <v>0.25</v>
      </c>
      <c r="N871" s="120">
        <v>0.0</v>
      </c>
      <c r="O871" s="121"/>
      <c r="P871" s="117">
        <v>0.0</v>
      </c>
      <c r="Q871" s="117">
        <f t="shared" si="2"/>
        <v>0</v>
      </c>
      <c r="R871" s="122">
        <f>+(IF(((M871*24)-P871)&lt;0,0,((M871*24)-P871)*'Estimación de pérdidas'!$F$72))*N871</f>
        <v>0</v>
      </c>
      <c r="S871" s="123" t="s">
        <v>117</v>
      </c>
      <c r="T871" s="124" t="s">
        <v>119</v>
      </c>
      <c r="U871" s="124">
        <f t="shared" si="3"/>
        <v>1</v>
      </c>
      <c r="V871" s="124">
        <v>1.0</v>
      </c>
      <c r="W871" s="124"/>
      <c r="X871" s="125"/>
      <c r="Y871" s="126"/>
      <c r="Z871" s="125">
        <f t="shared" si="4"/>
        <v>1</v>
      </c>
      <c r="AA871" s="127" t="str">
        <f t="shared" si="5"/>
        <v>Bajo</v>
      </c>
      <c r="AB871" s="128">
        <f t="shared" si="6"/>
        <v>4</v>
      </c>
      <c r="AC871" s="129">
        <f t="shared" si="7"/>
        <v>0.07589466384</v>
      </c>
    </row>
    <row r="872" ht="14.25" hidden="1" customHeight="1">
      <c r="A872" s="116" t="s">
        <v>1969</v>
      </c>
      <c r="B872" s="117" t="s">
        <v>1969</v>
      </c>
      <c r="C872" s="117" t="s">
        <v>2766</v>
      </c>
      <c r="D872" s="117" t="s">
        <v>2774</v>
      </c>
      <c r="E872" s="117" t="s">
        <v>2768</v>
      </c>
      <c r="F872" s="117" t="s">
        <v>2769</v>
      </c>
      <c r="G872" s="117" t="s">
        <v>2770</v>
      </c>
      <c r="H872" s="117" t="s">
        <v>2771</v>
      </c>
      <c r="I872" s="117">
        <v>1.0</v>
      </c>
      <c r="J872" s="117">
        <v>1.0</v>
      </c>
      <c r="K872" s="117" t="str">
        <f t="shared" si="1"/>
        <v>No</v>
      </c>
      <c r="L872" s="118" t="s">
        <v>116</v>
      </c>
      <c r="M872" s="119">
        <v>0.25</v>
      </c>
      <c r="N872" s="120">
        <v>0.0</v>
      </c>
      <c r="O872" s="121"/>
      <c r="P872" s="117">
        <v>0.0</v>
      </c>
      <c r="Q872" s="117">
        <f t="shared" si="2"/>
        <v>0</v>
      </c>
      <c r="R872" s="122">
        <f>+(IF(((M872*24)-P872)&lt;0,0,((M872*24)-P872)*'Estimación de pérdidas'!$F$72))*N872</f>
        <v>0</v>
      </c>
      <c r="S872" s="123" t="s">
        <v>117</v>
      </c>
      <c r="T872" s="124" t="s">
        <v>119</v>
      </c>
      <c r="U872" s="124">
        <f t="shared" si="3"/>
        <v>1</v>
      </c>
      <c r="V872" s="124">
        <v>1.0</v>
      </c>
      <c r="W872" s="124"/>
      <c r="X872" s="125"/>
      <c r="Y872" s="126"/>
      <c r="Z872" s="125">
        <f t="shared" si="4"/>
        <v>1</v>
      </c>
      <c r="AA872" s="127" t="str">
        <f t="shared" si="5"/>
        <v>Bajo</v>
      </c>
      <c r="AB872" s="128">
        <f t="shared" si="6"/>
        <v>4</v>
      </c>
      <c r="AC872" s="129">
        <f t="shared" si="7"/>
        <v>0.07589466384</v>
      </c>
    </row>
    <row r="873" ht="14.25" hidden="1" customHeight="1">
      <c r="A873" s="116" t="s">
        <v>1969</v>
      </c>
      <c r="B873" s="117" t="s">
        <v>1969</v>
      </c>
      <c r="C873" s="117" t="s">
        <v>2766</v>
      </c>
      <c r="D873" s="117" t="s">
        <v>2775</v>
      </c>
      <c r="E873" s="117" t="s">
        <v>2768</v>
      </c>
      <c r="F873" s="117" t="s">
        <v>2769</v>
      </c>
      <c r="G873" s="117" t="s">
        <v>2770</v>
      </c>
      <c r="H873" s="117" t="s">
        <v>2771</v>
      </c>
      <c r="I873" s="117">
        <v>1.0</v>
      </c>
      <c r="J873" s="117">
        <v>1.0</v>
      </c>
      <c r="K873" s="117" t="str">
        <f t="shared" si="1"/>
        <v>No</v>
      </c>
      <c r="L873" s="118" t="s">
        <v>116</v>
      </c>
      <c r="M873" s="119">
        <v>0.25</v>
      </c>
      <c r="N873" s="120">
        <v>0.0</v>
      </c>
      <c r="O873" s="121"/>
      <c r="P873" s="117">
        <v>0.0</v>
      </c>
      <c r="Q873" s="117">
        <f t="shared" si="2"/>
        <v>0</v>
      </c>
      <c r="R873" s="122">
        <f>+(IF(((M873*24)-P873)&lt;0,0,((M873*24)-P873)*'Estimación de pérdidas'!$F$72))*N873</f>
        <v>0</v>
      </c>
      <c r="S873" s="123" t="s">
        <v>117</v>
      </c>
      <c r="T873" s="124" t="s">
        <v>119</v>
      </c>
      <c r="U873" s="124">
        <f t="shared" si="3"/>
        <v>1</v>
      </c>
      <c r="V873" s="124">
        <v>1.0</v>
      </c>
      <c r="W873" s="124"/>
      <c r="X873" s="125"/>
      <c r="Y873" s="126"/>
      <c r="Z873" s="125">
        <f t="shared" si="4"/>
        <v>1</v>
      </c>
      <c r="AA873" s="127" t="str">
        <f t="shared" si="5"/>
        <v>Bajo</v>
      </c>
      <c r="AB873" s="128">
        <f t="shared" si="6"/>
        <v>4</v>
      </c>
      <c r="AC873" s="129">
        <f t="shared" si="7"/>
        <v>0.07589466384</v>
      </c>
    </row>
    <row r="874" ht="14.25" hidden="1" customHeight="1">
      <c r="A874" s="116" t="s">
        <v>1969</v>
      </c>
      <c r="B874" s="117" t="s">
        <v>1969</v>
      </c>
      <c r="C874" s="117" t="s">
        <v>2776</v>
      </c>
      <c r="D874" s="117" t="s">
        <v>2777</v>
      </c>
      <c r="E874" s="117" t="s">
        <v>2778</v>
      </c>
      <c r="F874" s="117" t="s">
        <v>2779</v>
      </c>
      <c r="G874" s="117" t="s">
        <v>2770</v>
      </c>
      <c r="H874" s="117" t="s">
        <v>2771</v>
      </c>
      <c r="I874" s="117">
        <v>1.0</v>
      </c>
      <c r="J874" s="117">
        <v>1.0</v>
      </c>
      <c r="K874" s="117" t="str">
        <f t="shared" si="1"/>
        <v>No</v>
      </c>
      <c r="L874" s="118" t="s">
        <v>116</v>
      </c>
      <c r="M874" s="119">
        <v>0.25</v>
      </c>
      <c r="N874" s="120">
        <v>0.0</v>
      </c>
      <c r="O874" s="121"/>
      <c r="P874" s="117">
        <v>0.0</v>
      </c>
      <c r="Q874" s="117">
        <f t="shared" si="2"/>
        <v>0</v>
      </c>
      <c r="R874" s="122">
        <f>+(IF(((M874*24)-P874)&lt;0,0,((M874*24)-P874)*'Estimación de pérdidas'!$F$72))*N874</f>
        <v>0</v>
      </c>
      <c r="S874" s="123" t="s">
        <v>117</v>
      </c>
      <c r="T874" s="124" t="s">
        <v>119</v>
      </c>
      <c r="U874" s="124">
        <f t="shared" si="3"/>
        <v>1</v>
      </c>
      <c r="V874" s="124">
        <v>1.0</v>
      </c>
      <c r="W874" s="124"/>
      <c r="X874" s="125"/>
      <c r="Y874" s="126"/>
      <c r="Z874" s="125">
        <f t="shared" si="4"/>
        <v>1</v>
      </c>
      <c r="AA874" s="127" t="str">
        <f t="shared" si="5"/>
        <v>Bajo</v>
      </c>
      <c r="AB874" s="128">
        <f t="shared" si="6"/>
        <v>4</v>
      </c>
      <c r="AC874" s="129">
        <f t="shared" si="7"/>
        <v>0.07589466384</v>
      </c>
    </row>
    <row r="875" ht="14.25" hidden="1" customHeight="1">
      <c r="A875" s="116" t="s">
        <v>1969</v>
      </c>
      <c r="B875" s="117" t="s">
        <v>1969</v>
      </c>
      <c r="C875" s="117" t="s">
        <v>2776</v>
      </c>
      <c r="D875" s="117" t="s">
        <v>2780</v>
      </c>
      <c r="E875" s="117" t="s">
        <v>2778</v>
      </c>
      <c r="F875" s="117" t="s">
        <v>2779</v>
      </c>
      <c r="G875" s="117" t="s">
        <v>2770</v>
      </c>
      <c r="H875" s="117" t="s">
        <v>2771</v>
      </c>
      <c r="I875" s="117">
        <v>1.0</v>
      </c>
      <c r="J875" s="117">
        <v>1.0</v>
      </c>
      <c r="K875" s="117" t="str">
        <f t="shared" si="1"/>
        <v>No</v>
      </c>
      <c r="L875" s="118" t="s">
        <v>116</v>
      </c>
      <c r="M875" s="119">
        <v>0.25</v>
      </c>
      <c r="N875" s="120">
        <v>0.0</v>
      </c>
      <c r="O875" s="121"/>
      <c r="P875" s="117">
        <v>0.0</v>
      </c>
      <c r="Q875" s="117">
        <f t="shared" si="2"/>
        <v>0</v>
      </c>
      <c r="R875" s="122">
        <f>+(IF(((M875*24)-P875)&lt;0,0,((M875*24)-P875)*'Estimación de pérdidas'!$F$72))*N875</f>
        <v>0</v>
      </c>
      <c r="S875" s="123" t="s">
        <v>117</v>
      </c>
      <c r="T875" s="124" t="s">
        <v>119</v>
      </c>
      <c r="U875" s="124">
        <f t="shared" si="3"/>
        <v>1</v>
      </c>
      <c r="V875" s="124">
        <v>1.0</v>
      </c>
      <c r="W875" s="124"/>
      <c r="X875" s="125"/>
      <c r="Y875" s="126"/>
      <c r="Z875" s="125">
        <f t="shared" si="4"/>
        <v>1</v>
      </c>
      <c r="AA875" s="127" t="str">
        <f t="shared" si="5"/>
        <v>Bajo</v>
      </c>
      <c r="AB875" s="128">
        <f t="shared" si="6"/>
        <v>4</v>
      </c>
      <c r="AC875" s="129">
        <f t="shared" si="7"/>
        <v>0.07589466384</v>
      </c>
    </row>
    <row r="876" ht="14.25" hidden="1" customHeight="1">
      <c r="A876" s="116" t="s">
        <v>1969</v>
      </c>
      <c r="B876" s="117" t="s">
        <v>1969</v>
      </c>
      <c r="C876" s="117" t="s">
        <v>2781</v>
      </c>
      <c r="D876" s="117" t="s">
        <v>2782</v>
      </c>
      <c r="E876" s="117" t="s">
        <v>2781</v>
      </c>
      <c r="F876" s="117" t="s">
        <v>2783</v>
      </c>
      <c r="G876" s="117" t="s">
        <v>2784</v>
      </c>
      <c r="H876" s="117" t="s">
        <v>2785</v>
      </c>
      <c r="I876" s="117">
        <v>1.0</v>
      </c>
      <c r="J876" s="117">
        <v>1.0</v>
      </c>
      <c r="K876" s="117" t="str">
        <f t="shared" si="1"/>
        <v>No</v>
      </c>
      <c r="L876" s="118" t="s">
        <v>116</v>
      </c>
      <c r="M876" s="119">
        <v>0.25</v>
      </c>
      <c r="N876" s="120">
        <v>0.0</v>
      </c>
      <c r="O876" s="121"/>
      <c r="P876" s="117">
        <v>0.0</v>
      </c>
      <c r="Q876" s="117">
        <f t="shared" si="2"/>
        <v>0</v>
      </c>
      <c r="R876" s="122">
        <f>+(IF(((M876*24)-P876)&lt;0,0,((M876*24)-P876)*'Estimación de pérdidas'!$F$72))*N876</f>
        <v>0</v>
      </c>
      <c r="S876" s="123" t="s">
        <v>117</v>
      </c>
      <c r="T876" s="124" t="s">
        <v>118</v>
      </c>
      <c r="U876" s="124">
        <f t="shared" si="3"/>
        <v>1</v>
      </c>
      <c r="V876" s="124">
        <v>1.0</v>
      </c>
      <c r="W876" s="124"/>
      <c r="X876" s="125"/>
      <c r="Y876" s="126"/>
      <c r="Z876" s="125">
        <f t="shared" si="4"/>
        <v>1</v>
      </c>
      <c r="AA876" s="127" t="str">
        <f t="shared" si="5"/>
        <v>Bajo</v>
      </c>
      <c r="AB876" s="128">
        <f t="shared" si="6"/>
        <v>2</v>
      </c>
      <c r="AC876" s="129">
        <f t="shared" si="7"/>
        <v>0.05059644256</v>
      </c>
    </row>
    <row r="877" ht="14.25" hidden="1" customHeight="1">
      <c r="A877" s="116" t="s">
        <v>1969</v>
      </c>
      <c r="B877" s="117" t="s">
        <v>1969</v>
      </c>
      <c r="C877" s="117" t="s">
        <v>2786</v>
      </c>
      <c r="D877" s="117" t="s">
        <v>2787</v>
      </c>
      <c r="E877" s="117" t="s">
        <v>2788</v>
      </c>
      <c r="F877" s="117" t="s">
        <v>2789</v>
      </c>
      <c r="G877" s="117" t="s">
        <v>2428</v>
      </c>
      <c r="H877" s="117" t="s">
        <v>2429</v>
      </c>
      <c r="I877" s="117">
        <v>1.0</v>
      </c>
      <c r="J877" s="117">
        <v>1.0</v>
      </c>
      <c r="K877" s="117" t="str">
        <f t="shared" si="1"/>
        <v>No</v>
      </c>
      <c r="L877" s="118" t="s">
        <v>116</v>
      </c>
      <c r="M877" s="119">
        <v>0.25</v>
      </c>
      <c r="N877" s="120">
        <v>0.0</v>
      </c>
      <c r="O877" s="121"/>
      <c r="P877" s="117">
        <v>0.0</v>
      </c>
      <c r="Q877" s="117">
        <f t="shared" si="2"/>
        <v>0</v>
      </c>
      <c r="R877" s="122">
        <f>+(IF(((M877*24)-P877)&lt;0,0,((M877*24)-P877)*'Estimación de pérdidas'!$F$72))*N877</f>
        <v>0</v>
      </c>
      <c r="S877" s="123" t="s">
        <v>117</v>
      </c>
      <c r="T877" s="124" t="s">
        <v>118</v>
      </c>
      <c r="U877" s="124">
        <f t="shared" si="3"/>
        <v>1</v>
      </c>
      <c r="V877" s="124">
        <v>1.0</v>
      </c>
      <c r="W877" s="124"/>
      <c r="X877" s="125"/>
      <c r="Y877" s="126"/>
      <c r="Z877" s="125">
        <f t="shared" si="4"/>
        <v>1</v>
      </c>
      <c r="AA877" s="127" t="str">
        <f t="shared" si="5"/>
        <v>Bajo</v>
      </c>
      <c r="AB877" s="128">
        <f t="shared" si="6"/>
        <v>2</v>
      </c>
      <c r="AC877" s="129">
        <f t="shared" si="7"/>
        <v>0.05059644256</v>
      </c>
    </row>
    <row r="878" ht="14.25" hidden="1" customHeight="1">
      <c r="A878" s="116" t="s">
        <v>1969</v>
      </c>
      <c r="B878" s="117" t="s">
        <v>1969</v>
      </c>
      <c r="C878" s="117" t="s">
        <v>2786</v>
      </c>
      <c r="D878" s="117" t="s">
        <v>2790</v>
      </c>
      <c r="E878" s="117" t="s">
        <v>2788</v>
      </c>
      <c r="F878" s="117" t="s">
        <v>2789</v>
      </c>
      <c r="G878" s="117" t="s">
        <v>2428</v>
      </c>
      <c r="H878" s="117" t="s">
        <v>2429</v>
      </c>
      <c r="I878" s="117">
        <v>1.0</v>
      </c>
      <c r="J878" s="117">
        <v>1.0</v>
      </c>
      <c r="K878" s="117" t="str">
        <f t="shared" si="1"/>
        <v>No</v>
      </c>
      <c r="L878" s="118" t="s">
        <v>116</v>
      </c>
      <c r="M878" s="119">
        <v>0.25</v>
      </c>
      <c r="N878" s="120">
        <v>0.0</v>
      </c>
      <c r="O878" s="121"/>
      <c r="P878" s="117">
        <v>0.0</v>
      </c>
      <c r="Q878" s="117">
        <f t="shared" si="2"/>
        <v>0</v>
      </c>
      <c r="R878" s="122">
        <f>+(IF(((M878*24)-P878)&lt;0,0,((M878*24)-P878)*'Estimación de pérdidas'!$F$72))*N878</f>
        <v>0</v>
      </c>
      <c r="S878" s="123" t="s">
        <v>117</v>
      </c>
      <c r="T878" s="124" t="s">
        <v>118</v>
      </c>
      <c r="U878" s="124">
        <f t="shared" si="3"/>
        <v>1</v>
      </c>
      <c r="V878" s="124">
        <v>1.0</v>
      </c>
      <c r="W878" s="124"/>
      <c r="X878" s="125"/>
      <c r="Y878" s="126"/>
      <c r="Z878" s="125">
        <f t="shared" si="4"/>
        <v>1</v>
      </c>
      <c r="AA878" s="127" t="str">
        <f t="shared" si="5"/>
        <v>Bajo</v>
      </c>
      <c r="AB878" s="128">
        <f t="shared" si="6"/>
        <v>2</v>
      </c>
      <c r="AC878" s="129">
        <f t="shared" si="7"/>
        <v>0.05059644256</v>
      </c>
    </row>
    <row r="879" ht="14.25" hidden="1" customHeight="1">
      <c r="A879" s="116" t="s">
        <v>1969</v>
      </c>
      <c r="B879" s="117" t="s">
        <v>1969</v>
      </c>
      <c r="C879" s="117" t="s">
        <v>2786</v>
      </c>
      <c r="D879" s="117" t="s">
        <v>2791</v>
      </c>
      <c r="E879" s="117" t="s">
        <v>2788</v>
      </c>
      <c r="F879" s="117" t="s">
        <v>2789</v>
      </c>
      <c r="G879" s="117" t="s">
        <v>2428</v>
      </c>
      <c r="H879" s="117" t="s">
        <v>2429</v>
      </c>
      <c r="I879" s="117">
        <v>1.0</v>
      </c>
      <c r="J879" s="117">
        <v>1.0</v>
      </c>
      <c r="K879" s="117" t="str">
        <f t="shared" si="1"/>
        <v>No</v>
      </c>
      <c r="L879" s="118" t="s">
        <v>116</v>
      </c>
      <c r="M879" s="119">
        <v>0.25</v>
      </c>
      <c r="N879" s="120">
        <v>0.0</v>
      </c>
      <c r="O879" s="121"/>
      <c r="P879" s="117">
        <v>0.0</v>
      </c>
      <c r="Q879" s="117">
        <f t="shared" si="2"/>
        <v>0</v>
      </c>
      <c r="R879" s="122">
        <f>+(IF(((M879*24)-P879)&lt;0,0,((M879*24)-P879)*'Estimación de pérdidas'!$F$72))*N879</f>
        <v>0</v>
      </c>
      <c r="S879" s="123" t="s">
        <v>117</v>
      </c>
      <c r="T879" s="124" t="s">
        <v>118</v>
      </c>
      <c r="U879" s="124">
        <f t="shared" si="3"/>
        <v>1</v>
      </c>
      <c r="V879" s="124">
        <v>1.0</v>
      </c>
      <c r="W879" s="124"/>
      <c r="X879" s="125"/>
      <c r="Y879" s="126"/>
      <c r="Z879" s="125">
        <f t="shared" si="4"/>
        <v>1</v>
      </c>
      <c r="AA879" s="127" t="str">
        <f t="shared" si="5"/>
        <v>Bajo</v>
      </c>
      <c r="AB879" s="128">
        <f t="shared" si="6"/>
        <v>2</v>
      </c>
      <c r="AC879" s="129">
        <f t="shared" si="7"/>
        <v>0.05059644256</v>
      </c>
    </row>
    <row r="880" ht="14.25" hidden="1" customHeight="1">
      <c r="A880" s="116" t="s">
        <v>1969</v>
      </c>
      <c r="B880" s="117" t="s">
        <v>1969</v>
      </c>
      <c r="C880" s="117" t="s">
        <v>2786</v>
      </c>
      <c r="D880" s="117" t="s">
        <v>2792</v>
      </c>
      <c r="E880" s="117" t="s">
        <v>2788</v>
      </c>
      <c r="F880" s="117" t="s">
        <v>2789</v>
      </c>
      <c r="G880" s="117" t="s">
        <v>2428</v>
      </c>
      <c r="H880" s="117" t="s">
        <v>2429</v>
      </c>
      <c r="I880" s="117">
        <v>1.0</v>
      </c>
      <c r="J880" s="117">
        <v>1.0</v>
      </c>
      <c r="K880" s="117" t="str">
        <f t="shared" si="1"/>
        <v>No</v>
      </c>
      <c r="L880" s="118" t="s">
        <v>116</v>
      </c>
      <c r="M880" s="119">
        <v>0.25</v>
      </c>
      <c r="N880" s="120">
        <v>0.0</v>
      </c>
      <c r="O880" s="121"/>
      <c r="P880" s="117">
        <v>0.0</v>
      </c>
      <c r="Q880" s="117">
        <f t="shared" si="2"/>
        <v>0</v>
      </c>
      <c r="R880" s="122">
        <f>+(IF(((M880*24)-P880)&lt;0,0,((M880*24)-P880)*'Estimación de pérdidas'!$F$72))*N880</f>
        <v>0</v>
      </c>
      <c r="S880" s="123" t="s">
        <v>117</v>
      </c>
      <c r="T880" s="124" t="s">
        <v>118</v>
      </c>
      <c r="U880" s="124">
        <f t="shared" si="3"/>
        <v>1</v>
      </c>
      <c r="V880" s="124">
        <v>1.0</v>
      </c>
      <c r="W880" s="124"/>
      <c r="X880" s="125"/>
      <c r="Y880" s="126"/>
      <c r="Z880" s="125">
        <f t="shared" si="4"/>
        <v>1</v>
      </c>
      <c r="AA880" s="127" t="str">
        <f t="shared" si="5"/>
        <v>Bajo</v>
      </c>
      <c r="AB880" s="128">
        <f t="shared" si="6"/>
        <v>2</v>
      </c>
      <c r="AC880" s="129">
        <f t="shared" si="7"/>
        <v>0.05059644256</v>
      </c>
    </row>
    <row r="881" ht="14.25" hidden="1" customHeight="1">
      <c r="A881" s="116" t="s">
        <v>1969</v>
      </c>
      <c r="B881" s="117" t="s">
        <v>1969</v>
      </c>
      <c r="C881" s="117" t="s">
        <v>2786</v>
      </c>
      <c r="D881" s="117" t="s">
        <v>2793</v>
      </c>
      <c r="E881" s="117" t="s">
        <v>2788</v>
      </c>
      <c r="F881" s="117" t="s">
        <v>2789</v>
      </c>
      <c r="G881" s="117" t="s">
        <v>2428</v>
      </c>
      <c r="H881" s="117" t="s">
        <v>2429</v>
      </c>
      <c r="I881" s="117">
        <v>1.0</v>
      </c>
      <c r="J881" s="117">
        <v>1.0</v>
      </c>
      <c r="K881" s="117" t="str">
        <f t="shared" si="1"/>
        <v>No</v>
      </c>
      <c r="L881" s="118" t="s">
        <v>116</v>
      </c>
      <c r="M881" s="119">
        <v>0.25</v>
      </c>
      <c r="N881" s="120">
        <v>0.0</v>
      </c>
      <c r="O881" s="121"/>
      <c r="P881" s="117">
        <v>0.0</v>
      </c>
      <c r="Q881" s="117">
        <f t="shared" si="2"/>
        <v>0</v>
      </c>
      <c r="R881" s="122">
        <f>+(IF(((M881*24)-P881)&lt;0,0,((M881*24)-P881)*'Estimación de pérdidas'!$F$72))*N881</f>
        <v>0</v>
      </c>
      <c r="S881" s="123" t="s">
        <v>117</v>
      </c>
      <c r="T881" s="124" t="s">
        <v>118</v>
      </c>
      <c r="U881" s="124">
        <f t="shared" si="3"/>
        <v>1</v>
      </c>
      <c r="V881" s="124">
        <v>1.0</v>
      </c>
      <c r="W881" s="124"/>
      <c r="X881" s="125"/>
      <c r="Y881" s="126"/>
      <c r="Z881" s="125">
        <f t="shared" si="4"/>
        <v>1</v>
      </c>
      <c r="AA881" s="127" t="str">
        <f t="shared" si="5"/>
        <v>Bajo</v>
      </c>
      <c r="AB881" s="128">
        <f t="shared" si="6"/>
        <v>2</v>
      </c>
      <c r="AC881" s="129">
        <f t="shared" si="7"/>
        <v>0.05059644256</v>
      </c>
    </row>
    <row r="882" ht="14.25" hidden="1" customHeight="1">
      <c r="A882" s="116" t="s">
        <v>1969</v>
      </c>
      <c r="B882" s="117" t="s">
        <v>1969</v>
      </c>
      <c r="C882" s="117" t="s">
        <v>2786</v>
      </c>
      <c r="D882" s="117" t="s">
        <v>2794</v>
      </c>
      <c r="E882" s="117" t="s">
        <v>2788</v>
      </c>
      <c r="F882" s="117" t="s">
        <v>2789</v>
      </c>
      <c r="G882" s="117" t="s">
        <v>2428</v>
      </c>
      <c r="H882" s="117" t="s">
        <v>2429</v>
      </c>
      <c r="I882" s="117">
        <v>1.0</v>
      </c>
      <c r="J882" s="117">
        <v>1.0</v>
      </c>
      <c r="K882" s="117" t="str">
        <f t="shared" si="1"/>
        <v>No</v>
      </c>
      <c r="L882" s="118" t="s">
        <v>116</v>
      </c>
      <c r="M882" s="119">
        <v>0.25</v>
      </c>
      <c r="N882" s="120">
        <v>0.0</v>
      </c>
      <c r="O882" s="121"/>
      <c r="P882" s="117">
        <v>0.0</v>
      </c>
      <c r="Q882" s="117">
        <f t="shared" si="2"/>
        <v>0</v>
      </c>
      <c r="R882" s="122">
        <f>+(IF(((M882*24)-P882)&lt;0,0,((M882*24)-P882)*'Estimación de pérdidas'!$F$72))*N882</f>
        <v>0</v>
      </c>
      <c r="S882" s="123" t="s">
        <v>117</v>
      </c>
      <c r="T882" s="124" t="s">
        <v>118</v>
      </c>
      <c r="U882" s="124">
        <f t="shared" si="3"/>
        <v>1</v>
      </c>
      <c r="V882" s="124">
        <v>1.0</v>
      </c>
      <c r="W882" s="124"/>
      <c r="X882" s="125"/>
      <c r="Y882" s="126"/>
      <c r="Z882" s="125">
        <f t="shared" si="4"/>
        <v>1</v>
      </c>
      <c r="AA882" s="127" t="str">
        <f t="shared" si="5"/>
        <v>Bajo</v>
      </c>
      <c r="AB882" s="128">
        <f t="shared" si="6"/>
        <v>2</v>
      </c>
      <c r="AC882" s="129">
        <f t="shared" si="7"/>
        <v>0.05059644256</v>
      </c>
    </row>
    <row r="883" ht="14.25" hidden="1" customHeight="1">
      <c r="A883" s="116" t="s">
        <v>1969</v>
      </c>
      <c r="B883" s="117" t="s">
        <v>1969</v>
      </c>
      <c r="C883" s="117" t="s">
        <v>2795</v>
      </c>
      <c r="D883" s="117" t="s">
        <v>2796</v>
      </c>
      <c r="E883" s="117" t="s">
        <v>2795</v>
      </c>
      <c r="F883" s="117" t="s">
        <v>2797</v>
      </c>
      <c r="G883" s="117" t="s">
        <v>2798</v>
      </c>
      <c r="H883" s="117" t="s">
        <v>2799</v>
      </c>
      <c r="I883" s="117">
        <v>1.0</v>
      </c>
      <c r="J883" s="117">
        <v>1.0</v>
      </c>
      <c r="K883" s="117" t="str">
        <f t="shared" si="1"/>
        <v>No</v>
      </c>
      <c r="L883" s="118" t="s">
        <v>116</v>
      </c>
      <c r="M883" s="119">
        <v>0.25</v>
      </c>
      <c r="N883" s="120">
        <v>0.0</v>
      </c>
      <c r="O883" s="121"/>
      <c r="P883" s="117">
        <v>0.0</v>
      </c>
      <c r="Q883" s="117">
        <f t="shared" si="2"/>
        <v>0</v>
      </c>
      <c r="R883" s="122">
        <f>+(IF(((M883*24)-P883)&lt;0,0,((M883*24)-P883)*'Estimación de pérdidas'!$F$72))*N883</f>
        <v>0</v>
      </c>
      <c r="S883" s="123" t="s">
        <v>117</v>
      </c>
      <c r="T883" s="124" t="s">
        <v>118</v>
      </c>
      <c r="U883" s="124">
        <f t="shared" si="3"/>
        <v>1</v>
      </c>
      <c r="V883" s="124">
        <v>1.0</v>
      </c>
      <c r="W883" s="124"/>
      <c r="X883" s="125"/>
      <c r="Y883" s="126"/>
      <c r="Z883" s="125">
        <f t="shared" si="4"/>
        <v>1</v>
      </c>
      <c r="AA883" s="127" t="str">
        <f t="shared" si="5"/>
        <v>Bajo</v>
      </c>
      <c r="AB883" s="128">
        <f t="shared" si="6"/>
        <v>2</v>
      </c>
      <c r="AC883" s="129">
        <f t="shared" si="7"/>
        <v>0.05059644256</v>
      </c>
    </row>
    <row r="884" ht="14.25" hidden="1" customHeight="1">
      <c r="A884" s="116" t="s">
        <v>1969</v>
      </c>
      <c r="B884" s="117" t="s">
        <v>1969</v>
      </c>
      <c r="C884" s="117" t="s">
        <v>2795</v>
      </c>
      <c r="D884" s="117" t="s">
        <v>2800</v>
      </c>
      <c r="E884" s="117" t="s">
        <v>2795</v>
      </c>
      <c r="F884" s="117" t="s">
        <v>2797</v>
      </c>
      <c r="G884" s="117" t="s">
        <v>2798</v>
      </c>
      <c r="H884" s="117" t="s">
        <v>2799</v>
      </c>
      <c r="I884" s="117">
        <v>1.0</v>
      </c>
      <c r="J884" s="117">
        <v>1.0</v>
      </c>
      <c r="K884" s="117" t="str">
        <f t="shared" si="1"/>
        <v>No</v>
      </c>
      <c r="L884" s="118" t="s">
        <v>116</v>
      </c>
      <c r="M884" s="119">
        <v>0.25</v>
      </c>
      <c r="N884" s="120">
        <v>0.0</v>
      </c>
      <c r="O884" s="121"/>
      <c r="P884" s="117">
        <v>0.0</v>
      </c>
      <c r="Q884" s="117">
        <f t="shared" si="2"/>
        <v>0</v>
      </c>
      <c r="R884" s="122">
        <f>+(IF(((M884*24)-P884)&lt;0,0,((M884*24)-P884)*'Estimación de pérdidas'!$F$72))*N884</f>
        <v>0</v>
      </c>
      <c r="S884" s="123" t="s">
        <v>117</v>
      </c>
      <c r="T884" s="124" t="s">
        <v>118</v>
      </c>
      <c r="U884" s="124">
        <f t="shared" si="3"/>
        <v>1</v>
      </c>
      <c r="V884" s="124">
        <v>1.0</v>
      </c>
      <c r="W884" s="124"/>
      <c r="X884" s="125"/>
      <c r="Y884" s="126"/>
      <c r="Z884" s="125">
        <f t="shared" si="4"/>
        <v>1</v>
      </c>
      <c r="AA884" s="127" t="str">
        <f t="shared" si="5"/>
        <v>Bajo</v>
      </c>
      <c r="AB884" s="128">
        <f t="shared" si="6"/>
        <v>2</v>
      </c>
      <c r="AC884" s="129">
        <f t="shared" si="7"/>
        <v>0.05059644256</v>
      </c>
    </row>
    <row r="885" ht="14.25" hidden="1" customHeight="1">
      <c r="A885" s="116" t="s">
        <v>1969</v>
      </c>
      <c r="B885" s="117" t="s">
        <v>1969</v>
      </c>
      <c r="C885" s="117" t="s">
        <v>2795</v>
      </c>
      <c r="D885" s="117" t="s">
        <v>2801</v>
      </c>
      <c r="E885" s="117" t="s">
        <v>2795</v>
      </c>
      <c r="F885" s="117" t="s">
        <v>2797</v>
      </c>
      <c r="G885" s="117" t="s">
        <v>2798</v>
      </c>
      <c r="H885" s="117" t="s">
        <v>2799</v>
      </c>
      <c r="I885" s="117">
        <v>1.0</v>
      </c>
      <c r="J885" s="117">
        <v>1.0</v>
      </c>
      <c r="K885" s="117" t="str">
        <f t="shared" si="1"/>
        <v>No</v>
      </c>
      <c r="L885" s="118" t="s">
        <v>116</v>
      </c>
      <c r="M885" s="119">
        <v>0.25</v>
      </c>
      <c r="N885" s="120">
        <v>0.0</v>
      </c>
      <c r="O885" s="121"/>
      <c r="P885" s="117">
        <v>0.0</v>
      </c>
      <c r="Q885" s="117">
        <f t="shared" si="2"/>
        <v>0</v>
      </c>
      <c r="R885" s="122">
        <f>+(IF(((M885*24)-P885)&lt;0,0,((M885*24)-P885)*'Estimación de pérdidas'!$F$72))*N885</f>
        <v>0</v>
      </c>
      <c r="S885" s="123" t="s">
        <v>117</v>
      </c>
      <c r="T885" s="124" t="s">
        <v>118</v>
      </c>
      <c r="U885" s="124">
        <f t="shared" si="3"/>
        <v>1</v>
      </c>
      <c r="V885" s="124">
        <v>1.0</v>
      </c>
      <c r="W885" s="124"/>
      <c r="X885" s="125"/>
      <c r="Y885" s="126"/>
      <c r="Z885" s="125">
        <f t="shared" si="4"/>
        <v>1</v>
      </c>
      <c r="AA885" s="127" t="str">
        <f t="shared" si="5"/>
        <v>Bajo</v>
      </c>
      <c r="AB885" s="128">
        <f t="shared" si="6"/>
        <v>2</v>
      </c>
      <c r="AC885" s="129">
        <f t="shared" si="7"/>
        <v>0.05059644256</v>
      </c>
    </row>
    <row r="886" ht="14.25" hidden="1" customHeight="1">
      <c r="A886" s="116" t="s">
        <v>1969</v>
      </c>
      <c r="B886" s="117" t="s">
        <v>1969</v>
      </c>
      <c r="C886" s="117" t="s">
        <v>2795</v>
      </c>
      <c r="D886" s="117" t="s">
        <v>2802</v>
      </c>
      <c r="E886" s="117" t="s">
        <v>2795</v>
      </c>
      <c r="F886" s="117" t="s">
        <v>2797</v>
      </c>
      <c r="G886" s="117" t="s">
        <v>2798</v>
      </c>
      <c r="H886" s="117" t="s">
        <v>2799</v>
      </c>
      <c r="I886" s="117">
        <v>1.0</v>
      </c>
      <c r="J886" s="117">
        <v>1.0</v>
      </c>
      <c r="K886" s="117" t="str">
        <f t="shared" si="1"/>
        <v>No</v>
      </c>
      <c r="L886" s="118" t="s">
        <v>116</v>
      </c>
      <c r="M886" s="119">
        <v>0.25</v>
      </c>
      <c r="N886" s="120">
        <v>0.0</v>
      </c>
      <c r="O886" s="121"/>
      <c r="P886" s="117">
        <v>0.0</v>
      </c>
      <c r="Q886" s="117">
        <f t="shared" si="2"/>
        <v>0</v>
      </c>
      <c r="R886" s="122">
        <f>+(IF(((M886*24)-P886)&lt;0,0,((M886*24)-P886)*'Estimación de pérdidas'!$F$72))*N886</f>
        <v>0</v>
      </c>
      <c r="S886" s="123" t="s">
        <v>117</v>
      </c>
      <c r="T886" s="124" t="s">
        <v>118</v>
      </c>
      <c r="U886" s="124">
        <f t="shared" si="3"/>
        <v>1</v>
      </c>
      <c r="V886" s="124">
        <v>1.0</v>
      </c>
      <c r="W886" s="124"/>
      <c r="X886" s="125"/>
      <c r="Y886" s="126"/>
      <c r="Z886" s="125">
        <f t="shared" si="4"/>
        <v>1</v>
      </c>
      <c r="AA886" s="127" t="str">
        <f t="shared" si="5"/>
        <v>Bajo</v>
      </c>
      <c r="AB886" s="128">
        <f t="shared" si="6"/>
        <v>2</v>
      </c>
      <c r="AC886" s="129">
        <f t="shared" si="7"/>
        <v>0.05059644256</v>
      </c>
    </row>
    <row r="887" ht="14.25" hidden="1" customHeight="1">
      <c r="A887" s="116" t="s">
        <v>1969</v>
      </c>
      <c r="B887" s="117" t="s">
        <v>1969</v>
      </c>
      <c r="C887" s="117" t="s">
        <v>2803</v>
      </c>
      <c r="D887" s="117" t="s">
        <v>2804</v>
      </c>
      <c r="E887" s="117" t="s">
        <v>2805</v>
      </c>
      <c r="F887" s="117" t="s">
        <v>2806</v>
      </c>
      <c r="G887" s="117" t="s">
        <v>2807</v>
      </c>
      <c r="H887" s="117" t="s">
        <v>2808</v>
      </c>
      <c r="I887" s="117">
        <v>1.0</v>
      </c>
      <c r="J887" s="117">
        <v>1.0</v>
      </c>
      <c r="K887" s="117" t="str">
        <f t="shared" si="1"/>
        <v>No</v>
      </c>
      <c r="L887" s="118" t="s">
        <v>116</v>
      </c>
      <c r="M887" s="119">
        <v>0.25</v>
      </c>
      <c r="N887" s="120">
        <v>0.0</v>
      </c>
      <c r="O887" s="121"/>
      <c r="P887" s="117">
        <v>0.0</v>
      </c>
      <c r="Q887" s="117">
        <f t="shared" si="2"/>
        <v>0</v>
      </c>
      <c r="R887" s="122">
        <f>+(IF(((M887*24)-P887)&lt;0,0,((M887*24)-P887)*'Estimación de pérdidas'!$F$72))*N887</f>
        <v>0</v>
      </c>
      <c r="S887" s="123" t="s">
        <v>117</v>
      </c>
      <c r="T887" s="124" t="s">
        <v>118</v>
      </c>
      <c r="U887" s="124">
        <f t="shared" si="3"/>
        <v>1</v>
      </c>
      <c r="V887" s="124">
        <v>1.0</v>
      </c>
      <c r="W887" s="124"/>
      <c r="X887" s="125"/>
      <c r="Y887" s="126"/>
      <c r="Z887" s="125">
        <f t="shared" si="4"/>
        <v>1</v>
      </c>
      <c r="AA887" s="127" t="str">
        <f t="shared" si="5"/>
        <v>Bajo</v>
      </c>
      <c r="AB887" s="128">
        <f t="shared" si="6"/>
        <v>2</v>
      </c>
      <c r="AC887" s="129">
        <f t="shared" si="7"/>
        <v>0.05059644256</v>
      </c>
    </row>
    <row r="888" ht="14.25" hidden="1" customHeight="1">
      <c r="A888" s="116" t="s">
        <v>1969</v>
      </c>
      <c r="B888" s="117" t="s">
        <v>1969</v>
      </c>
      <c r="C888" s="117" t="s">
        <v>2803</v>
      </c>
      <c r="D888" s="117" t="s">
        <v>2809</v>
      </c>
      <c r="E888" s="117" t="s">
        <v>2805</v>
      </c>
      <c r="F888" s="117" t="s">
        <v>2806</v>
      </c>
      <c r="G888" s="117" t="s">
        <v>2807</v>
      </c>
      <c r="H888" s="117" t="s">
        <v>2808</v>
      </c>
      <c r="I888" s="117">
        <v>1.0</v>
      </c>
      <c r="J888" s="117">
        <v>1.0</v>
      </c>
      <c r="K888" s="117" t="str">
        <f t="shared" si="1"/>
        <v>No</v>
      </c>
      <c r="L888" s="118" t="s">
        <v>116</v>
      </c>
      <c r="M888" s="119">
        <v>0.25</v>
      </c>
      <c r="N888" s="120">
        <v>0.0</v>
      </c>
      <c r="O888" s="121"/>
      <c r="P888" s="117">
        <v>0.0</v>
      </c>
      <c r="Q888" s="117">
        <f t="shared" si="2"/>
        <v>0</v>
      </c>
      <c r="R888" s="122">
        <f>+(IF(((M888*24)-P888)&lt;0,0,((M888*24)-P888)*'Estimación de pérdidas'!$F$72))*N888</f>
        <v>0</v>
      </c>
      <c r="S888" s="123" t="s">
        <v>117</v>
      </c>
      <c r="T888" s="124" t="s">
        <v>118</v>
      </c>
      <c r="U888" s="124">
        <f t="shared" si="3"/>
        <v>1</v>
      </c>
      <c r="V888" s="124">
        <v>1.0</v>
      </c>
      <c r="W888" s="124"/>
      <c r="X888" s="125"/>
      <c r="Y888" s="126"/>
      <c r="Z888" s="125">
        <f t="shared" si="4"/>
        <v>1</v>
      </c>
      <c r="AA888" s="127" t="str">
        <f t="shared" si="5"/>
        <v>Bajo</v>
      </c>
      <c r="AB888" s="128">
        <f t="shared" si="6"/>
        <v>2</v>
      </c>
      <c r="AC888" s="129">
        <f t="shared" si="7"/>
        <v>0.05059644256</v>
      </c>
    </row>
    <row r="889" ht="14.25" hidden="1" customHeight="1">
      <c r="A889" s="116" t="s">
        <v>1969</v>
      </c>
      <c r="B889" s="117" t="s">
        <v>1969</v>
      </c>
      <c r="C889" s="117" t="s">
        <v>2803</v>
      </c>
      <c r="D889" s="117" t="s">
        <v>2810</v>
      </c>
      <c r="E889" s="117" t="s">
        <v>2805</v>
      </c>
      <c r="F889" s="117" t="s">
        <v>2806</v>
      </c>
      <c r="G889" s="117" t="s">
        <v>2807</v>
      </c>
      <c r="H889" s="117" t="s">
        <v>2808</v>
      </c>
      <c r="I889" s="117">
        <v>1.0</v>
      </c>
      <c r="J889" s="117">
        <v>1.0</v>
      </c>
      <c r="K889" s="117" t="str">
        <f t="shared" si="1"/>
        <v>No</v>
      </c>
      <c r="L889" s="118" t="s">
        <v>116</v>
      </c>
      <c r="M889" s="119">
        <v>0.25</v>
      </c>
      <c r="N889" s="120">
        <v>0.0</v>
      </c>
      <c r="O889" s="121"/>
      <c r="P889" s="117">
        <v>0.0</v>
      </c>
      <c r="Q889" s="117">
        <f t="shared" si="2"/>
        <v>0</v>
      </c>
      <c r="R889" s="122">
        <f>+(IF(((M889*24)-P889)&lt;0,0,((M889*24)-P889)*'Estimación de pérdidas'!$F$72))*N889</f>
        <v>0</v>
      </c>
      <c r="S889" s="123" t="s">
        <v>117</v>
      </c>
      <c r="T889" s="124" t="s">
        <v>118</v>
      </c>
      <c r="U889" s="124">
        <f t="shared" si="3"/>
        <v>1</v>
      </c>
      <c r="V889" s="124">
        <v>1.0</v>
      </c>
      <c r="W889" s="124"/>
      <c r="X889" s="125"/>
      <c r="Y889" s="126"/>
      <c r="Z889" s="125">
        <f t="shared" si="4"/>
        <v>1</v>
      </c>
      <c r="AA889" s="127" t="str">
        <f t="shared" si="5"/>
        <v>Bajo</v>
      </c>
      <c r="AB889" s="128">
        <f t="shared" si="6"/>
        <v>2</v>
      </c>
      <c r="AC889" s="129">
        <f t="shared" si="7"/>
        <v>0.05059644256</v>
      </c>
    </row>
    <row r="890" ht="14.25" hidden="1" customHeight="1">
      <c r="A890" s="116" t="s">
        <v>1969</v>
      </c>
      <c r="B890" s="117" t="s">
        <v>1969</v>
      </c>
      <c r="C890" s="117" t="s">
        <v>2803</v>
      </c>
      <c r="D890" s="117" t="s">
        <v>2811</v>
      </c>
      <c r="E890" s="117" t="s">
        <v>2805</v>
      </c>
      <c r="F890" s="117" t="s">
        <v>2806</v>
      </c>
      <c r="G890" s="117" t="s">
        <v>2807</v>
      </c>
      <c r="H890" s="117" t="s">
        <v>2808</v>
      </c>
      <c r="I890" s="117">
        <v>1.0</v>
      </c>
      <c r="J890" s="117">
        <v>1.0</v>
      </c>
      <c r="K890" s="117" t="str">
        <f t="shared" si="1"/>
        <v>No</v>
      </c>
      <c r="L890" s="118" t="s">
        <v>116</v>
      </c>
      <c r="M890" s="119">
        <v>0.25</v>
      </c>
      <c r="N890" s="120">
        <v>0.0</v>
      </c>
      <c r="O890" s="121"/>
      <c r="P890" s="117">
        <v>0.0</v>
      </c>
      <c r="Q890" s="117">
        <f t="shared" si="2"/>
        <v>0</v>
      </c>
      <c r="R890" s="122">
        <f>+(IF(((M890*24)-P890)&lt;0,0,((M890*24)-P890)*'Estimación de pérdidas'!$F$72))*N890</f>
        <v>0</v>
      </c>
      <c r="S890" s="123" t="s">
        <v>117</v>
      </c>
      <c r="T890" s="124" t="s">
        <v>118</v>
      </c>
      <c r="U890" s="124">
        <f t="shared" si="3"/>
        <v>1</v>
      </c>
      <c r="V890" s="124">
        <v>1.0</v>
      </c>
      <c r="W890" s="124"/>
      <c r="X890" s="125"/>
      <c r="Y890" s="126"/>
      <c r="Z890" s="125">
        <f t="shared" si="4"/>
        <v>1</v>
      </c>
      <c r="AA890" s="127" t="str">
        <f t="shared" si="5"/>
        <v>Bajo</v>
      </c>
      <c r="AB890" s="128">
        <f t="shared" si="6"/>
        <v>2</v>
      </c>
      <c r="AC890" s="129">
        <f t="shared" si="7"/>
        <v>0.05059644256</v>
      </c>
    </row>
    <row r="891" ht="14.25" hidden="1" customHeight="1">
      <c r="A891" s="116" t="s">
        <v>1969</v>
      </c>
      <c r="B891" s="117" t="s">
        <v>1969</v>
      </c>
      <c r="C891" s="117" t="s">
        <v>2803</v>
      </c>
      <c r="D891" s="117" t="s">
        <v>2812</v>
      </c>
      <c r="E891" s="117" t="s">
        <v>2805</v>
      </c>
      <c r="F891" s="117" t="s">
        <v>2806</v>
      </c>
      <c r="G891" s="117" t="s">
        <v>2807</v>
      </c>
      <c r="H891" s="117" t="s">
        <v>2808</v>
      </c>
      <c r="I891" s="117">
        <v>1.0</v>
      </c>
      <c r="J891" s="117">
        <v>1.0</v>
      </c>
      <c r="K891" s="117" t="str">
        <f t="shared" si="1"/>
        <v>No</v>
      </c>
      <c r="L891" s="118" t="s">
        <v>116</v>
      </c>
      <c r="M891" s="119">
        <v>0.25</v>
      </c>
      <c r="N891" s="120">
        <v>0.0</v>
      </c>
      <c r="O891" s="121"/>
      <c r="P891" s="117">
        <v>0.0</v>
      </c>
      <c r="Q891" s="117">
        <f t="shared" si="2"/>
        <v>0</v>
      </c>
      <c r="R891" s="122">
        <f>+(IF(((M891*24)-P891)&lt;0,0,((M891*24)-P891)*'Estimación de pérdidas'!$F$72))*N891</f>
        <v>0</v>
      </c>
      <c r="S891" s="123" t="s">
        <v>117</v>
      </c>
      <c r="T891" s="124" t="s">
        <v>118</v>
      </c>
      <c r="U891" s="124">
        <f t="shared" si="3"/>
        <v>1</v>
      </c>
      <c r="V891" s="124">
        <v>1.0</v>
      </c>
      <c r="W891" s="124"/>
      <c r="X891" s="125"/>
      <c r="Y891" s="126"/>
      <c r="Z891" s="125">
        <f t="shared" si="4"/>
        <v>1</v>
      </c>
      <c r="AA891" s="127" t="str">
        <f t="shared" si="5"/>
        <v>Bajo</v>
      </c>
      <c r="AB891" s="128">
        <f t="shared" si="6"/>
        <v>2</v>
      </c>
      <c r="AC891" s="129">
        <f t="shared" si="7"/>
        <v>0.05059644256</v>
      </c>
    </row>
    <row r="892" ht="14.25" hidden="1" customHeight="1">
      <c r="A892" s="116" t="s">
        <v>2813</v>
      </c>
      <c r="B892" s="117" t="s">
        <v>2814</v>
      </c>
      <c r="C892" s="117" t="s">
        <v>2815</v>
      </c>
      <c r="D892" s="117" t="s">
        <v>2816</v>
      </c>
      <c r="E892" s="117" t="s">
        <v>2815</v>
      </c>
      <c r="F892" s="117" t="s">
        <v>2817</v>
      </c>
      <c r="G892" s="117" t="s">
        <v>2818</v>
      </c>
      <c r="H892" s="117" t="s">
        <v>2819</v>
      </c>
      <c r="I892" s="117">
        <v>2.0</v>
      </c>
      <c r="J892" s="117">
        <v>1.0</v>
      </c>
      <c r="K892" s="117" t="str">
        <f t="shared" si="1"/>
        <v>Si</v>
      </c>
      <c r="L892" s="118" t="s">
        <v>116</v>
      </c>
      <c r="M892" s="119">
        <v>0.5</v>
      </c>
      <c r="N892" s="120">
        <v>0.0</v>
      </c>
      <c r="O892" s="121">
        <v>91.32</v>
      </c>
      <c r="P892" s="117">
        <v>1.0</v>
      </c>
      <c r="Q892" s="117">
        <f t="shared" si="2"/>
        <v>0</v>
      </c>
      <c r="R892" s="122">
        <f>+(IF(((M892*24)-P892)&lt;0,0,((M892*24)-P892)*'Estimación de pérdidas'!$F$72))*N892</f>
        <v>0</v>
      </c>
      <c r="S892" s="123" t="s">
        <v>117</v>
      </c>
      <c r="T892" s="124" t="s">
        <v>119</v>
      </c>
      <c r="U892" s="124">
        <f t="shared" si="3"/>
        <v>1</v>
      </c>
      <c r="V892" s="124">
        <v>2.0</v>
      </c>
      <c r="W892" s="124"/>
      <c r="X892" s="125"/>
      <c r="Y892" s="126"/>
      <c r="Z892" s="125">
        <f t="shared" si="4"/>
        <v>2</v>
      </c>
      <c r="AA892" s="127" t="str">
        <f t="shared" si="5"/>
        <v>Moderado</v>
      </c>
      <c r="AB892" s="128">
        <f t="shared" si="6"/>
        <v>8</v>
      </c>
      <c r="AC892" s="129">
        <f t="shared" si="7"/>
        <v>0.12</v>
      </c>
      <c r="AD892" s="131"/>
    </row>
    <row r="893" ht="14.25" hidden="1" customHeight="1">
      <c r="A893" s="116" t="s">
        <v>2813</v>
      </c>
      <c r="B893" s="117" t="s">
        <v>2814</v>
      </c>
      <c r="C893" s="117" t="s">
        <v>2820</v>
      </c>
      <c r="D893" s="117" t="s">
        <v>2821</v>
      </c>
      <c r="E893" s="117" t="s">
        <v>2820</v>
      </c>
      <c r="F893" s="117" t="s">
        <v>2817</v>
      </c>
      <c r="G893" s="117" t="s">
        <v>2818</v>
      </c>
      <c r="H893" s="117" t="s">
        <v>2819</v>
      </c>
      <c r="I893" s="117">
        <v>2.0</v>
      </c>
      <c r="J893" s="117">
        <v>1.0</v>
      </c>
      <c r="K893" s="117" t="str">
        <f t="shared" si="1"/>
        <v>Si</v>
      </c>
      <c r="L893" s="118" t="s">
        <v>116</v>
      </c>
      <c r="M893" s="119">
        <v>0.5</v>
      </c>
      <c r="N893" s="120">
        <v>0.0</v>
      </c>
      <c r="O893" s="121">
        <v>91.32</v>
      </c>
      <c r="P893" s="117">
        <v>1.0</v>
      </c>
      <c r="Q893" s="117">
        <f t="shared" si="2"/>
        <v>0</v>
      </c>
      <c r="R893" s="122">
        <f>+(IF(((M893*24)-P893)&lt;0,0,((M893*24)-P893)*'Estimación de pérdidas'!$F$72))*N893</f>
        <v>0</v>
      </c>
      <c r="S893" s="123" t="s">
        <v>117</v>
      </c>
      <c r="T893" s="124" t="s">
        <v>119</v>
      </c>
      <c r="U893" s="124">
        <f t="shared" si="3"/>
        <v>1</v>
      </c>
      <c r="V893" s="124">
        <v>2.0</v>
      </c>
      <c r="W893" s="124"/>
      <c r="X893" s="125"/>
      <c r="Y893" s="126"/>
      <c r="Z893" s="125">
        <f t="shared" si="4"/>
        <v>2</v>
      </c>
      <c r="AA893" s="127" t="str">
        <f t="shared" si="5"/>
        <v>Moderado</v>
      </c>
      <c r="AB893" s="128">
        <f t="shared" si="6"/>
        <v>8</v>
      </c>
      <c r="AC893" s="129">
        <f t="shared" si="7"/>
        <v>0.12</v>
      </c>
      <c r="AD893" s="131"/>
    </row>
    <row r="894" ht="14.25" hidden="1" customHeight="1">
      <c r="A894" s="116" t="s">
        <v>2813</v>
      </c>
      <c r="B894" s="117" t="s">
        <v>2814</v>
      </c>
      <c r="C894" s="117" t="s">
        <v>2822</v>
      </c>
      <c r="D894" s="117" t="s">
        <v>2823</v>
      </c>
      <c r="E894" s="117" t="s">
        <v>2822</v>
      </c>
      <c r="F894" s="117" t="s">
        <v>2817</v>
      </c>
      <c r="G894" s="117" t="s">
        <v>2818</v>
      </c>
      <c r="H894" s="117" t="s">
        <v>2819</v>
      </c>
      <c r="I894" s="117">
        <v>2.0</v>
      </c>
      <c r="J894" s="117">
        <v>1.0</v>
      </c>
      <c r="K894" s="117" t="str">
        <f t="shared" si="1"/>
        <v>Si</v>
      </c>
      <c r="L894" s="118" t="s">
        <v>116</v>
      </c>
      <c r="M894" s="119">
        <v>0.5</v>
      </c>
      <c r="N894" s="120">
        <v>0.0</v>
      </c>
      <c r="O894" s="121">
        <v>91.32</v>
      </c>
      <c r="P894" s="117">
        <v>1.0</v>
      </c>
      <c r="Q894" s="117">
        <f t="shared" si="2"/>
        <v>0</v>
      </c>
      <c r="R894" s="122">
        <f>+(IF(((M894*24)-P894)&lt;0,0,((M894*24)-P894)*'Estimación de pérdidas'!$F$72))*N894</f>
        <v>0</v>
      </c>
      <c r="S894" s="123" t="s">
        <v>117</v>
      </c>
      <c r="T894" s="124" t="s">
        <v>119</v>
      </c>
      <c r="U894" s="124">
        <f t="shared" si="3"/>
        <v>1</v>
      </c>
      <c r="V894" s="124">
        <v>2.0</v>
      </c>
      <c r="W894" s="124"/>
      <c r="X894" s="125"/>
      <c r="Y894" s="126"/>
      <c r="Z894" s="125">
        <f t="shared" si="4"/>
        <v>2</v>
      </c>
      <c r="AA894" s="127" t="str">
        <f t="shared" si="5"/>
        <v>Moderado</v>
      </c>
      <c r="AB894" s="128">
        <f t="shared" si="6"/>
        <v>8</v>
      </c>
      <c r="AC894" s="129">
        <f t="shared" si="7"/>
        <v>0.12</v>
      </c>
      <c r="AD894" s="131"/>
    </row>
    <row r="895" ht="14.25" hidden="1" customHeight="1">
      <c r="A895" s="116" t="s">
        <v>2813</v>
      </c>
      <c r="B895" s="117" t="s">
        <v>2814</v>
      </c>
      <c r="C895" s="117" t="s">
        <v>2822</v>
      </c>
      <c r="D895" s="117" t="s">
        <v>2824</v>
      </c>
      <c r="E895" s="117" t="s">
        <v>2822</v>
      </c>
      <c r="F895" s="117" t="s">
        <v>2817</v>
      </c>
      <c r="G895" s="117" t="s">
        <v>2818</v>
      </c>
      <c r="H895" s="117" t="s">
        <v>2819</v>
      </c>
      <c r="I895" s="117">
        <v>2.0</v>
      </c>
      <c r="J895" s="117">
        <v>1.0</v>
      </c>
      <c r="K895" s="117" t="str">
        <f t="shared" si="1"/>
        <v>Si</v>
      </c>
      <c r="L895" s="118" t="s">
        <v>116</v>
      </c>
      <c r="M895" s="119">
        <v>0.5</v>
      </c>
      <c r="N895" s="120">
        <v>0.0</v>
      </c>
      <c r="O895" s="121">
        <v>91.32</v>
      </c>
      <c r="P895" s="117">
        <v>1.0</v>
      </c>
      <c r="Q895" s="117">
        <f t="shared" si="2"/>
        <v>0</v>
      </c>
      <c r="R895" s="122">
        <f>+(IF(((M895*24)-P895)&lt;0,0,((M895*24)-P895)*'Estimación de pérdidas'!$F$72))*N895</f>
        <v>0</v>
      </c>
      <c r="S895" s="123" t="s">
        <v>117</v>
      </c>
      <c r="T895" s="124" t="s">
        <v>119</v>
      </c>
      <c r="U895" s="124">
        <f t="shared" si="3"/>
        <v>1</v>
      </c>
      <c r="V895" s="124">
        <v>2.0</v>
      </c>
      <c r="W895" s="124"/>
      <c r="X895" s="125"/>
      <c r="Y895" s="126"/>
      <c r="Z895" s="125">
        <f t="shared" si="4"/>
        <v>2</v>
      </c>
      <c r="AA895" s="127" t="str">
        <f t="shared" si="5"/>
        <v>Moderado</v>
      </c>
      <c r="AB895" s="128">
        <f t="shared" si="6"/>
        <v>8</v>
      </c>
      <c r="AC895" s="129">
        <f t="shared" si="7"/>
        <v>0.12</v>
      </c>
      <c r="AD895" s="131"/>
    </row>
    <row r="896" ht="14.25" hidden="1" customHeight="1">
      <c r="A896" s="116" t="s">
        <v>2813</v>
      </c>
      <c r="B896" s="117" t="s">
        <v>2814</v>
      </c>
      <c r="C896" s="117" t="s">
        <v>2822</v>
      </c>
      <c r="D896" s="117" t="s">
        <v>2825</v>
      </c>
      <c r="E896" s="117" t="s">
        <v>2822</v>
      </c>
      <c r="F896" s="117" t="s">
        <v>2817</v>
      </c>
      <c r="G896" s="117" t="s">
        <v>2818</v>
      </c>
      <c r="H896" s="117" t="s">
        <v>2819</v>
      </c>
      <c r="I896" s="117">
        <v>2.0</v>
      </c>
      <c r="J896" s="117">
        <v>1.0</v>
      </c>
      <c r="K896" s="117" t="str">
        <f t="shared" si="1"/>
        <v>Si</v>
      </c>
      <c r="L896" s="118" t="s">
        <v>116</v>
      </c>
      <c r="M896" s="119">
        <v>0.5</v>
      </c>
      <c r="N896" s="120">
        <v>0.0</v>
      </c>
      <c r="O896" s="121">
        <v>91.32</v>
      </c>
      <c r="P896" s="117">
        <v>1.0</v>
      </c>
      <c r="Q896" s="117">
        <f t="shared" si="2"/>
        <v>0</v>
      </c>
      <c r="R896" s="122">
        <f>+(IF(((M896*24)-P896)&lt;0,0,((M896*24)-P896)*'Estimación de pérdidas'!$F$72))*N896</f>
        <v>0</v>
      </c>
      <c r="S896" s="123" t="s">
        <v>117</v>
      </c>
      <c r="T896" s="124" t="s">
        <v>119</v>
      </c>
      <c r="U896" s="124">
        <f t="shared" si="3"/>
        <v>1</v>
      </c>
      <c r="V896" s="124">
        <v>2.0</v>
      </c>
      <c r="W896" s="124"/>
      <c r="X896" s="125"/>
      <c r="Y896" s="126"/>
      <c r="Z896" s="125">
        <f t="shared" si="4"/>
        <v>2</v>
      </c>
      <c r="AA896" s="127" t="str">
        <f t="shared" si="5"/>
        <v>Moderado</v>
      </c>
      <c r="AB896" s="128">
        <f t="shared" si="6"/>
        <v>8</v>
      </c>
      <c r="AC896" s="129">
        <f t="shared" si="7"/>
        <v>0.12</v>
      </c>
      <c r="AD896" s="131"/>
    </row>
    <row r="897" ht="14.25" hidden="1" customHeight="1">
      <c r="A897" s="116" t="s">
        <v>2813</v>
      </c>
      <c r="B897" s="117" t="s">
        <v>2814</v>
      </c>
      <c r="C897" s="117" t="s">
        <v>2826</v>
      </c>
      <c r="D897" s="117" t="s">
        <v>2827</v>
      </c>
      <c r="E897" s="117" t="s">
        <v>2826</v>
      </c>
      <c r="F897" s="117" t="s">
        <v>2817</v>
      </c>
      <c r="G897" s="117" t="s">
        <v>2818</v>
      </c>
      <c r="H897" s="117" t="s">
        <v>2819</v>
      </c>
      <c r="I897" s="117">
        <v>2.0</v>
      </c>
      <c r="J897" s="117">
        <v>1.0</v>
      </c>
      <c r="K897" s="117" t="str">
        <f t="shared" si="1"/>
        <v>Si</v>
      </c>
      <c r="L897" s="118" t="s">
        <v>116</v>
      </c>
      <c r="M897" s="119">
        <v>0.5</v>
      </c>
      <c r="N897" s="120">
        <v>0.0</v>
      </c>
      <c r="O897" s="121">
        <v>91.32</v>
      </c>
      <c r="P897" s="117">
        <v>1.0</v>
      </c>
      <c r="Q897" s="117">
        <f t="shared" si="2"/>
        <v>0</v>
      </c>
      <c r="R897" s="122">
        <f>+(IF(((M897*24)-P897)&lt;0,0,((M897*24)-P897)*'Estimación de pérdidas'!$F$72))*N897</f>
        <v>0</v>
      </c>
      <c r="S897" s="123" t="s">
        <v>117</v>
      </c>
      <c r="T897" s="124" t="s">
        <v>119</v>
      </c>
      <c r="U897" s="124">
        <f t="shared" si="3"/>
        <v>1</v>
      </c>
      <c r="V897" s="124">
        <v>2.0</v>
      </c>
      <c r="W897" s="124"/>
      <c r="X897" s="125"/>
      <c r="Y897" s="126"/>
      <c r="Z897" s="125">
        <f t="shared" si="4"/>
        <v>2</v>
      </c>
      <c r="AA897" s="127" t="str">
        <f t="shared" si="5"/>
        <v>Moderado</v>
      </c>
      <c r="AB897" s="128">
        <f t="shared" si="6"/>
        <v>8</v>
      </c>
      <c r="AC897" s="129">
        <f t="shared" si="7"/>
        <v>0.12</v>
      </c>
      <c r="AD897" s="131"/>
    </row>
    <row r="898" ht="14.25" hidden="1" customHeight="1">
      <c r="A898" s="116" t="s">
        <v>2813</v>
      </c>
      <c r="B898" s="117" t="s">
        <v>2828</v>
      </c>
      <c r="C898" s="117" t="s">
        <v>2815</v>
      </c>
      <c r="D898" s="117" t="s">
        <v>2829</v>
      </c>
      <c r="E898" s="117" t="s">
        <v>2815</v>
      </c>
      <c r="F898" s="117" t="s">
        <v>2817</v>
      </c>
      <c r="G898" s="117" t="s">
        <v>2818</v>
      </c>
      <c r="H898" s="117" t="s">
        <v>2819</v>
      </c>
      <c r="I898" s="117">
        <v>2.0</v>
      </c>
      <c r="J898" s="117">
        <v>1.0</v>
      </c>
      <c r="K898" s="117" t="str">
        <f t="shared" si="1"/>
        <v>Si</v>
      </c>
      <c r="L898" s="118" t="s">
        <v>116</v>
      </c>
      <c r="M898" s="119">
        <v>0.5</v>
      </c>
      <c r="N898" s="120">
        <v>0.0</v>
      </c>
      <c r="O898" s="121">
        <v>91.32</v>
      </c>
      <c r="P898" s="117">
        <v>1.0</v>
      </c>
      <c r="Q898" s="117">
        <f t="shared" si="2"/>
        <v>0</v>
      </c>
      <c r="R898" s="122">
        <f>+(IF(((M898*24)-P898)&lt;0,0,((M898*24)-P898)*'Estimación de pérdidas'!$F$72))*N898</f>
        <v>0</v>
      </c>
      <c r="S898" s="123" t="s">
        <v>117</v>
      </c>
      <c r="T898" s="124" t="s">
        <v>119</v>
      </c>
      <c r="U898" s="124">
        <f t="shared" si="3"/>
        <v>1</v>
      </c>
      <c r="V898" s="124">
        <v>2.0</v>
      </c>
      <c r="W898" s="124"/>
      <c r="X898" s="125"/>
      <c r="Y898" s="126"/>
      <c r="Z898" s="125">
        <f t="shared" si="4"/>
        <v>2</v>
      </c>
      <c r="AA898" s="127" t="str">
        <f t="shared" si="5"/>
        <v>Moderado</v>
      </c>
      <c r="AB898" s="128">
        <f t="shared" si="6"/>
        <v>8</v>
      </c>
      <c r="AC898" s="129">
        <f t="shared" si="7"/>
        <v>0.12</v>
      </c>
      <c r="AD898" s="131"/>
    </row>
    <row r="899" ht="14.25" hidden="1" customHeight="1">
      <c r="A899" s="116" t="s">
        <v>2813</v>
      </c>
      <c r="B899" s="117" t="s">
        <v>2828</v>
      </c>
      <c r="C899" s="117" t="s">
        <v>2820</v>
      </c>
      <c r="D899" s="117" t="s">
        <v>2830</v>
      </c>
      <c r="E899" s="117" t="s">
        <v>2820</v>
      </c>
      <c r="F899" s="117" t="s">
        <v>2817</v>
      </c>
      <c r="G899" s="117" t="s">
        <v>2818</v>
      </c>
      <c r="H899" s="117" t="s">
        <v>2819</v>
      </c>
      <c r="I899" s="117">
        <v>2.0</v>
      </c>
      <c r="J899" s="117">
        <v>1.0</v>
      </c>
      <c r="K899" s="117" t="str">
        <f t="shared" si="1"/>
        <v>Si</v>
      </c>
      <c r="L899" s="118" t="s">
        <v>116</v>
      </c>
      <c r="M899" s="119">
        <v>0.5</v>
      </c>
      <c r="N899" s="120">
        <v>0.0</v>
      </c>
      <c r="O899" s="121">
        <v>91.32</v>
      </c>
      <c r="P899" s="117">
        <v>1.0</v>
      </c>
      <c r="Q899" s="117">
        <f t="shared" si="2"/>
        <v>0</v>
      </c>
      <c r="R899" s="122">
        <f>+(IF(((M899*24)-P899)&lt;0,0,((M899*24)-P899)*'Estimación de pérdidas'!$F$72))*N899</f>
        <v>0</v>
      </c>
      <c r="S899" s="123" t="s">
        <v>117</v>
      </c>
      <c r="T899" s="124" t="s">
        <v>119</v>
      </c>
      <c r="U899" s="124">
        <f t="shared" si="3"/>
        <v>1</v>
      </c>
      <c r="V899" s="124">
        <v>2.0</v>
      </c>
      <c r="W899" s="124"/>
      <c r="X899" s="125"/>
      <c r="Y899" s="126"/>
      <c r="Z899" s="125">
        <f t="shared" si="4"/>
        <v>2</v>
      </c>
      <c r="AA899" s="127" t="str">
        <f t="shared" si="5"/>
        <v>Moderado</v>
      </c>
      <c r="AB899" s="128">
        <f t="shared" si="6"/>
        <v>8</v>
      </c>
      <c r="AC899" s="129">
        <f t="shared" si="7"/>
        <v>0.12</v>
      </c>
      <c r="AD899" s="131"/>
    </row>
    <row r="900" ht="14.25" hidden="1" customHeight="1">
      <c r="A900" s="116" t="s">
        <v>108</v>
      </c>
      <c r="B900" s="117" t="s">
        <v>109</v>
      </c>
      <c r="C900" s="117" t="s">
        <v>2831</v>
      </c>
      <c r="D900" s="117" t="s">
        <v>2832</v>
      </c>
      <c r="E900" s="117" t="s">
        <v>2833</v>
      </c>
      <c r="F900" s="117" t="s">
        <v>2834</v>
      </c>
      <c r="G900" s="117" t="s">
        <v>2835</v>
      </c>
      <c r="H900" s="117" t="s">
        <v>2836</v>
      </c>
      <c r="I900" s="117">
        <v>1.0</v>
      </c>
      <c r="J900" s="117">
        <v>1.0</v>
      </c>
      <c r="K900" s="117" t="str">
        <f t="shared" si="1"/>
        <v>No</v>
      </c>
      <c r="L900" s="118" t="s">
        <v>116</v>
      </c>
      <c r="M900" s="119">
        <v>0.25</v>
      </c>
      <c r="N900" s="120">
        <v>1.0</v>
      </c>
      <c r="O900" s="121">
        <v>70.0</v>
      </c>
      <c r="P900" s="117">
        <v>10.0</v>
      </c>
      <c r="Q900" s="117">
        <f t="shared" si="2"/>
        <v>0</v>
      </c>
      <c r="R900" s="122">
        <f>+(IF(((M900*24)-P900)&lt;0,0,((M900*24)-P900)*'Estimación de pérdidas'!$F$72))*N900</f>
        <v>0</v>
      </c>
      <c r="S900" s="123" t="s">
        <v>117</v>
      </c>
      <c r="T900" s="124" t="s">
        <v>106</v>
      </c>
      <c r="U900" s="124">
        <f t="shared" si="3"/>
        <v>1</v>
      </c>
      <c r="V900" s="124">
        <v>2.0</v>
      </c>
      <c r="W900" s="124"/>
      <c r="X900" s="125"/>
      <c r="Y900" s="126"/>
      <c r="Z900" s="125">
        <f t="shared" si="4"/>
        <v>2</v>
      </c>
      <c r="AA900" s="127" t="str">
        <f t="shared" si="5"/>
        <v>Moderado</v>
      </c>
      <c r="AB900" s="128">
        <f t="shared" si="6"/>
        <v>12</v>
      </c>
      <c r="AC900" s="129">
        <f t="shared" si="7"/>
        <v>0.16</v>
      </c>
      <c r="AD900" s="131"/>
    </row>
    <row r="901" ht="14.25" hidden="1" customHeight="1">
      <c r="A901" s="116" t="s">
        <v>108</v>
      </c>
      <c r="B901" s="117" t="s">
        <v>109</v>
      </c>
      <c r="C901" s="117" t="s">
        <v>2831</v>
      </c>
      <c r="D901" s="117" t="s">
        <v>2837</v>
      </c>
      <c r="E901" s="117" t="s">
        <v>2833</v>
      </c>
      <c r="F901" s="117" t="s">
        <v>2834</v>
      </c>
      <c r="G901" s="117" t="s">
        <v>2835</v>
      </c>
      <c r="H901" s="117" t="s">
        <v>2836</v>
      </c>
      <c r="I901" s="117">
        <v>1.0</v>
      </c>
      <c r="J901" s="117">
        <v>1.0</v>
      </c>
      <c r="K901" s="117" t="str">
        <f t="shared" si="1"/>
        <v>No</v>
      </c>
      <c r="L901" s="118" t="s">
        <v>116</v>
      </c>
      <c r="M901" s="119">
        <v>0.25</v>
      </c>
      <c r="N901" s="120">
        <v>1.0</v>
      </c>
      <c r="O901" s="121">
        <v>70.0</v>
      </c>
      <c r="P901" s="117">
        <v>10.0</v>
      </c>
      <c r="Q901" s="117">
        <f t="shared" si="2"/>
        <v>0</v>
      </c>
      <c r="R901" s="122">
        <f>+(IF(((M901*24)-P901)&lt;0,0,((M901*24)-P901)*'Estimación de pérdidas'!$F$72))*N901</f>
        <v>0</v>
      </c>
      <c r="S901" s="123" t="s">
        <v>117</v>
      </c>
      <c r="T901" s="124" t="s">
        <v>106</v>
      </c>
      <c r="U901" s="124">
        <f t="shared" si="3"/>
        <v>1</v>
      </c>
      <c r="V901" s="124">
        <v>2.0</v>
      </c>
      <c r="W901" s="124"/>
      <c r="X901" s="125"/>
      <c r="Y901" s="126"/>
      <c r="Z901" s="125">
        <f t="shared" si="4"/>
        <v>2</v>
      </c>
      <c r="AA901" s="127" t="str">
        <f t="shared" si="5"/>
        <v>Moderado</v>
      </c>
      <c r="AB901" s="128">
        <f t="shared" si="6"/>
        <v>12</v>
      </c>
      <c r="AC901" s="129">
        <f t="shared" si="7"/>
        <v>0.16</v>
      </c>
      <c r="AD901" s="131"/>
    </row>
    <row r="902" ht="14.25" hidden="1" customHeight="1">
      <c r="A902" s="116" t="s">
        <v>300</v>
      </c>
      <c r="B902" s="117" t="s">
        <v>301</v>
      </c>
      <c r="C902" s="117" t="s">
        <v>2831</v>
      </c>
      <c r="D902" s="117" t="s">
        <v>2838</v>
      </c>
      <c r="E902" s="117" t="s">
        <v>2833</v>
      </c>
      <c r="F902" s="117" t="s">
        <v>2834</v>
      </c>
      <c r="G902" s="117" t="s">
        <v>2835</v>
      </c>
      <c r="H902" s="117" t="s">
        <v>2839</v>
      </c>
      <c r="I902" s="117">
        <v>1.0</v>
      </c>
      <c r="J902" s="117">
        <v>1.0</v>
      </c>
      <c r="K902" s="117" t="str">
        <f t="shared" si="1"/>
        <v>No</v>
      </c>
      <c r="L902" s="118" t="s">
        <v>116</v>
      </c>
      <c r="M902" s="119">
        <v>0.25</v>
      </c>
      <c r="N902" s="120">
        <v>1.0</v>
      </c>
      <c r="O902" s="121">
        <v>91.32</v>
      </c>
      <c r="P902" s="117">
        <v>1.0</v>
      </c>
      <c r="Q902" s="117">
        <f t="shared" si="2"/>
        <v>5</v>
      </c>
      <c r="R902" s="122">
        <f>+(IF(((M902*24)-P902)&lt;0,0,((M902*24)-P902)*'Estimación de pérdidas'!$F$72))*N902</f>
        <v>288390.3746</v>
      </c>
      <c r="S902" s="123" t="s">
        <v>117</v>
      </c>
      <c r="T902" s="124" t="s">
        <v>106</v>
      </c>
      <c r="U902" s="124">
        <f t="shared" si="3"/>
        <v>3</v>
      </c>
      <c r="V902" s="124">
        <v>2.0</v>
      </c>
      <c r="W902" s="124"/>
      <c r="X902" s="125"/>
      <c r="Y902" s="126"/>
      <c r="Z902" s="125">
        <f t="shared" si="4"/>
        <v>3</v>
      </c>
      <c r="AA902" s="127" t="str">
        <f t="shared" si="5"/>
        <v>Moderado</v>
      </c>
      <c r="AB902" s="128">
        <f t="shared" si="6"/>
        <v>17</v>
      </c>
      <c r="AC902" s="129">
        <f t="shared" si="7"/>
        <v>0.2579922479</v>
      </c>
      <c r="AD902" s="131"/>
    </row>
    <row r="903" ht="14.25" hidden="1" customHeight="1">
      <c r="A903" s="116" t="s">
        <v>300</v>
      </c>
      <c r="B903" s="117" t="s">
        <v>301</v>
      </c>
      <c r="C903" s="117" t="s">
        <v>2831</v>
      </c>
      <c r="D903" s="117" t="s">
        <v>2840</v>
      </c>
      <c r="E903" s="117" t="s">
        <v>2833</v>
      </c>
      <c r="F903" s="117" t="s">
        <v>2834</v>
      </c>
      <c r="G903" s="117" t="s">
        <v>2835</v>
      </c>
      <c r="H903" s="117" t="s">
        <v>2839</v>
      </c>
      <c r="I903" s="117">
        <v>1.0</v>
      </c>
      <c r="J903" s="117">
        <v>1.0</v>
      </c>
      <c r="K903" s="117" t="str">
        <f t="shared" si="1"/>
        <v>No</v>
      </c>
      <c r="L903" s="118" t="s">
        <v>116</v>
      </c>
      <c r="M903" s="119">
        <v>0.25</v>
      </c>
      <c r="N903" s="120">
        <v>1.0</v>
      </c>
      <c r="O903" s="121">
        <v>91.32</v>
      </c>
      <c r="P903" s="117">
        <v>1.0</v>
      </c>
      <c r="Q903" s="117">
        <f t="shared" si="2"/>
        <v>5</v>
      </c>
      <c r="R903" s="122">
        <f>+(IF(((M903*24)-P903)&lt;0,0,((M903*24)-P903)*'Estimación de pérdidas'!$F$72))*N903</f>
        <v>288390.3746</v>
      </c>
      <c r="S903" s="123" t="s">
        <v>117</v>
      </c>
      <c r="T903" s="124" t="s">
        <v>106</v>
      </c>
      <c r="U903" s="124">
        <f t="shared" si="3"/>
        <v>3</v>
      </c>
      <c r="V903" s="124">
        <v>2.0</v>
      </c>
      <c r="W903" s="124"/>
      <c r="X903" s="125"/>
      <c r="Y903" s="126"/>
      <c r="Z903" s="125">
        <f t="shared" si="4"/>
        <v>3</v>
      </c>
      <c r="AA903" s="127" t="str">
        <f t="shared" si="5"/>
        <v>Moderado</v>
      </c>
      <c r="AB903" s="128">
        <f t="shared" si="6"/>
        <v>17</v>
      </c>
      <c r="AC903" s="129">
        <f t="shared" si="7"/>
        <v>0.2579922479</v>
      </c>
      <c r="AD903" s="131"/>
    </row>
    <row r="904" ht="14.25" hidden="1" customHeight="1">
      <c r="A904" s="116" t="s">
        <v>480</v>
      </c>
      <c r="B904" s="117" t="s">
        <v>481</v>
      </c>
      <c r="C904" s="117" t="s">
        <v>2831</v>
      </c>
      <c r="D904" s="117" t="s">
        <v>2841</v>
      </c>
      <c r="E904" s="117" t="s">
        <v>2833</v>
      </c>
      <c r="F904" s="117" t="s">
        <v>2834</v>
      </c>
      <c r="G904" s="117" t="s">
        <v>2835</v>
      </c>
      <c r="H904" s="117" t="s">
        <v>2839</v>
      </c>
      <c r="I904" s="117">
        <v>1.0</v>
      </c>
      <c r="J904" s="117">
        <v>1.0</v>
      </c>
      <c r="K904" s="117" t="str">
        <f t="shared" si="1"/>
        <v>No</v>
      </c>
      <c r="L904" s="118" t="s">
        <v>116</v>
      </c>
      <c r="M904" s="119">
        <v>0.25</v>
      </c>
      <c r="N904" s="120">
        <v>1.0</v>
      </c>
      <c r="O904" s="121">
        <v>91.32</v>
      </c>
      <c r="P904" s="117">
        <v>1.0</v>
      </c>
      <c r="Q904" s="117">
        <f t="shared" si="2"/>
        <v>5</v>
      </c>
      <c r="R904" s="122">
        <f>+(IF(((M904*24)-P904)&lt;0,0,((M904*24)-P904)*'Estimación de pérdidas'!$F$72))*N904</f>
        <v>288390.3746</v>
      </c>
      <c r="S904" s="123" t="s">
        <v>117</v>
      </c>
      <c r="T904" s="124" t="s">
        <v>106</v>
      </c>
      <c r="U904" s="124">
        <f t="shared" si="3"/>
        <v>3</v>
      </c>
      <c r="V904" s="124">
        <v>2.0</v>
      </c>
      <c r="W904" s="124"/>
      <c r="X904" s="125"/>
      <c r="Y904" s="126"/>
      <c r="Z904" s="125">
        <f t="shared" si="4"/>
        <v>3</v>
      </c>
      <c r="AA904" s="127" t="str">
        <f t="shared" si="5"/>
        <v>Moderado</v>
      </c>
      <c r="AB904" s="128">
        <f t="shared" si="6"/>
        <v>17</v>
      </c>
      <c r="AC904" s="129">
        <f t="shared" si="7"/>
        <v>0.2579922479</v>
      </c>
      <c r="AD904" s="131"/>
    </row>
    <row r="905" ht="14.25" hidden="1" customHeight="1">
      <c r="A905" s="116" t="s">
        <v>480</v>
      </c>
      <c r="B905" s="117" t="s">
        <v>481</v>
      </c>
      <c r="C905" s="117" t="s">
        <v>2831</v>
      </c>
      <c r="D905" s="117" t="s">
        <v>2842</v>
      </c>
      <c r="E905" s="117" t="s">
        <v>2833</v>
      </c>
      <c r="F905" s="117" t="s">
        <v>2834</v>
      </c>
      <c r="G905" s="117" t="s">
        <v>2835</v>
      </c>
      <c r="H905" s="117" t="s">
        <v>2839</v>
      </c>
      <c r="I905" s="117">
        <v>1.0</v>
      </c>
      <c r="J905" s="117">
        <v>1.0</v>
      </c>
      <c r="K905" s="117" t="str">
        <f t="shared" si="1"/>
        <v>No</v>
      </c>
      <c r="L905" s="118" t="s">
        <v>116</v>
      </c>
      <c r="M905" s="119">
        <v>0.25</v>
      </c>
      <c r="N905" s="120">
        <v>1.0</v>
      </c>
      <c r="O905" s="121">
        <v>91.32</v>
      </c>
      <c r="P905" s="117">
        <v>1.0</v>
      </c>
      <c r="Q905" s="117">
        <f t="shared" si="2"/>
        <v>5</v>
      </c>
      <c r="R905" s="122">
        <f>+(IF(((M905*24)-P905)&lt;0,0,((M905*24)-P905)*'Estimación de pérdidas'!$F$72))*N905</f>
        <v>288390.3746</v>
      </c>
      <c r="S905" s="123" t="s">
        <v>117</v>
      </c>
      <c r="T905" s="124" t="s">
        <v>106</v>
      </c>
      <c r="U905" s="124">
        <f t="shared" si="3"/>
        <v>3</v>
      </c>
      <c r="V905" s="124">
        <v>2.0</v>
      </c>
      <c r="W905" s="124"/>
      <c r="X905" s="125"/>
      <c r="Y905" s="126"/>
      <c r="Z905" s="125">
        <f t="shared" si="4"/>
        <v>3</v>
      </c>
      <c r="AA905" s="127" t="str">
        <f t="shared" si="5"/>
        <v>Moderado</v>
      </c>
      <c r="AB905" s="128">
        <f t="shared" si="6"/>
        <v>17</v>
      </c>
      <c r="AC905" s="129">
        <f t="shared" si="7"/>
        <v>0.2579922479</v>
      </c>
      <c r="AD905" s="131"/>
    </row>
    <row r="906" ht="14.25" hidden="1" customHeight="1">
      <c r="A906" s="116" t="s">
        <v>480</v>
      </c>
      <c r="B906" s="117" t="s">
        <v>481</v>
      </c>
      <c r="C906" s="117" t="s">
        <v>2831</v>
      </c>
      <c r="D906" s="117" t="s">
        <v>2843</v>
      </c>
      <c r="E906" s="117" t="s">
        <v>2833</v>
      </c>
      <c r="F906" s="117" t="s">
        <v>2834</v>
      </c>
      <c r="G906" s="117" t="s">
        <v>2835</v>
      </c>
      <c r="H906" s="117" t="s">
        <v>2839</v>
      </c>
      <c r="I906" s="117">
        <v>1.0</v>
      </c>
      <c r="J906" s="117">
        <v>1.0</v>
      </c>
      <c r="K906" s="117" t="str">
        <f t="shared" si="1"/>
        <v>No</v>
      </c>
      <c r="L906" s="118" t="s">
        <v>116</v>
      </c>
      <c r="M906" s="119">
        <v>0.25</v>
      </c>
      <c r="N906" s="120">
        <v>1.0</v>
      </c>
      <c r="O906" s="121">
        <v>91.32</v>
      </c>
      <c r="P906" s="117">
        <v>1.0</v>
      </c>
      <c r="Q906" s="117">
        <f t="shared" si="2"/>
        <v>5</v>
      </c>
      <c r="R906" s="122">
        <f>+(IF(((M906*24)-P906)&lt;0,0,((M906*24)-P906)*'Estimación de pérdidas'!$F$72))*N906</f>
        <v>288390.3746</v>
      </c>
      <c r="S906" s="123" t="s">
        <v>117</v>
      </c>
      <c r="T906" s="124" t="s">
        <v>106</v>
      </c>
      <c r="U906" s="124">
        <f t="shared" si="3"/>
        <v>3</v>
      </c>
      <c r="V906" s="124">
        <v>2.0</v>
      </c>
      <c r="W906" s="124"/>
      <c r="X906" s="125"/>
      <c r="Y906" s="126"/>
      <c r="Z906" s="125">
        <f t="shared" si="4"/>
        <v>3</v>
      </c>
      <c r="AA906" s="127" t="str">
        <f t="shared" si="5"/>
        <v>Moderado</v>
      </c>
      <c r="AB906" s="128">
        <f t="shared" si="6"/>
        <v>17</v>
      </c>
      <c r="AC906" s="129">
        <f t="shared" si="7"/>
        <v>0.2579922479</v>
      </c>
      <c r="AD906" s="131"/>
    </row>
    <row r="907" ht="14.25" hidden="1" customHeight="1">
      <c r="A907" s="116" t="s">
        <v>480</v>
      </c>
      <c r="B907" s="117" t="s">
        <v>511</v>
      </c>
      <c r="C907" s="117" t="s">
        <v>2831</v>
      </c>
      <c r="D907" s="117" t="s">
        <v>2844</v>
      </c>
      <c r="E907" s="117" t="s">
        <v>2833</v>
      </c>
      <c r="F907" s="117" t="s">
        <v>2834</v>
      </c>
      <c r="G907" s="117" t="s">
        <v>2835</v>
      </c>
      <c r="H907" s="117" t="s">
        <v>2839</v>
      </c>
      <c r="I907" s="117">
        <v>1.0</v>
      </c>
      <c r="J907" s="117">
        <v>1.0</v>
      </c>
      <c r="K907" s="117" t="str">
        <f t="shared" si="1"/>
        <v>No</v>
      </c>
      <c r="L907" s="118" t="s">
        <v>116</v>
      </c>
      <c r="M907" s="119">
        <v>0.25</v>
      </c>
      <c r="N907" s="120">
        <v>1.0</v>
      </c>
      <c r="O907" s="121">
        <v>91.32</v>
      </c>
      <c r="P907" s="117">
        <v>1.0</v>
      </c>
      <c r="Q907" s="117">
        <f t="shared" si="2"/>
        <v>5</v>
      </c>
      <c r="R907" s="122">
        <f>+(IF(((M907*24)-P907)&lt;0,0,((M907*24)-P907)*'Estimación de pérdidas'!$F$72))*N907</f>
        <v>288390.3746</v>
      </c>
      <c r="S907" s="123" t="s">
        <v>117</v>
      </c>
      <c r="T907" s="124" t="s">
        <v>106</v>
      </c>
      <c r="U907" s="124">
        <f t="shared" si="3"/>
        <v>3</v>
      </c>
      <c r="V907" s="124">
        <v>2.0</v>
      </c>
      <c r="W907" s="124"/>
      <c r="X907" s="125"/>
      <c r="Y907" s="126"/>
      <c r="Z907" s="125">
        <f t="shared" si="4"/>
        <v>3</v>
      </c>
      <c r="AA907" s="127" t="str">
        <f t="shared" si="5"/>
        <v>Moderado</v>
      </c>
      <c r="AB907" s="128">
        <f t="shared" si="6"/>
        <v>17</v>
      </c>
      <c r="AC907" s="129">
        <f t="shared" si="7"/>
        <v>0.2579922479</v>
      </c>
      <c r="AD907" s="131"/>
    </row>
    <row r="908" ht="14.25" hidden="1" customHeight="1">
      <c r="A908" s="116" t="s">
        <v>480</v>
      </c>
      <c r="B908" s="117" t="s">
        <v>511</v>
      </c>
      <c r="C908" s="117" t="s">
        <v>2831</v>
      </c>
      <c r="D908" s="117" t="s">
        <v>2845</v>
      </c>
      <c r="E908" s="117" t="s">
        <v>2833</v>
      </c>
      <c r="F908" s="117" t="s">
        <v>2834</v>
      </c>
      <c r="G908" s="117" t="s">
        <v>2835</v>
      </c>
      <c r="H908" s="117" t="s">
        <v>2839</v>
      </c>
      <c r="I908" s="117">
        <v>1.0</v>
      </c>
      <c r="J908" s="117">
        <v>1.0</v>
      </c>
      <c r="K908" s="117" t="str">
        <f t="shared" si="1"/>
        <v>No</v>
      </c>
      <c r="L908" s="118" t="s">
        <v>116</v>
      </c>
      <c r="M908" s="119">
        <v>0.25</v>
      </c>
      <c r="N908" s="120">
        <v>1.0</v>
      </c>
      <c r="O908" s="121">
        <v>91.32</v>
      </c>
      <c r="P908" s="117">
        <v>1.0</v>
      </c>
      <c r="Q908" s="117">
        <f t="shared" si="2"/>
        <v>5</v>
      </c>
      <c r="R908" s="122">
        <f>+(IF(((M908*24)-P908)&lt;0,0,((M908*24)-P908)*'Estimación de pérdidas'!$F$72))*N908</f>
        <v>288390.3746</v>
      </c>
      <c r="S908" s="123" t="s">
        <v>117</v>
      </c>
      <c r="T908" s="124" t="s">
        <v>106</v>
      </c>
      <c r="U908" s="124">
        <f t="shared" si="3"/>
        <v>3</v>
      </c>
      <c r="V908" s="124">
        <v>2.0</v>
      </c>
      <c r="W908" s="124"/>
      <c r="X908" s="125"/>
      <c r="Y908" s="126"/>
      <c r="Z908" s="125">
        <f t="shared" si="4"/>
        <v>3</v>
      </c>
      <c r="AA908" s="127" t="str">
        <f t="shared" si="5"/>
        <v>Moderado</v>
      </c>
      <c r="AB908" s="128">
        <f t="shared" si="6"/>
        <v>17</v>
      </c>
      <c r="AC908" s="129">
        <f t="shared" si="7"/>
        <v>0.2579922479</v>
      </c>
      <c r="AD908" s="131"/>
    </row>
    <row r="909" ht="14.25" hidden="1" customHeight="1">
      <c r="A909" s="116" t="s">
        <v>539</v>
      </c>
      <c r="B909" s="117" t="s">
        <v>540</v>
      </c>
      <c r="C909" s="117" t="s">
        <v>2831</v>
      </c>
      <c r="D909" s="117" t="s">
        <v>2846</v>
      </c>
      <c r="E909" s="117" t="s">
        <v>2833</v>
      </c>
      <c r="F909" s="117" t="s">
        <v>2834</v>
      </c>
      <c r="G909" s="117" t="s">
        <v>2835</v>
      </c>
      <c r="H909" s="117" t="s">
        <v>2839</v>
      </c>
      <c r="I909" s="117">
        <v>1.0</v>
      </c>
      <c r="J909" s="117">
        <v>1.0</v>
      </c>
      <c r="K909" s="117" t="str">
        <f t="shared" si="1"/>
        <v>No</v>
      </c>
      <c r="L909" s="118" t="s">
        <v>116</v>
      </c>
      <c r="M909" s="119">
        <v>0.25</v>
      </c>
      <c r="N909" s="120">
        <v>1.0</v>
      </c>
      <c r="O909" s="121">
        <v>91.32</v>
      </c>
      <c r="P909" s="117">
        <v>1.0</v>
      </c>
      <c r="Q909" s="117">
        <f t="shared" si="2"/>
        <v>5</v>
      </c>
      <c r="R909" s="122">
        <f>+(IF(((M909*24)-P909)&lt;0,0,((M909*24)-P909)*'Estimación de pérdidas'!$F$72))*N909</f>
        <v>288390.3746</v>
      </c>
      <c r="S909" s="123" t="s">
        <v>117</v>
      </c>
      <c r="T909" s="124" t="s">
        <v>106</v>
      </c>
      <c r="U909" s="124">
        <f t="shared" si="3"/>
        <v>3</v>
      </c>
      <c r="V909" s="124">
        <v>2.0</v>
      </c>
      <c r="W909" s="124"/>
      <c r="X909" s="125"/>
      <c r="Y909" s="126"/>
      <c r="Z909" s="125">
        <f t="shared" si="4"/>
        <v>3</v>
      </c>
      <c r="AA909" s="127" t="str">
        <f t="shared" si="5"/>
        <v>Moderado</v>
      </c>
      <c r="AB909" s="128">
        <f t="shared" si="6"/>
        <v>17</v>
      </c>
      <c r="AC909" s="129">
        <f t="shared" si="7"/>
        <v>0.2579922479</v>
      </c>
      <c r="AD909" s="131"/>
    </row>
    <row r="910" ht="14.25" hidden="1" customHeight="1">
      <c r="A910" s="116" t="s">
        <v>539</v>
      </c>
      <c r="B910" s="117" t="s">
        <v>540</v>
      </c>
      <c r="C910" s="117" t="s">
        <v>2831</v>
      </c>
      <c r="D910" s="117" t="s">
        <v>2847</v>
      </c>
      <c r="E910" s="117" t="s">
        <v>2833</v>
      </c>
      <c r="F910" s="117" t="s">
        <v>2834</v>
      </c>
      <c r="G910" s="117" t="s">
        <v>2835</v>
      </c>
      <c r="H910" s="117" t="s">
        <v>2839</v>
      </c>
      <c r="I910" s="117">
        <v>1.0</v>
      </c>
      <c r="J910" s="117">
        <v>1.0</v>
      </c>
      <c r="K910" s="117" t="str">
        <f t="shared" si="1"/>
        <v>No</v>
      </c>
      <c r="L910" s="118" t="s">
        <v>116</v>
      </c>
      <c r="M910" s="119">
        <v>0.25</v>
      </c>
      <c r="N910" s="120">
        <v>1.0</v>
      </c>
      <c r="O910" s="121">
        <v>91.32</v>
      </c>
      <c r="P910" s="117">
        <v>1.0</v>
      </c>
      <c r="Q910" s="117">
        <f t="shared" si="2"/>
        <v>5</v>
      </c>
      <c r="R910" s="122">
        <f>+(IF(((M910*24)-P910)&lt;0,0,((M910*24)-P910)*'Estimación de pérdidas'!$F$72))*N910</f>
        <v>288390.3746</v>
      </c>
      <c r="S910" s="123" t="s">
        <v>117</v>
      </c>
      <c r="T910" s="124" t="s">
        <v>106</v>
      </c>
      <c r="U910" s="124">
        <f t="shared" si="3"/>
        <v>3</v>
      </c>
      <c r="V910" s="124">
        <v>2.0</v>
      </c>
      <c r="W910" s="124"/>
      <c r="X910" s="125"/>
      <c r="Y910" s="126"/>
      <c r="Z910" s="125">
        <f t="shared" si="4"/>
        <v>3</v>
      </c>
      <c r="AA910" s="127" t="str">
        <f t="shared" si="5"/>
        <v>Moderado</v>
      </c>
      <c r="AB910" s="128">
        <f t="shared" si="6"/>
        <v>17</v>
      </c>
      <c r="AC910" s="129">
        <f t="shared" si="7"/>
        <v>0.2579922479</v>
      </c>
      <c r="AD910" s="131"/>
    </row>
    <row r="911" ht="14.25" hidden="1" customHeight="1">
      <c r="A911" s="116" t="s">
        <v>539</v>
      </c>
      <c r="B911" s="117" t="s">
        <v>540</v>
      </c>
      <c r="C911" s="117" t="s">
        <v>2831</v>
      </c>
      <c r="D911" s="117" t="s">
        <v>2848</v>
      </c>
      <c r="E911" s="117" t="s">
        <v>2833</v>
      </c>
      <c r="F911" s="117" t="s">
        <v>2834</v>
      </c>
      <c r="G911" s="117" t="s">
        <v>2835</v>
      </c>
      <c r="H911" s="117" t="s">
        <v>2839</v>
      </c>
      <c r="I911" s="117">
        <v>1.0</v>
      </c>
      <c r="J911" s="117">
        <v>1.0</v>
      </c>
      <c r="K911" s="117" t="str">
        <f t="shared" si="1"/>
        <v>No</v>
      </c>
      <c r="L911" s="118" t="s">
        <v>116</v>
      </c>
      <c r="M911" s="119">
        <v>0.25</v>
      </c>
      <c r="N911" s="120">
        <v>1.0</v>
      </c>
      <c r="O911" s="121">
        <v>91.32</v>
      </c>
      <c r="P911" s="117">
        <v>1.0</v>
      </c>
      <c r="Q911" s="117">
        <f t="shared" si="2"/>
        <v>5</v>
      </c>
      <c r="R911" s="122">
        <f>+(IF(((M911*24)-P911)&lt;0,0,((M911*24)-P911)*'Estimación de pérdidas'!$F$72))*N911</f>
        <v>288390.3746</v>
      </c>
      <c r="S911" s="123" t="s">
        <v>117</v>
      </c>
      <c r="T911" s="124" t="s">
        <v>106</v>
      </c>
      <c r="U911" s="124">
        <f t="shared" si="3"/>
        <v>3</v>
      </c>
      <c r="V911" s="124">
        <v>2.0</v>
      </c>
      <c r="W911" s="124"/>
      <c r="X911" s="125"/>
      <c r="Y911" s="126"/>
      <c r="Z911" s="125">
        <f t="shared" si="4"/>
        <v>3</v>
      </c>
      <c r="AA911" s="127" t="str">
        <f t="shared" si="5"/>
        <v>Moderado</v>
      </c>
      <c r="AB911" s="128">
        <f t="shared" si="6"/>
        <v>17</v>
      </c>
      <c r="AC911" s="129">
        <f t="shared" si="7"/>
        <v>0.2579922479</v>
      </c>
      <c r="AD911" s="131"/>
    </row>
    <row r="912" ht="14.25" hidden="1" customHeight="1">
      <c r="A912" s="116" t="s">
        <v>539</v>
      </c>
      <c r="B912" s="117" t="s">
        <v>855</v>
      </c>
      <c r="C912" s="117" t="s">
        <v>2831</v>
      </c>
      <c r="D912" s="117" t="s">
        <v>2849</v>
      </c>
      <c r="E912" s="117" t="s">
        <v>2833</v>
      </c>
      <c r="F912" s="117" t="s">
        <v>2834</v>
      </c>
      <c r="G912" s="117" t="s">
        <v>2835</v>
      </c>
      <c r="H912" s="117" t="s">
        <v>2839</v>
      </c>
      <c r="I912" s="117">
        <v>1.0</v>
      </c>
      <c r="J912" s="117">
        <v>1.0</v>
      </c>
      <c r="K912" s="117" t="str">
        <f t="shared" si="1"/>
        <v>No</v>
      </c>
      <c r="L912" s="118" t="s">
        <v>116</v>
      </c>
      <c r="M912" s="119">
        <v>0.25</v>
      </c>
      <c r="N912" s="120">
        <v>1.0</v>
      </c>
      <c r="O912" s="121">
        <v>91.32</v>
      </c>
      <c r="P912" s="117">
        <v>1.0</v>
      </c>
      <c r="Q912" s="117">
        <f t="shared" si="2"/>
        <v>5</v>
      </c>
      <c r="R912" s="122">
        <f>+(IF(((M912*24)-P912)&lt;0,0,((M912*24)-P912)*'Estimación de pérdidas'!$F$72))*N912</f>
        <v>288390.3746</v>
      </c>
      <c r="S912" s="123" t="s">
        <v>117</v>
      </c>
      <c r="T912" s="124" t="s">
        <v>106</v>
      </c>
      <c r="U912" s="124">
        <f t="shared" si="3"/>
        <v>3</v>
      </c>
      <c r="V912" s="124">
        <v>2.0</v>
      </c>
      <c r="W912" s="124"/>
      <c r="X912" s="125"/>
      <c r="Y912" s="126"/>
      <c r="Z912" s="125">
        <f t="shared" si="4"/>
        <v>3</v>
      </c>
      <c r="AA912" s="127" t="str">
        <f t="shared" si="5"/>
        <v>Moderado</v>
      </c>
      <c r="AB912" s="128">
        <f t="shared" si="6"/>
        <v>17</v>
      </c>
      <c r="AC912" s="129">
        <f t="shared" si="7"/>
        <v>0.2579922479</v>
      </c>
      <c r="AD912" s="131"/>
    </row>
    <row r="913" ht="14.25" hidden="1" customHeight="1">
      <c r="A913" s="116" t="s">
        <v>539</v>
      </c>
      <c r="B913" s="117" t="s">
        <v>855</v>
      </c>
      <c r="C913" s="117" t="s">
        <v>2831</v>
      </c>
      <c r="D913" s="117" t="s">
        <v>2850</v>
      </c>
      <c r="E913" s="117" t="s">
        <v>2833</v>
      </c>
      <c r="F913" s="117" t="s">
        <v>2834</v>
      </c>
      <c r="G913" s="117" t="s">
        <v>2835</v>
      </c>
      <c r="H913" s="117" t="s">
        <v>2839</v>
      </c>
      <c r="I913" s="117">
        <v>1.0</v>
      </c>
      <c r="J913" s="117">
        <v>1.0</v>
      </c>
      <c r="K913" s="117" t="str">
        <f t="shared" si="1"/>
        <v>No</v>
      </c>
      <c r="L913" s="118" t="s">
        <v>116</v>
      </c>
      <c r="M913" s="119">
        <v>0.25</v>
      </c>
      <c r="N913" s="120">
        <v>1.0</v>
      </c>
      <c r="O913" s="121">
        <v>91.32</v>
      </c>
      <c r="P913" s="117">
        <v>1.0</v>
      </c>
      <c r="Q913" s="117">
        <f t="shared" si="2"/>
        <v>5</v>
      </c>
      <c r="R913" s="122">
        <f>+(IF(((M913*24)-P913)&lt;0,0,((M913*24)-P913)*'Estimación de pérdidas'!$F$72))*N913</f>
        <v>288390.3746</v>
      </c>
      <c r="S913" s="123" t="s">
        <v>117</v>
      </c>
      <c r="T913" s="124" t="s">
        <v>106</v>
      </c>
      <c r="U913" s="124">
        <f t="shared" si="3"/>
        <v>3</v>
      </c>
      <c r="V913" s="124">
        <v>2.0</v>
      </c>
      <c r="W913" s="124"/>
      <c r="X913" s="125"/>
      <c r="Y913" s="126"/>
      <c r="Z913" s="125">
        <f t="shared" si="4"/>
        <v>3</v>
      </c>
      <c r="AA913" s="127" t="str">
        <f t="shared" si="5"/>
        <v>Moderado</v>
      </c>
      <c r="AB913" s="128">
        <f t="shared" si="6"/>
        <v>17</v>
      </c>
      <c r="AC913" s="129">
        <f t="shared" si="7"/>
        <v>0.2579922479</v>
      </c>
      <c r="AD913" s="131"/>
    </row>
    <row r="914" ht="14.25" hidden="1" customHeight="1">
      <c r="A914" s="116" t="s">
        <v>539</v>
      </c>
      <c r="B914" s="117" t="s">
        <v>575</v>
      </c>
      <c r="C914" s="117" t="s">
        <v>2831</v>
      </c>
      <c r="D914" s="117" t="s">
        <v>2851</v>
      </c>
      <c r="E914" s="117" t="s">
        <v>2833</v>
      </c>
      <c r="F914" s="117" t="s">
        <v>2834</v>
      </c>
      <c r="G914" s="117" t="s">
        <v>2835</v>
      </c>
      <c r="H914" s="117" t="s">
        <v>2839</v>
      </c>
      <c r="I914" s="117">
        <v>1.0</v>
      </c>
      <c r="J914" s="117">
        <v>1.0</v>
      </c>
      <c r="K914" s="117" t="str">
        <f t="shared" si="1"/>
        <v>No</v>
      </c>
      <c r="L914" s="118" t="s">
        <v>116</v>
      </c>
      <c r="M914" s="119">
        <v>0.25</v>
      </c>
      <c r="N914" s="120">
        <v>1.0</v>
      </c>
      <c r="O914" s="121">
        <v>91.32</v>
      </c>
      <c r="P914" s="117">
        <v>1.0</v>
      </c>
      <c r="Q914" s="117">
        <f t="shared" si="2"/>
        <v>5</v>
      </c>
      <c r="R914" s="122">
        <f>+(IF(((M914*24)-P914)&lt;0,0,((M914*24)-P914)*'Estimación de pérdidas'!$F$72))*N914</f>
        <v>288390.3746</v>
      </c>
      <c r="S914" s="123" t="s">
        <v>117</v>
      </c>
      <c r="T914" s="124" t="s">
        <v>106</v>
      </c>
      <c r="U914" s="124">
        <f t="shared" si="3"/>
        <v>3</v>
      </c>
      <c r="V914" s="124">
        <v>2.0</v>
      </c>
      <c r="W914" s="124"/>
      <c r="X914" s="125"/>
      <c r="Y914" s="126"/>
      <c r="Z914" s="125">
        <f t="shared" si="4"/>
        <v>3</v>
      </c>
      <c r="AA914" s="127" t="str">
        <f t="shared" si="5"/>
        <v>Moderado</v>
      </c>
      <c r="AB914" s="128">
        <f t="shared" si="6"/>
        <v>17</v>
      </c>
      <c r="AC914" s="129">
        <f t="shared" si="7"/>
        <v>0.2579922479</v>
      </c>
      <c r="AD914" s="131"/>
    </row>
    <row r="915" ht="14.25" hidden="1" customHeight="1">
      <c r="A915" s="116" t="s">
        <v>539</v>
      </c>
      <c r="B915" s="117" t="s">
        <v>575</v>
      </c>
      <c r="C915" s="117" t="s">
        <v>2831</v>
      </c>
      <c r="D915" s="117" t="s">
        <v>2852</v>
      </c>
      <c r="E915" s="117" t="s">
        <v>2833</v>
      </c>
      <c r="F915" s="117" t="s">
        <v>2834</v>
      </c>
      <c r="G915" s="117" t="s">
        <v>2835</v>
      </c>
      <c r="H915" s="117" t="s">
        <v>2839</v>
      </c>
      <c r="I915" s="117">
        <v>1.0</v>
      </c>
      <c r="J915" s="117">
        <v>1.0</v>
      </c>
      <c r="K915" s="117" t="str">
        <f t="shared" si="1"/>
        <v>No</v>
      </c>
      <c r="L915" s="118" t="s">
        <v>116</v>
      </c>
      <c r="M915" s="119">
        <v>0.25</v>
      </c>
      <c r="N915" s="120">
        <v>1.0</v>
      </c>
      <c r="O915" s="121">
        <v>91.32</v>
      </c>
      <c r="P915" s="117">
        <v>1.0</v>
      </c>
      <c r="Q915" s="117">
        <f t="shared" si="2"/>
        <v>5</v>
      </c>
      <c r="R915" s="122">
        <f>+(IF(((M915*24)-P915)&lt;0,0,((M915*24)-P915)*'Estimación de pérdidas'!$F$72))*N915</f>
        <v>288390.3746</v>
      </c>
      <c r="S915" s="123" t="s">
        <v>117</v>
      </c>
      <c r="T915" s="124" t="s">
        <v>106</v>
      </c>
      <c r="U915" s="124">
        <f t="shared" si="3"/>
        <v>3</v>
      </c>
      <c r="V915" s="124">
        <v>2.0</v>
      </c>
      <c r="W915" s="124"/>
      <c r="X915" s="125"/>
      <c r="Y915" s="126"/>
      <c r="Z915" s="125">
        <f t="shared" si="4"/>
        <v>3</v>
      </c>
      <c r="AA915" s="127" t="str">
        <f t="shared" si="5"/>
        <v>Moderado</v>
      </c>
      <c r="AB915" s="128">
        <f t="shared" si="6"/>
        <v>17</v>
      </c>
      <c r="AC915" s="129">
        <f t="shared" si="7"/>
        <v>0.2579922479</v>
      </c>
      <c r="AD915" s="131"/>
    </row>
    <row r="916" ht="14.25" hidden="1" customHeight="1">
      <c r="A916" s="116" t="s">
        <v>539</v>
      </c>
      <c r="B916" s="117" t="s">
        <v>575</v>
      </c>
      <c r="C916" s="117" t="s">
        <v>2831</v>
      </c>
      <c r="D916" s="117" t="s">
        <v>2853</v>
      </c>
      <c r="E916" s="117" t="s">
        <v>2833</v>
      </c>
      <c r="F916" s="117" t="s">
        <v>2834</v>
      </c>
      <c r="G916" s="117" t="s">
        <v>2835</v>
      </c>
      <c r="H916" s="117" t="s">
        <v>2839</v>
      </c>
      <c r="I916" s="117">
        <v>1.0</v>
      </c>
      <c r="J916" s="117">
        <v>1.0</v>
      </c>
      <c r="K916" s="117" t="str">
        <f t="shared" si="1"/>
        <v>No</v>
      </c>
      <c r="L916" s="118" t="s">
        <v>116</v>
      </c>
      <c r="M916" s="119">
        <v>0.25</v>
      </c>
      <c r="N916" s="120">
        <v>1.0</v>
      </c>
      <c r="O916" s="121">
        <v>91.32</v>
      </c>
      <c r="P916" s="117">
        <v>1.0</v>
      </c>
      <c r="Q916" s="117">
        <f t="shared" si="2"/>
        <v>5</v>
      </c>
      <c r="R916" s="122">
        <f>+(IF(((M916*24)-P916)&lt;0,0,((M916*24)-P916)*'Estimación de pérdidas'!$F$72))*N916</f>
        <v>288390.3746</v>
      </c>
      <c r="S916" s="123" t="s">
        <v>117</v>
      </c>
      <c r="T916" s="124" t="s">
        <v>106</v>
      </c>
      <c r="U916" s="124">
        <f t="shared" si="3"/>
        <v>3</v>
      </c>
      <c r="V916" s="124">
        <v>2.0</v>
      </c>
      <c r="W916" s="124"/>
      <c r="X916" s="125"/>
      <c r="Y916" s="126"/>
      <c r="Z916" s="125">
        <f t="shared" si="4"/>
        <v>3</v>
      </c>
      <c r="AA916" s="127" t="str">
        <f t="shared" si="5"/>
        <v>Moderado</v>
      </c>
      <c r="AB916" s="128">
        <f t="shared" si="6"/>
        <v>17</v>
      </c>
      <c r="AC916" s="129">
        <f t="shared" si="7"/>
        <v>0.2579922479</v>
      </c>
      <c r="AD916" s="131"/>
    </row>
    <row r="917" ht="14.25" hidden="1" customHeight="1">
      <c r="A917" s="116" t="s">
        <v>539</v>
      </c>
      <c r="B917" s="117" t="s">
        <v>575</v>
      </c>
      <c r="C917" s="117" t="s">
        <v>2831</v>
      </c>
      <c r="D917" s="117" t="s">
        <v>2854</v>
      </c>
      <c r="E917" s="117" t="s">
        <v>2833</v>
      </c>
      <c r="F917" s="117" t="s">
        <v>2834</v>
      </c>
      <c r="G917" s="117" t="s">
        <v>2835</v>
      </c>
      <c r="H917" s="117" t="s">
        <v>2839</v>
      </c>
      <c r="I917" s="117">
        <v>1.0</v>
      </c>
      <c r="J917" s="117">
        <v>1.0</v>
      </c>
      <c r="K917" s="117" t="str">
        <f t="shared" si="1"/>
        <v>No</v>
      </c>
      <c r="L917" s="118" t="s">
        <v>116</v>
      </c>
      <c r="M917" s="119">
        <v>0.25</v>
      </c>
      <c r="N917" s="120">
        <v>1.0</v>
      </c>
      <c r="O917" s="121">
        <v>91.32</v>
      </c>
      <c r="P917" s="117">
        <v>1.0</v>
      </c>
      <c r="Q917" s="117">
        <f t="shared" si="2"/>
        <v>5</v>
      </c>
      <c r="R917" s="122">
        <f>+(IF(((M917*24)-P917)&lt;0,0,((M917*24)-P917)*'Estimación de pérdidas'!$F$72))*N917</f>
        <v>288390.3746</v>
      </c>
      <c r="S917" s="123" t="s">
        <v>117</v>
      </c>
      <c r="T917" s="124" t="s">
        <v>106</v>
      </c>
      <c r="U917" s="124">
        <f t="shared" si="3"/>
        <v>3</v>
      </c>
      <c r="V917" s="124">
        <v>2.0</v>
      </c>
      <c r="W917" s="124"/>
      <c r="X917" s="125"/>
      <c r="Y917" s="126"/>
      <c r="Z917" s="125">
        <f t="shared" si="4"/>
        <v>3</v>
      </c>
      <c r="AA917" s="127" t="str">
        <f t="shared" si="5"/>
        <v>Moderado</v>
      </c>
      <c r="AB917" s="128">
        <f t="shared" si="6"/>
        <v>17</v>
      </c>
      <c r="AC917" s="129">
        <f t="shared" si="7"/>
        <v>0.2579922479</v>
      </c>
      <c r="AD917" s="131"/>
    </row>
    <row r="918" ht="14.25" hidden="1" customHeight="1">
      <c r="A918" s="116" t="s">
        <v>927</v>
      </c>
      <c r="B918" s="117" t="s">
        <v>928</v>
      </c>
      <c r="C918" s="117" t="s">
        <v>2831</v>
      </c>
      <c r="D918" s="117" t="s">
        <v>2855</v>
      </c>
      <c r="E918" s="117" t="s">
        <v>2833</v>
      </c>
      <c r="F918" s="117" t="s">
        <v>2834</v>
      </c>
      <c r="G918" s="117" t="s">
        <v>2835</v>
      </c>
      <c r="H918" s="117" t="s">
        <v>2836</v>
      </c>
      <c r="I918" s="117">
        <v>1.0</v>
      </c>
      <c r="J918" s="117">
        <v>1.0</v>
      </c>
      <c r="K918" s="117" t="str">
        <f t="shared" si="1"/>
        <v>No</v>
      </c>
      <c r="L918" s="118" t="s">
        <v>116</v>
      </c>
      <c r="M918" s="119">
        <v>0.25</v>
      </c>
      <c r="N918" s="120">
        <v>1.0</v>
      </c>
      <c r="O918" s="121">
        <v>50.0</v>
      </c>
      <c r="P918" s="117">
        <v>12.0</v>
      </c>
      <c r="Q918" s="117">
        <f t="shared" si="2"/>
        <v>0</v>
      </c>
      <c r="R918" s="122">
        <f>+(IF(((M918*24)-P918)&lt;0,0,((M918*24)-P918)*'Estimación de pérdidas'!$F$72))*N918</f>
        <v>0</v>
      </c>
      <c r="S918" s="123" t="s">
        <v>117</v>
      </c>
      <c r="T918" s="124" t="s">
        <v>106</v>
      </c>
      <c r="U918" s="124">
        <f t="shared" si="3"/>
        <v>1</v>
      </c>
      <c r="V918" s="124">
        <v>2.0</v>
      </c>
      <c r="W918" s="124"/>
      <c r="X918" s="125"/>
      <c r="Y918" s="126"/>
      <c r="Z918" s="125">
        <f t="shared" si="4"/>
        <v>2</v>
      </c>
      <c r="AA918" s="127" t="str">
        <f t="shared" si="5"/>
        <v>Moderado</v>
      </c>
      <c r="AB918" s="128">
        <f t="shared" si="6"/>
        <v>12</v>
      </c>
      <c r="AC918" s="129">
        <f t="shared" si="7"/>
        <v>0.16</v>
      </c>
      <c r="AD918" s="131"/>
    </row>
    <row r="919" ht="14.25" hidden="1" customHeight="1">
      <c r="A919" s="116" t="s">
        <v>927</v>
      </c>
      <c r="B919" s="117" t="s">
        <v>928</v>
      </c>
      <c r="C919" s="117" t="s">
        <v>2831</v>
      </c>
      <c r="D919" s="117" t="s">
        <v>2856</v>
      </c>
      <c r="E919" s="117" t="s">
        <v>2833</v>
      </c>
      <c r="F919" s="117" t="s">
        <v>2834</v>
      </c>
      <c r="G919" s="117" t="s">
        <v>2835</v>
      </c>
      <c r="H919" s="117" t="s">
        <v>2836</v>
      </c>
      <c r="I919" s="117">
        <v>1.0</v>
      </c>
      <c r="J919" s="117">
        <v>1.0</v>
      </c>
      <c r="K919" s="117" t="str">
        <f t="shared" si="1"/>
        <v>No</v>
      </c>
      <c r="L919" s="118" t="s">
        <v>116</v>
      </c>
      <c r="M919" s="119">
        <v>0.25</v>
      </c>
      <c r="N919" s="120">
        <v>1.0</v>
      </c>
      <c r="O919" s="121">
        <v>50.0</v>
      </c>
      <c r="P919" s="117">
        <v>12.0</v>
      </c>
      <c r="Q919" s="117">
        <f t="shared" si="2"/>
        <v>0</v>
      </c>
      <c r="R919" s="122">
        <f>+(IF(((M919*24)-P919)&lt;0,0,((M919*24)-P919)*'Estimación de pérdidas'!$F$72))*N919</f>
        <v>0</v>
      </c>
      <c r="S919" s="123" t="s">
        <v>117</v>
      </c>
      <c r="T919" s="124" t="s">
        <v>106</v>
      </c>
      <c r="U919" s="124">
        <f t="shared" si="3"/>
        <v>1</v>
      </c>
      <c r="V919" s="124">
        <v>2.0</v>
      </c>
      <c r="W919" s="124"/>
      <c r="X919" s="125"/>
      <c r="Y919" s="126"/>
      <c r="Z919" s="125">
        <f t="shared" si="4"/>
        <v>2</v>
      </c>
      <c r="AA919" s="127" t="str">
        <f t="shared" si="5"/>
        <v>Moderado</v>
      </c>
      <c r="AB919" s="128">
        <f t="shared" si="6"/>
        <v>12</v>
      </c>
      <c r="AC919" s="129">
        <f t="shared" si="7"/>
        <v>0.16</v>
      </c>
      <c r="AD919" s="131"/>
    </row>
    <row r="920" ht="14.25" hidden="1" customHeight="1">
      <c r="A920" s="116" t="s">
        <v>927</v>
      </c>
      <c r="B920" s="117" t="s">
        <v>978</v>
      </c>
      <c r="C920" s="117" t="s">
        <v>2831</v>
      </c>
      <c r="D920" s="117" t="s">
        <v>2857</v>
      </c>
      <c r="E920" s="117" t="s">
        <v>2833</v>
      </c>
      <c r="F920" s="117" t="s">
        <v>2834</v>
      </c>
      <c r="G920" s="117" t="s">
        <v>2835</v>
      </c>
      <c r="H920" s="117" t="s">
        <v>2836</v>
      </c>
      <c r="I920" s="117">
        <v>1.0</v>
      </c>
      <c r="J920" s="117">
        <v>1.0</v>
      </c>
      <c r="K920" s="117" t="str">
        <f t="shared" si="1"/>
        <v>No</v>
      </c>
      <c r="L920" s="118" t="s">
        <v>116</v>
      </c>
      <c r="M920" s="119">
        <v>0.25</v>
      </c>
      <c r="N920" s="120">
        <v>1.0</v>
      </c>
      <c r="O920" s="121">
        <v>91.32</v>
      </c>
      <c r="P920" s="117">
        <v>6.0</v>
      </c>
      <c r="Q920" s="117">
        <f t="shared" si="2"/>
        <v>0</v>
      </c>
      <c r="R920" s="122">
        <f>+(IF(((M920*24)-P920)&lt;0,0,((M920*24)-P920)*'Estimación de pérdidas'!$F$72))*N920</f>
        <v>0</v>
      </c>
      <c r="S920" s="123" t="s">
        <v>117</v>
      </c>
      <c r="T920" s="124" t="s">
        <v>106</v>
      </c>
      <c r="U920" s="124">
        <f t="shared" si="3"/>
        <v>1</v>
      </c>
      <c r="V920" s="124">
        <v>2.0</v>
      </c>
      <c r="W920" s="124"/>
      <c r="X920" s="125"/>
      <c r="Y920" s="126"/>
      <c r="Z920" s="125">
        <f t="shared" si="4"/>
        <v>2</v>
      </c>
      <c r="AA920" s="127" t="str">
        <f t="shared" si="5"/>
        <v>Moderado</v>
      </c>
      <c r="AB920" s="128">
        <f t="shared" si="6"/>
        <v>12</v>
      </c>
      <c r="AC920" s="129">
        <f t="shared" si="7"/>
        <v>0.16</v>
      </c>
      <c r="AD920" s="131"/>
    </row>
    <row r="921" ht="14.25" hidden="1" customHeight="1">
      <c r="A921" s="116" t="s">
        <v>927</v>
      </c>
      <c r="B921" s="117" t="s">
        <v>978</v>
      </c>
      <c r="C921" s="117" t="s">
        <v>2831</v>
      </c>
      <c r="D921" s="117" t="s">
        <v>2858</v>
      </c>
      <c r="E921" s="117" t="s">
        <v>2833</v>
      </c>
      <c r="F921" s="117" t="s">
        <v>2834</v>
      </c>
      <c r="G921" s="117" t="s">
        <v>2835</v>
      </c>
      <c r="H921" s="117" t="s">
        <v>2836</v>
      </c>
      <c r="I921" s="117">
        <v>1.0</v>
      </c>
      <c r="J921" s="117">
        <v>1.0</v>
      </c>
      <c r="K921" s="117" t="str">
        <f t="shared" si="1"/>
        <v>No</v>
      </c>
      <c r="L921" s="118" t="s">
        <v>116</v>
      </c>
      <c r="M921" s="119">
        <v>0.25</v>
      </c>
      <c r="N921" s="120">
        <v>1.0</v>
      </c>
      <c r="O921" s="121">
        <v>91.32</v>
      </c>
      <c r="P921" s="117">
        <v>6.0</v>
      </c>
      <c r="Q921" s="117">
        <f t="shared" si="2"/>
        <v>0</v>
      </c>
      <c r="R921" s="122">
        <f>+(IF(((M921*24)-P921)&lt;0,0,((M921*24)-P921)*'Estimación de pérdidas'!$F$72))*N921</f>
        <v>0</v>
      </c>
      <c r="S921" s="123" t="s">
        <v>117</v>
      </c>
      <c r="T921" s="124" t="s">
        <v>106</v>
      </c>
      <c r="U921" s="124">
        <f t="shared" si="3"/>
        <v>1</v>
      </c>
      <c r="V921" s="124">
        <v>2.0</v>
      </c>
      <c r="W921" s="124"/>
      <c r="X921" s="125"/>
      <c r="Y921" s="126"/>
      <c r="Z921" s="125">
        <f t="shared" si="4"/>
        <v>2</v>
      </c>
      <c r="AA921" s="127" t="str">
        <f t="shared" si="5"/>
        <v>Moderado</v>
      </c>
      <c r="AB921" s="128">
        <f t="shared" si="6"/>
        <v>12</v>
      </c>
      <c r="AC921" s="129">
        <f t="shared" si="7"/>
        <v>0.16</v>
      </c>
      <c r="AD921" s="131"/>
    </row>
    <row r="922" ht="14.25" hidden="1" customHeight="1">
      <c r="A922" s="116" t="s">
        <v>927</v>
      </c>
      <c r="B922" s="117" t="s">
        <v>1037</v>
      </c>
      <c r="C922" s="117" t="s">
        <v>2831</v>
      </c>
      <c r="D922" s="117" t="s">
        <v>2859</v>
      </c>
      <c r="E922" s="117" t="s">
        <v>2833</v>
      </c>
      <c r="F922" s="117" t="s">
        <v>2834</v>
      </c>
      <c r="G922" s="117" t="s">
        <v>2835</v>
      </c>
      <c r="H922" s="117" t="s">
        <v>2836</v>
      </c>
      <c r="I922" s="117">
        <v>1.0</v>
      </c>
      <c r="J922" s="117">
        <v>1.0</v>
      </c>
      <c r="K922" s="117" t="str">
        <f t="shared" si="1"/>
        <v>No</v>
      </c>
      <c r="L922" s="118" t="s">
        <v>116</v>
      </c>
      <c r="M922" s="119">
        <v>0.25</v>
      </c>
      <c r="N922" s="120">
        <v>1.0</v>
      </c>
      <c r="O922" s="121">
        <v>91.32</v>
      </c>
      <c r="P922" s="117">
        <v>12.0</v>
      </c>
      <c r="Q922" s="117">
        <f t="shared" si="2"/>
        <v>0</v>
      </c>
      <c r="R922" s="122">
        <f>+(IF(((M922*24)-P922)&lt;0,0,((M922*24)-P922)*'Estimación de pérdidas'!$F$72))*N922</f>
        <v>0</v>
      </c>
      <c r="S922" s="123" t="s">
        <v>117</v>
      </c>
      <c r="T922" s="124" t="s">
        <v>106</v>
      </c>
      <c r="U922" s="124">
        <f t="shared" si="3"/>
        <v>1</v>
      </c>
      <c r="V922" s="124">
        <v>2.0</v>
      </c>
      <c r="W922" s="124"/>
      <c r="X922" s="125"/>
      <c r="Y922" s="126"/>
      <c r="Z922" s="125">
        <f t="shared" si="4"/>
        <v>2</v>
      </c>
      <c r="AA922" s="127" t="str">
        <f t="shared" si="5"/>
        <v>Moderado</v>
      </c>
      <c r="AB922" s="128">
        <f t="shared" si="6"/>
        <v>12</v>
      </c>
      <c r="AC922" s="129">
        <f t="shared" si="7"/>
        <v>0.16</v>
      </c>
      <c r="AD922" s="131"/>
    </row>
    <row r="923" ht="14.25" hidden="1" customHeight="1">
      <c r="A923" s="116" t="s">
        <v>927</v>
      </c>
      <c r="B923" s="117" t="s">
        <v>1037</v>
      </c>
      <c r="C923" s="117" t="s">
        <v>2831</v>
      </c>
      <c r="D923" s="117" t="s">
        <v>2860</v>
      </c>
      <c r="E923" s="117" t="s">
        <v>2833</v>
      </c>
      <c r="F923" s="117" t="s">
        <v>2834</v>
      </c>
      <c r="G923" s="117" t="s">
        <v>2835</v>
      </c>
      <c r="H923" s="117" t="s">
        <v>2836</v>
      </c>
      <c r="I923" s="117">
        <v>1.0</v>
      </c>
      <c r="J923" s="117">
        <v>1.0</v>
      </c>
      <c r="K923" s="117" t="str">
        <f t="shared" si="1"/>
        <v>No</v>
      </c>
      <c r="L923" s="118" t="s">
        <v>116</v>
      </c>
      <c r="M923" s="119">
        <v>0.25</v>
      </c>
      <c r="N923" s="120">
        <v>1.0</v>
      </c>
      <c r="O923" s="121">
        <v>91.32</v>
      </c>
      <c r="P923" s="117">
        <v>12.0</v>
      </c>
      <c r="Q923" s="117">
        <f t="shared" si="2"/>
        <v>0</v>
      </c>
      <c r="R923" s="122">
        <f>+(IF(((M923*24)-P923)&lt;0,0,((M923*24)-P923)*'Estimación de pérdidas'!$F$72))*N923</f>
        <v>0</v>
      </c>
      <c r="S923" s="123" t="s">
        <v>117</v>
      </c>
      <c r="T923" s="124" t="s">
        <v>106</v>
      </c>
      <c r="U923" s="124">
        <f t="shared" si="3"/>
        <v>1</v>
      </c>
      <c r="V923" s="124">
        <v>2.0</v>
      </c>
      <c r="W923" s="124"/>
      <c r="X923" s="125"/>
      <c r="Y923" s="126"/>
      <c r="Z923" s="125">
        <f t="shared" si="4"/>
        <v>2</v>
      </c>
      <c r="AA923" s="127" t="str">
        <f t="shared" si="5"/>
        <v>Moderado</v>
      </c>
      <c r="AB923" s="128">
        <f t="shared" si="6"/>
        <v>12</v>
      </c>
      <c r="AC923" s="129">
        <f t="shared" si="7"/>
        <v>0.16</v>
      </c>
      <c r="AD923" s="131"/>
    </row>
    <row r="924" ht="14.25" hidden="1" customHeight="1">
      <c r="A924" s="116" t="s">
        <v>1145</v>
      </c>
      <c r="B924" s="117" t="s">
        <v>1145</v>
      </c>
      <c r="C924" s="117" t="s">
        <v>2831</v>
      </c>
      <c r="D924" s="117" t="s">
        <v>2861</v>
      </c>
      <c r="E924" s="117" t="s">
        <v>2833</v>
      </c>
      <c r="F924" s="117" t="s">
        <v>2834</v>
      </c>
      <c r="G924" s="117" t="s">
        <v>2835</v>
      </c>
      <c r="H924" s="117" t="s">
        <v>2839</v>
      </c>
      <c r="I924" s="117">
        <v>1.0</v>
      </c>
      <c r="J924" s="117">
        <v>1.0</v>
      </c>
      <c r="K924" s="117" t="str">
        <f t="shared" si="1"/>
        <v>No</v>
      </c>
      <c r="L924" s="118" t="s">
        <v>116</v>
      </c>
      <c r="M924" s="119">
        <v>0.25</v>
      </c>
      <c r="N924" s="120">
        <v>1.0</v>
      </c>
      <c r="O924" s="121">
        <v>91.32</v>
      </c>
      <c r="P924" s="117">
        <v>1.0</v>
      </c>
      <c r="Q924" s="117">
        <f t="shared" si="2"/>
        <v>5</v>
      </c>
      <c r="R924" s="122">
        <f>+(IF(((M924*24)-P924)&lt;0,0,((M924*24)-P924)*'Estimación de pérdidas'!$F$72))*N924</f>
        <v>288390.3746</v>
      </c>
      <c r="S924" s="123" t="s">
        <v>117</v>
      </c>
      <c r="T924" s="124" t="s">
        <v>106</v>
      </c>
      <c r="U924" s="124">
        <f t="shared" si="3"/>
        <v>3</v>
      </c>
      <c r="V924" s="124">
        <v>2.0</v>
      </c>
      <c r="W924" s="124"/>
      <c r="X924" s="125"/>
      <c r="Y924" s="126"/>
      <c r="Z924" s="125">
        <f t="shared" si="4"/>
        <v>3</v>
      </c>
      <c r="AA924" s="127" t="str">
        <f t="shared" si="5"/>
        <v>Moderado</v>
      </c>
      <c r="AB924" s="128">
        <f t="shared" si="6"/>
        <v>17</v>
      </c>
      <c r="AC924" s="129">
        <f t="shared" si="7"/>
        <v>0.2579922479</v>
      </c>
      <c r="AD924" s="131"/>
    </row>
    <row r="925" ht="14.25" hidden="1" customHeight="1">
      <c r="A925" s="116" t="s">
        <v>1145</v>
      </c>
      <c r="B925" s="117" t="s">
        <v>1145</v>
      </c>
      <c r="C925" s="117" t="s">
        <v>2831</v>
      </c>
      <c r="D925" s="117" t="s">
        <v>2862</v>
      </c>
      <c r="E925" s="117" t="s">
        <v>2833</v>
      </c>
      <c r="F925" s="117" t="s">
        <v>2834</v>
      </c>
      <c r="G925" s="117" t="s">
        <v>2835</v>
      </c>
      <c r="H925" s="117" t="s">
        <v>2839</v>
      </c>
      <c r="I925" s="117">
        <v>1.0</v>
      </c>
      <c r="J925" s="117">
        <v>1.0</v>
      </c>
      <c r="K925" s="117" t="str">
        <f t="shared" si="1"/>
        <v>No</v>
      </c>
      <c r="L925" s="118" t="s">
        <v>116</v>
      </c>
      <c r="M925" s="119">
        <v>0.25</v>
      </c>
      <c r="N925" s="120">
        <v>1.0</v>
      </c>
      <c r="O925" s="121">
        <v>91.32</v>
      </c>
      <c r="P925" s="117">
        <v>1.0</v>
      </c>
      <c r="Q925" s="117">
        <f t="shared" si="2"/>
        <v>5</v>
      </c>
      <c r="R925" s="122">
        <f>+(IF(((M925*24)-P925)&lt;0,0,((M925*24)-P925)*'Estimación de pérdidas'!$F$72))*N925</f>
        <v>288390.3746</v>
      </c>
      <c r="S925" s="123" t="s">
        <v>117</v>
      </c>
      <c r="T925" s="124" t="s">
        <v>106</v>
      </c>
      <c r="U925" s="124">
        <f t="shared" si="3"/>
        <v>3</v>
      </c>
      <c r="V925" s="124">
        <v>2.0</v>
      </c>
      <c r="W925" s="124"/>
      <c r="X925" s="125"/>
      <c r="Y925" s="126"/>
      <c r="Z925" s="125">
        <f t="shared" si="4"/>
        <v>3</v>
      </c>
      <c r="AA925" s="127" t="str">
        <f t="shared" si="5"/>
        <v>Moderado</v>
      </c>
      <c r="AB925" s="128">
        <f t="shared" si="6"/>
        <v>17</v>
      </c>
      <c r="AC925" s="129">
        <f t="shared" si="7"/>
        <v>0.2579922479</v>
      </c>
      <c r="AD925" s="131"/>
    </row>
    <row r="926" ht="14.25" hidden="1" customHeight="1">
      <c r="A926" s="116" t="s">
        <v>1345</v>
      </c>
      <c r="B926" s="117" t="s">
        <v>1346</v>
      </c>
      <c r="C926" s="117" t="s">
        <v>2831</v>
      </c>
      <c r="D926" s="117" t="s">
        <v>2863</v>
      </c>
      <c r="E926" s="117" t="s">
        <v>2833</v>
      </c>
      <c r="F926" s="117" t="s">
        <v>2834</v>
      </c>
      <c r="G926" s="117" t="s">
        <v>2835</v>
      </c>
      <c r="H926" s="117" t="s">
        <v>2839</v>
      </c>
      <c r="I926" s="117">
        <v>1.0</v>
      </c>
      <c r="J926" s="117">
        <v>1.0</v>
      </c>
      <c r="K926" s="117" t="str">
        <f t="shared" si="1"/>
        <v>No</v>
      </c>
      <c r="L926" s="118" t="s">
        <v>116</v>
      </c>
      <c r="M926" s="119">
        <v>0.25</v>
      </c>
      <c r="N926" s="120">
        <v>1.0</v>
      </c>
      <c r="O926" s="121">
        <v>91.32</v>
      </c>
      <c r="P926" s="117">
        <v>1.0</v>
      </c>
      <c r="Q926" s="117">
        <f t="shared" si="2"/>
        <v>5</v>
      </c>
      <c r="R926" s="122">
        <f>+(IF(((M926*24)-P926)&lt;0,0,((M926*24)-P926)*'Estimación de pérdidas'!$F$72))*N926</f>
        <v>288390.3746</v>
      </c>
      <c r="S926" s="123" t="s">
        <v>117</v>
      </c>
      <c r="T926" s="124" t="s">
        <v>106</v>
      </c>
      <c r="U926" s="124">
        <f t="shared" si="3"/>
        <v>3</v>
      </c>
      <c r="V926" s="124">
        <v>2.0</v>
      </c>
      <c r="W926" s="124"/>
      <c r="X926" s="125"/>
      <c r="Y926" s="126"/>
      <c r="Z926" s="125">
        <f t="shared" si="4"/>
        <v>3</v>
      </c>
      <c r="AA926" s="127" t="str">
        <f t="shared" si="5"/>
        <v>Moderado</v>
      </c>
      <c r="AB926" s="128">
        <f t="shared" si="6"/>
        <v>17</v>
      </c>
      <c r="AC926" s="129">
        <f t="shared" si="7"/>
        <v>0.2579922479</v>
      </c>
      <c r="AD926" s="131"/>
    </row>
    <row r="927" ht="14.25" hidden="1" customHeight="1">
      <c r="A927" s="116" t="s">
        <v>1345</v>
      </c>
      <c r="B927" s="117" t="s">
        <v>1378</v>
      </c>
      <c r="C927" s="117" t="s">
        <v>2831</v>
      </c>
      <c r="D927" s="117" t="s">
        <v>2864</v>
      </c>
      <c r="E927" s="117" t="s">
        <v>2833</v>
      </c>
      <c r="F927" s="117" t="s">
        <v>2834</v>
      </c>
      <c r="G927" s="117" t="s">
        <v>2835</v>
      </c>
      <c r="H927" s="117" t="s">
        <v>2839</v>
      </c>
      <c r="I927" s="117">
        <v>1.0</v>
      </c>
      <c r="J927" s="117">
        <v>1.0</v>
      </c>
      <c r="K927" s="117" t="str">
        <f t="shared" si="1"/>
        <v>No</v>
      </c>
      <c r="L927" s="118" t="s">
        <v>116</v>
      </c>
      <c r="M927" s="119">
        <v>0.25</v>
      </c>
      <c r="N927" s="120">
        <v>1.0</v>
      </c>
      <c r="O927" s="121">
        <v>91.32</v>
      </c>
      <c r="P927" s="117">
        <v>1.0</v>
      </c>
      <c r="Q927" s="117">
        <f t="shared" si="2"/>
        <v>5</v>
      </c>
      <c r="R927" s="122">
        <f>+(IF(((M927*24)-P927)&lt;0,0,((M927*24)-P927)*'Estimación de pérdidas'!$F$72))*N927</f>
        <v>288390.3746</v>
      </c>
      <c r="S927" s="123" t="s">
        <v>117</v>
      </c>
      <c r="T927" s="124" t="s">
        <v>106</v>
      </c>
      <c r="U927" s="124">
        <f t="shared" si="3"/>
        <v>3</v>
      </c>
      <c r="V927" s="124">
        <v>2.0</v>
      </c>
      <c r="W927" s="124"/>
      <c r="X927" s="125"/>
      <c r="Y927" s="126"/>
      <c r="Z927" s="125">
        <f t="shared" si="4"/>
        <v>3</v>
      </c>
      <c r="AA927" s="127" t="str">
        <f t="shared" si="5"/>
        <v>Moderado</v>
      </c>
      <c r="AB927" s="128">
        <f t="shared" si="6"/>
        <v>17</v>
      </c>
      <c r="AC927" s="129">
        <f t="shared" si="7"/>
        <v>0.2579922479</v>
      </c>
      <c r="AD927" s="131"/>
    </row>
    <row r="928" ht="14.25" hidden="1" customHeight="1">
      <c r="A928" s="116" t="s">
        <v>1345</v>
      </c>
      <c r="B928" s="117" t="s">
        <v>1378</v>
      </c>
      <c r="C928" s="117" t="s">
        <v>2831</v>
      </c>
      <c r="D928" s="117" t="s">
        <v>2865</v>
      </c>
      <c r="E928" s="117" t="s">
        <v>2833</v>
      </c>
      <c r="F928" s="117" t="s">
        <v>2834</v>
      </c>
      <c r="G928" s="117" t="s">
        <v>2835</v>
      </c>
      <c r="H928" s="117" t="s">
        <v>2839</v>
      </c>
      <c r="I928" s="117">
        <v>1.0</v>
      </c>
      <c r="J928" s="117">
        <v>1.0</v>
      </c>
      <c r="K928" s="117" t="str">
        <f t="shared" si="1"/>
        <v>No</v>
      </c>
      <c r="L928" s="118" t="s">
        <v>116</v>
      </c>
      <c r="M928" s="119">
        <v>0.25</v>
      </c>
      <c r="N928" s="120">
        <v>1.0</v>
      </c>
      <c r="O928" s="121">
        <v>91.32</v>
      </c>
      <c r="P928" s="117">
        <v>1.0</v>
      </c>
      <c r="Q928" s="117">
        <f t="shared" si="2"/>
        <v>5</v>
      </c>
      <c r="R928" s="122">
        <f>+(IF(((M928*24)-P928)&lt;0,0,((M928*24)-P928)*'Estimación de pérdidas'!$F$72))*N928</f>
        <v>288390.3746</v>
      </c>
      <c r="S928" s="123" t="s">
        <v>117</v>
      </c>
      <c r="T928" s="124" t="s">
        <v>106</v>
      </c>
      <c r="U928" s="124">
        <f t="shared" si="3"/>
        <v>3</v>
      </c>
      <c r="V928" s="124">
        <v>2.0</v>
      </c>
      <c r="W928" s="124"/>
      <c r="X928" s="125"/>
      <c r="Y928" s="126"/>
      <c r="Z928" s="125">
        <f t="shared" si="4"/>
        <v>3</v>
      </c>
      <c r="AA928" s="127" t="str">
        <f t="shared" si="5"/>
        <v>Moderado</v>
      </c>
      <c r="AB928" s="128">
        <f t="shared" si="6"/>
        <v>17</v>
      </c>
      <c r="AC928" s="129">
        <f t="shared" si="7"/>
        <v>0.2579922479</v>
      </c>
      <c r="AD928" s="131"/>
    </row>
    <row r="929" ht="14.25" hidden="1" customHeight="1">
      <c r="A929" s="116" t="s">
        <v>1345</v>
      </c>
      <c r="B929" s="117" t="s">
        <v>1378</v>
      </c>
      <c r="C929" s="117" t="s">
        <v>2831</v>
      </c>
      <c r="D929" s="117" t="s">
        <v>2866</v>
      </c>
      <c r="E929" s="117" t="s">
        <v>2833</v>
      </c>
      <c r="F929" s="117" t="s">
        <v>2834</v>
      </c>
      <c r="G929" s="117" t="s">
        <v>2835</v>
      </c>
      <c r="H929" s="117" t="s">
        <v>2839</v>
      </c>
      <c r="I929" s="117">
        <v>1.0</v>
      </c>
      <c r="J929" s="117">
        <v>1.0</v>
      </c>
      <c r="K929" s="117" t="str">
        <f t="shared" si="1"/>
        <v>No</v>
      </c>
      <c r="L929" s="118" t="s">
        <v>116</v>
      </c>
      <c r="M929" s="119">
        <v>0.25</v>
      </c>
      <c r="N929" s="120">
        <v>1.0</v>
      </c>
      <c r="O929" s="121">
        <v>91.32</v>
      </c>
      <c r="P929" s="117">
        <v>1.0</v>
      </c>
      <c r="Q929" s="117">
        <f t="shared" si="2"/>
        <v>5</v>
      </c>
      <c r="R929" s="122">
        <f>+(IF(((M929*24)-P929)&lt;0,0,((M929*24)-P929)*'Estimación de pérdidas'!$F$72))*N929</f>
        <v>288390.3746</v>
      </c>
      <c r="S929" s="123" t="s">
        <v>117</v>
      </c>
      <c r="T929" s="124" t="s">
        <v>106</v>
      </c>
      <c r="U929" s="124">
        <f t="shared" si="3"/>
        <v>3</v>
      </c>
      <c r="V929" s="124">
        <v>2.0</v>
      </c>
      <c r="W929" s="124"/>
      <c r="X929" s="125"/>
      <c r="Y929" s="126"/>
      <c r="Z929" s="125">
        <f t="shared" si="4"/>
        <v>3</v>
      </c>
      <c r="AA929" s="127" t="str">
        <f t="shared" si="5"/>
        <v>Moderado</v>
      </c>
      <c r="AB929" s="128">
        <f t="shared" si="6"/>
        <v>17</v>
      </c>
      <c r="AC929" s="129">
        <f t="shared" si="7"/>
        <v>0.2579922479</v>
      </c>
      <c r="AD929" s="131"/>
    </row>
    <row r="930" ht="14.25" hidden="1" customHeight="1">
      <c r="A930" s="116" t="s">
        <v>1345</v>
      </c>
      <c r="B930" s="117" t="s">
        <v>1414</v>
      </c>
      <c r="C930" s="117" t="s">
        <v>2831</v>
      </c>
      <c r="D930" s="117" t="s">
        <v>2867</v>
      </c>
      <c r="E930" s="117" t="s">
        <v>2833</v>
      </c>
      <c r="F930" s="117" t="s">
        <v>2834</v>
      </c>
      <c r="G930" s="117" t="s">
        <v>2835</v>
      </c>
      <c r="H930" s="117" t="s">
        <v>2839</v>
      </c>
      <c r="I930" s="117">
        <v>1.0</v>
      </c>
      <c r="J930" s="117">
        <v>1.0</v>
      </c>
      <c r="K930" s="117" t="str">
        <f t="shared" si="1"/>
        <v>No</v>
      </c>
      <c r="L930" s="118" t="s">
        <v>116</v>
      </c>
      <c r="M930" s="119">
        <v>0.25</v>
      </c>
      <c r="N930" s="120">
        <v>1.0</v>
      </c>
      <c r="O930" s="121">
        <v>91.32</v>
      </c>
      <c r="P930" s="117">
        <v>1.0</v>
      </c>
      <c r="Q930" s="117">
        <f t="shared" si="2"/>
        <v>5</v>
      </c>
      <c r="R930" s="122">
        <f>+(IF(((M930*24)-P930)&lt;0,0,((M930*24)-P930)*'Estimación de pérdidas'!$F$72))*N930</f>
        <v>288390.3746</v>
      </c>
      <c r="S930" s="123" t="s">
        <v>117</v>
      </c>
      <c r="T930" s="124" t="s">
        <v>106</v>
      </c>
      <c r="U930" s="124">
        <f t="shared" si="3"/>
        <v>3</v>
      </c>
      <c r="V930" s="124">
        <v>2.0</v>
      </c>
      <c r="W930" s="124"/>
      <c r="X930" s="125"/>
      <c r="Y930" s="126"/>
      <c r="Z930" s="125">
        <f t="shared" si="4"/>
        <v>3</v>
      </c>
      <c r="AA930" s="127" t="str">
        <f t="shared" si="5"/>
        <v>Moderado</v>
      </c>
      <c r="AB930" s="128">
        <f t="shared" si="6"/>
        <v>17</v>
      </c>
      <c r="AC930" s="129">
        <f t="shared" si="7"/>
        <v>0.2579922479</v>
      </c>
      <c r="AD930" s="131"/>
    </row>
    <row r="931" ht="14.25" hidden="1" customHeight="1">
      <c r="A931" s="116" t="s">
        <v>1345</v>
      </c>
      <c r="B931" s="117" t="s">
        <v>1414</v>
      </c>
      <c r="C931" s="117" t="s">
        <v>2831</v>
      </c>
      <c r="D931" s="117" t="s">
        <v>2868</v>
      </c>
      <c r="E931" s="117" t="s">
        <v>2833</v>
      </c>
      <c r="F931" s="117" t="s">
        <v>2834</v>
      </c>
      <c r="G931" s="117" t="s">
        <v>2835</v>
      </c>
      <c r="H931" s="117" t="s">
        <v>2839</v>
      </c>
      <c r="I931" s="117">
        <v>1.0</v>
      </c>
      <c r="J931" s="117">
        <v>1.0</v>
      </c>
      <c r="K931" s="117" t="str">
        <f t="shared" si="1"/>
        <v>No</v>
      </c>
      <c r="L931" s="118" t="s">
        <v>116</v>
      </c>
      <c r="M931" s="119">
        <v>0.25</v>
      </c>
      <c r="N931" s="120">
        <v>1.0</v>
      </c>
      <c r="O931" s="121">
        <v>91.32</v>
      </c>
      <c r="P931" s="117">
        <v>1.0</v>
      </c>
      <c r="Q931" s="117">
        <f t="shared" si="2"/>
        <v>5</v>
      </c>
      <c r="R931" s="122">
        <f>+(IF(((M931*24)-P931)&lt;0,0,((M931*24)-P931)*'Estimación de pérdidas'!$F$72))*N931</f>
        <v>288390.3746</v>
      </c>
      <c r="S931" s="123" t="s">
        <v>117</v>
      </c>
      <c r="T931" s="124" t="s">
        <v>106</v>
      </c>
      <c r="U931" s="124">
        <f t="shared" si="3"/>
        <v>3</v>
      </c>
      <c r="V931" s="124">
        <v>2.0</v>
      </c>
      <c r="W931" s="124"/>
      <c r="X931" s="125"/>
      <c r="Y931" s="126"/>
      <c r="Z931" s="125">
        <f t="shared" si="4"/>
        <v>3</v>
      </c>
      <c r="AA931" s="127" t="str">
        <f t="shared" si="5"/>
        <v>Moderado</v>
      </c>
      <c r="AB931" s="128">
        <f t="shared" si="6"/>
        <v>17</v>
      </c>
      <c r="AC931" s="129">
        <f t="shared" si="7"/>
        <v>0.2579922479</v>
      </c>
      <c r="AD931" s="131"/>
    </row>
    <row r="932" ht="14.25" hidden="1" customHeight="1">
      <c r="A932" s="116" t="s">
        <v>1345</v>
      </c>
      <c r="B932" s="117" t="s">
        <v>1414</v>
      </c>
      <c r="C932" s="117" t="s">
        <v>2831</v>
      </c>
      <c r="D932" s="117" t="s">
        <v>2869</v>
      </c>
      <c r="E932" s="117" t="s">
        <v>2833</v>
      </c>
      <c r="F932" s="117" t="s">
        <v>2834</v>
      </c>
      <c r="G932" s="117" t="s">
        <v>2835</v>
      </c>
      <c r="H932" s="117" t="s">
        <v>2839</v>
      </c>
      <c r="I932" s="117">
        <v>1.0</v>
      </c>
      <c r="J932" s="117">
        <v>1.0</v>
      </c>
      <c r="K932" s="117" t="str">
        <f t="shared" si="1"/>
        <v>No</v>
      </c>
      <c r="L932" s="118" t="s">
        <v>116</v>
      </c>
      <c r="M932" s="119">
        <v>0.25</v>
      </c>
      <c r="N932" s="120">
        <v>1.0</v>
      </c>
      <c r="O932" s="121">
        <v>91.32</v>
      </c>
      <c r="P932" s="117">
        <v>1.0</v>
      </c>
      <c r="Q932" s="117">
        <f t="shared" si="2"/>
        <v>5</v>
      </c>
      <c r="R932" s="122">
        <f>+(IF(((M932*24)-P932)&lt;0,0,((M932*24)-P932)*'Estimación de pérdidas'!$F$72))*N932</f>
        <v>288390.3746</v>
      </c>
      <c r="S932" s="123" t="s">
        <v>117</v>
      </c>
      <c r="T932" s="124" t="s">
        <v>106</v>
      </c>
      <c r="U932" s="124">
        <f t="shared" si="3"/>
        <v>3</v>
      </c>
      <c r="V932" s="124">
        <v>2.0</v>
      </c>
      <c r="W932" s="124"/>
      <c r="X932" s="125"/>
      <c r="Y932" s="126"/>
      <c r="Z932" s="125">
        <f t="shared" si="4"/>
        <v>3</v>
      </c>
      <c r="AA932" s="127" t="str">
        <f t="shared" si="5"/>
        <v>Moderado</v>
      </c>
      <c r="AB932" s="128">
        <f t="shared" si="6"/>
        <v>17</v>
      </c>
      <c r="AC932" s="129">
        <f t="shared" si="7"/>
        <v>0.2579922479</v>
      </c>
      <c r="AD932" s="131"/>
    </row>
    <row r="933" ht="14.25" hidden="1" customHeight="1">
      <c r="A933" s="116" t="s">
        <v>1345</v>
      </c>
      <c r="B933" s="117" t="s">
        <v>1414</v>
      </c>
      <c r="C933" s="117" t="s">
        <v>2831</v>
      </c>
      <c r="D933" s="117" t="s">
        <v>2870</v>
      </c>
      <c r="E933" s="117" t="s">
        <v>2833</v>
      </c>
      <c r="F933" s="117" t="s">
        <v>2834</v>
      </c>
      <c r="G933" s="117" t="s">
        <v>2835</v>
      </c>
      <c r="H933" s="117" t="s">
        <v>2839</v>
      </c>
      <c r="I933" s="117">
        <v>1.0</v>
      </c>
      <c r="J933" s="117">
        <v>1.0</v>
      </c>
      <c r="K933" s="117" t="str">
        <f t="shared" si="1"/>
        <v>No</v>
      </c>
      <c r="L933" s="118" t="s">
        <v>116</v>
      </c>
      <c r="M933" s="119">
        <v>0.25</v>
      </c>
      <c r="N933" s="120">
        <v>1.0</v>
      </c>
      <c r="O933" s="121">
        <v>91.32</v>
      </c>
      <c r="P933" s="117">
        <v>1.0</v>
      </c>
      <c r="Q933" s="117">
        <f t="shared" si="2"/>
        <v>5</v>
      </c>
      <c r="R933" s="122">
        <f>+(IF(((M933*24)-P933)&lt;0,0,((M933*24)-P933)*'Estimación de pérdidas'!$F$72))*N933</f>
        <v>288390.3746</v>
      </c>
      <c r="S933" s="123" t="s">
        <v>117</v>
      </c>
      <c r="T933" s="124" t="s">
        <v>106</v>
      </c>
      <c r="U933" s="124">
        <f t="shared" si="3"/>
        <v>3</v>
      </c>
      <c r="V933" s="124">
        <v>2.0</v>
      </c>
      <c r="W933" s="124"/>
      <c r="X933" s="125"/>
      <c r="Y933" s="126"/>
      <c r="Z933" s="125">
        <f t="shared" si="4"/>
        <v>3</v>
      </c>
      <c r="AA933" s="127" t="str">
        <f t="shared" si="5"/>
        <v>Moderado</v>
      </c>
      <c r="AB933" s="128">
        <f t="shared" si="6"/>
        <v>17</v>
      </c>
      <c r="AC933" s="129">
        <f t="shared" si="7"/>
        <v>0.2579922479</v>
      </c>
      <c r="AD933" s="131"/>
    </row>
    <row r="934" ht="14.25" hidden="1" customHeight="1">
      <c r="A934" s="116" t="s">
        <v>1345</v>
      </c>
      <c r="B934" s="117" t="s">
        <v>1414</v>
      </c>
      <c r="C934" s="117" t="s">
        <v>2831</v>
      </c>
      <c r="D934" s="117" t="s">
        <v>2871</v>
      </c>
      <c r="E934" s="117" t="s">
        <v>2833</v>
      </c>
      <c r="F934" s="117" t="s">
        <v>2834</v>
      </c>
      <c r="G934" s="117" t="s">
        <v>2835</v>
      </c>
      <c r="H934" s="117" t="s">
        <v>2839</v>
      </c>
      <c r="I934" s="117">
        <v>1.0</v>
      </c>
      <c r="J934" s="117">
        <v>1.0</v>
      </c>
      <c r="K934" s="117" t="str">
        <f t="shared" si="1"/>
        <v>No</v>
      </c>
      <c r="L934" s="118" t="s">
        <v>116</v>
      </c>
      <c r="M934" s="119">
        <v>0.25</v>
      </c>
      <c r="N934" s="120">
        <v>1.0</v>
      </c>
      <c r="O934" s="121">
        <v>91.32</v>
      </c>
      <c r="P934" s="117">
        <v>1.0</v>
      </c>
      <c r="Q934" s="117">
        <f t="shared" si="2"/>
        <v>5</v>
      </c>
      <c r="R934" s="122">
        <f>+(IF(((M934*24)-P934)&lt;0,0,((M934*24)-P934)*'Estimación de pérdidas'!$F$72))*N934</f>
        <v>288390.3746</v>
      </c>
      <c r="S934" s="123" t="s">
        <v>117</v>
      </c>
      <c r="T934" s="124" t="s">
        <v>106</v>
      </c>
      <c r="U934" s="124">
        <f t="shared" si="3"/>
        <v>3</v>
      </c>
      <c r="V934" s="124">
        <v>2.0</v>
      </c>
      <c r="W934" s="124"/>
      <c r="X934" s="125"/>
      <c r="Y934" s="126"/>
      <c r="Z934" s="125">
        <f t="shared" si="4"/>
        <v>3</v>
      </c>
      <c r="AA934" s="127" t="str">
        <f t="shared" si="5"/>
        <v>Moderado</v>
      </c>
      <c r="AB934" s="128">
        <f t="shared" si="6"/>
        <v>17</v>
      </c>
      <c r="AC934" s="129">
        <f t="shared" si="7"/>
        <v>0.2579922479</v>
      </c>
      <c r="AD934" s="131"/>
    </row>
    <row r="935" ht="14.25" hidden="1" customHeight="1">
      <c r="A935" s="116" t="s">
        <v>1345</v>
      </c>
      <c r="B935" s="117" t="s">
        <v>1414</v>
      </c>
      <c r="C935" s="117" t="s">
        <v>2831</v>
      </c>
      <c r="D935" s="117" t="s">
        <v>2872</v>
      </c>
      <c r="E935" s="117" t="s">
        <v>2833</v>
      </c>
      <c r="F935" s="117" t="s">
        <v>2834</v>
      </c>
      <c r="G935" s="117" t="s">
        <v>2835</v>
      </c>
      <c r="H935" s="117" t="s">
        <v>2839</v>
      </c>
      <c r="I935" s="117">
        <v>1.0</v>
      </c>
      <c r="J935" s="117">
        <v>1.0</v>
      </c>
      <c r="K935" s="117" t="str">
        <f t="shared" si="1"/>
        <v>No</v>
      </c>
      <c r="L935" s="118" t="s">
        <v>116</v>
      </c>
      <c r="M935" s="119">
        <v>0.25</v>
      </c>
      <c r="N935" s="120">
        <v>1.0</v>
      </c>
      <c r="O935" s="121">
        <v>91.32</v>
      </c>
      <c r="P935" s="117">
        <v>1.0</v>
      </c>
      <c r="Q935" s="117">
        <f t="shared" si="2"/>
        <v>5</v>
      </c>
      <c r="R935" s="122">
        <f>+(IF(((M935*24)-P935)&lt;0,0,((M935*24)-P935)*'Estimación de pérdidas'!$F$72))*N935</f>
        <v>288390.3746</v>
      </c>
      <c r="S935" s="123" t="s">
        <v>117</v>
      </c>
      <c r="T935" s="124" t="s">
        <v>106</v>
      </c>
      <c r="U935" s="124">
        <f t="shared" si="3"/>
        <v>3</v>
      </c>
      <c r="V935" s="124">
        <v>2.0</v>
      </c>
      <c r="W935" s="124"/>
      <c r="X935" s="125"/>
      <c r="Y935" s="126"/>
      <c r="Z935" s="125">
        <f t="shared" si="4"/>
        <v>3</v>
      </c>
      <c r="AA935" s="127" t="str">
        <f t="shared" si="5"/>
        <v>Moderado</v>
      </c>
      <c r="AB935" s="128">
        <f t="shared" si="6"/>
        <v>17</v>
      </c>
      <c r="AC935" s="129">
        <f t="shared" si="7"/>
        <v>0.2579922479</v>
      </c>
      <c r="AD935" s="131"/>
    </row>
    <row r="936" ht="14.25" hidden="1" customHeight="1">
      <c r="A936" s="116" t="s">
        <v>1514</v>
      </c>
      <c r="B936" s="117" t="s">
        <v>1514</v>
      </c>
      <c r="C936" s="117" t="s">
        <v>2831</v>
      </c>
      <c r="D936" s="117" t="s">
        <v>2873</v>
      </c>
      <c r="E936" s="117" t="s">
        <v>2833</v>
      </c>
      <c r="F936" s="117" t="s">
        <v>2834</v>
      </c>
      <c r="G936" s="117" t="s">
        <v>2835</v>
      </c>
      <c r="H936" s="117" t="s">
        <v>2839</v>
      </c>
      <c r="I936" s="117">
        <v>1.0</v>
      </c>
      <c r="J936" s="117">
        <v>1.0</v>
      </c>
      <c r="K936" s="117" t="str">
        <f t="shared" si="1"/>
        <v>No</v>
      </c>
      <c r="L936" s="118" t="s">
        <v>116</v>
      </c>
      <c r="M936" s="119">
        <v>0.25</v>
      </c>
      <c r="N936" s="120">
        <v>1.0</v>
      </c>
      <c r="O936" s="121">
        <v>91.32</v>
      </c>
      <c r="P936" s="117">
        <v>1.0</v>
      </c>
      <c r="Q936" s="117">
        <f t="shared" si="2"/>
        <v>5</v>
      </c>
      <c r="R936" s="122">
        <f>+(IF(((M936*24)-P936)&lt;0,0,((M936*24)-P936)*'Estimación de pérdidas'!$F$72))*N936</f>
        <v>288390.3746</v>
      </c>
      <c r="S936" s="123" t="s">
        <v>117</v>
      </c>
      <c r="T936" s="124" t="s">
        <v>106</v>
      </c>
      <c r="U936" s="124">
        <f t="shared" si="3"/>
        <v>3</v>
      </c>
      <c r="V936" s="124">
        <v>2.0</v>
      </c>
      <c r="W936" s="124"/>
      <c r="X936" s="125"/>
      <c r="Y936" s="126"/>
      <c r="Z936" s="125">
        <f t="shared" si="4"/>
        <v>3</v>
      </c>
      <c r="AA936" s="127" t="str">
        <f t="shared" si="5"/>
        <v>Moderado</v>
      </c>
      <c r="AB936" s="128">
        <f t="shared" si="6"/>
        <v>17</v>
      </c>
      <c r="AC936" s="129">
        <f t="shared" si="7"/>
        <v>0.2579922479</v>
      </c>
      <c r="AD936" s="131"/>
    </row>
    <row r="937" ht="14.25" hidden="1" customHeight="1">
      <c r="A937" s="116" t="s">
        <v>847</v>
      </c>
      <c r="B937" s="117" t="s">
        <v>1539</v>
      </c>
      <c r="C937" s="117" t="s">
        <v>2831</v>
      </c>
      <c r="D937" s="117" t="s">
        <v>2874</v>
      </c>
      <c r="E937" s="117" t="s">
        <v>2833</v>
      </c>
      <c r="F937" s="117" t="s">
        <v>2834</v>
      </c>
      <c r="G937" s="117" t="s">
        <v>2835</v>
      </c>
      <c r="H937" s="117" t="s">
        <v>2839</v>
      </c>
      <c r="I937" s="117">
        <v>1.0</v>
      </c>
      <c r="J937" s="117">
        <v>1.0</v>
      </c>
      <c r="K937" s="117" t="str">
        <f t="shared" si="1"/>
        <v>No</v>
      </c>
      <c r="L937" s="118" t="s">
        <v>116</v>
      </c>
      <c r="M937" s="119">
        <v>0.25</v>
      </c>
      <c r="N937" s="120">
        <v>1.0</v>
      </c>
      <c r="O937" s="121">
        <v>91.32</v>
      </c>
      <c r="P937" s="117">
        <v>12.0</v>
      </c>
      <c r="Q937" s="117">
        <f t="shared" si="2"/>
        <v>0</v>
      </c>
      <c r="R937" s="122">
        <f>+(IF(((M937*24)-P937)&lt;0,0,((M937*24)-P937)*'Estimación de pérdidas'!$F$72))*N937</f>
        <v>0</v>
      </c>
      <c r="S937" s="123" t="s">
        <v>117</v>
      </c>
      <c r="T937" s="124" t="s">
        <v>106</v>
      </c>
      <c r="U937" s="124">
        <f t="shared" si="3"/>
        <v>1</v>
      </c>
      <c r="V937" s="124">
        <v>2.0</v>
      </c>
      <c r="W937" s="124"/>
      <c r="X937" s="125"/>
      <c r="Y937" s="126"/>
      <c r="Z937" s="125">
        <f t="shared" si="4"/>
        <v>2</v>
      </c>
      <c r="AA937" s="127" t="str">
        <f t="shared" si="5"/>
        <v>Moderado</v>
      </c>
      <c r="AB937" s="128">
        <f t="shared" si="6"/>
        <v>12</v>
      </c>
      <c r="AC937" s="129">
        <f t="shared" si="7"/>
        <v>0.16</v>
      </c>
      <c r="AD937" s="131"/>
    </row>
    <row r="938" ht="14.25" hidden="1" customHeight="1">
      <c r="A938" s="116" t="s">
        <v>847</v>
      </c>
      <c r="B938" s="117" t="s">
        <v>1539</v>
      </c>
      <c r="C938" s="117" t="s">
        <v>2831</v>
      </c>
      <c r="D938" s="117" t="s">
        <v>2875</v>
      </c>
      <c r="E938" s="117" t="s">
        <v>2833</v>
      </c>
      <c r="F938" s="117" t="s">
        <v>2834</v>
      </c>
      <c r="G938" s="117" t="s">
        <v>2835</v>
      </c>
      <c r="H938" s="117" t="s">
        <v>2839</v>
      </c>
      <c r="I938" s="117">
        <v>1.0</v>
      </c>
      <c r="J938" s="117">
        <v>1.0</v>
      </c>
      <c r="K938" s="117" t="str">
        <f t="shared" si="1"/>
        <v>No</v>
      </c>
      <c r="L938" s="118" t="s">
        <v>116</v>
      </c>
      <c r="M938" s="119">
        <v>0.25</v>
      </c>
      <c r="N938" s="120">
        <v>1.0</v>
      </c>
      <c r="O938" s="121">
        <v>91.32</v>
      </c>
      <c r="P938" s="117">
        <v>12.0</v>
      </c>
      <c r="Q938" s="117">
        <f t="shared" si="2"/>
        <v>0</v>
      </c>
      <c r="R938" s="122">
        <f>+(IF(((M938*24)-P938)&lt;0,0,((M938*24)-P938)*'Estimación de pérdidas'!$F$72))*N938</f>
        <v>0</v>
      </c>
      <c r="S938" s="123" t="s">
        <v>117</v>
      </c>
      <c r="T938" s="124" t="s">
        <v>106</v>
      </c>
      <c r="U938" s="124">
        <f t="shared" si="3"/>
        <v>1</v>
      </c>
      <c r="V938" s="124">
        <v>2.0</v>
      </c>
      <c r="W938" s="124"/>
      <c r="X938" s="125"/>
      <c r="Y938" s="126"/>
      <c r="Z938" s="125">
        <f t="shared" si="4"/>
        <v>2</v>
      </c>
      <c r="AA938" s="127" t="str">
        <f t="shared" si="5"/>
        <v>Moderado</v>
      </c>
      <c r="AB938" s="128">
        <f t="shared" si="6"/>
        <v>12</v>
      </c>
      <c r="AC938" s="129">
        <f t="shared" si="7"/>
        <v>0.16</v>
      </c>
      <c r="AD938" s="131"/>
    </row>
    <row r="939" ht="14.25" hidden="1" customHeight="1">
      <c r="A939" s="116" t="s">
        <v>847</v>
      </c>
      <c r="B939" s="117" t="s">
        <v>848</v>
      </c>
      <c r="C939" s="117" t="s">
        <v>2831</v>
      </c>
      <c r="D939" s="117" t="s">
        <v>2876</v>
      </c>
      <c r="E939" s="117" t="s">
        <v>2833</v>
      </c>
      <c r="F939" s="117" t="s">
        <v>2834</v>
      </c>
      <c r="G939" s="117" t="s">
        <v>2835</v>
      </c>
      <c r="H939" s="117" t="s">
        <v>2839</v>
      </c>
      <c r="I939" s="117">
        <v>1.0</v>
      </c>
      <c r="J939" s="117">
        <v>1.0</v>
      </c>
      <c r="K939" s="117" t="str">
        <f t="shared" si="1"/>
        <v>No</v>
      </c>
      <c r="L939" s="118" t="s">
        <v>116</v>
      </c>
      <c r="M939" s="119">
        <v>0.25</v>
      </c>
      <c r="N939" s="120">
        <v>1.0</v>
      </c>
      <c r="O939" s="121">
        <v>91.32</v>
      </c>
      <c r="P939" s="117">
        <v>1.0</v>
      </c>
      <c r="Q939" s="117">
        <f t="shared" si="2"/>
        <v>5</v>
      </c>
      <c r="R939" s="122">
        <f>+(IF(((M939*24)-P939)&lt;0,0,((M939*24)-P939)*'Estimación de pérdidas'!$F$72))*N939</f>
        <v>288390.3746</v>
      </c>
      <c r="S939" s="123" t="s">
        <v>117</v>
      </c>
      <c r="T939" s="124" t="s">
        <v>106</v>
      </c>
      <c r="U939" s="124">
        <f t="shared" si="3"/>
        <v>3</v>
      </c>
      <c r="V939" s="124">
        <v>2.0</v>
      </c>
      <c r="W939" s="124"/>
      <c r="X939" s="125"/>
      <c r="Y939" s="126"/>
      <c r="Z939" s="125">
        <f t="shared" si="4"/>
        <v>3</v>
      </c>
      <c r="AA939" s="127" t="str">
        <f t="shared" si="5"/>
        <v>Moderado</v>
      </c>
      <c r="AB939" s="128">
        <f t="shared" si="6"/>
        <v>17</v>
      </c>
      <c r="AC939" s="129">
        <f t="shared" si="7"/>
        <v>0.2579922479</v>
      </c>
      <c r="AD939" s="131"/>
    </row>
    <row r="940" ht="14.25" hidden="1" customHeight="1">
      <c r="A940" s="116" t="s">
        <v>847</v>
      </c>
      <c r="B940" s="117" t="s">
        <v>1724</v>
      </c>
      <c r="C940" s="117" t="s">
        <v>2831</v>
      </c>
      <c r="D940" s="117" t="s">
        <v>2877</v>
      </c>
      <c r="E940" s="117" t="s">
        <v>2833</v>
      </c>
      <c r="F940" s="117" t="s">
        <v>2834</v>
      </c>
      <c r="G940" s="117" t="s">
        <v>2835</v>
      </c>
      <c r="H940" s="117" t="s">
        <v>2839</v>
      </c>
      <c r="I940" s="117">
        <v>1.0</v>
      </c>
      <c r="J940" s="117">
        <v>1.0</v>
      </c>
      <c r="K940" s="117" t="str">
        <f t="shared" si="1"/>
        <v>No</v>
      </c>
      <c r="L940" s="118" t="s">
        <v>116</v>
      </c>
      <c r="M940" s="119">
        <v>0.25</v>
      </c>
      <c r="N940" s="120">
        <v>1.0</v>
      </c>
      <c r="O940" s="121">
        <v>91.32</v>
      </c>
      <c r="P940" s="117">
        <v>1.0</v>
      </c>
      <c r="Q940" s="117">
        <f t="shared" si="2"/>
        <v>5</v>
      </c>
      <c r="R940" s="122">
        <f>+(IF(((M940*24)-P940)&lt;0,0,((M940*24)-P940)*'Estimación de pérdidas'!$F$72))*N940</f>
        <v>288390.3746</v>
      </c>
      <c r="S940" s="123" t="s">
        <v>117</v>
      </c>
      <c r="T940" s="124" t="s">
        <v>106</v>
      </c>
      <c r="U940" s="124">
        <f t="shared" si="3"/>
        <v>3</v>
      </c>
      <c r="V940" s="124">
        <v>2.0</v>
      </c>
      <c r="W940" s="124"/>
      <c r="X940" s="125"/>
      <c r="Y940" s="126"/>
      <c r="Z940" s="125">
        <f t="shared" si="4"/>
        <v>3</v>
      </c>
      <c r="AA940" s="127" t="str">
        <f t="shared" si="5"/>
        <v>Moderado</v>
      </c>
      <c r="AB940" s="128">
        <f t="shared" si="6"/>
        <v>17</v>
      </c>
      <c r="AC940" s="129">
        <f t="shared" si="7"/>
        <v>0.2579922479</v>
      </c>
      <c r="AD940" s="131"/>
    </row>
    <row r="941" ht="14.25" hidden="1" customHeight="1">
      <c r="A941" s="116" t="s">
        <v>1894</v>
      </c>
      <c r="B941" s="117" t="s">
        <v>1894</v>
      </c>
      <c r="C941" s="117" t="s">
        <v>2831</v>
      </c>
      <c r="D941" s="117" t="s">
        <v>2878</v>
      </c>
      <c r="E941" s="117" t="s">
        <v>2833</v>
      </c>
      <c r="F941" s="117" t="s">
        <v>2834</v>
      </c>
      <c r="G941" s="117" t="s">
        <v>2835</v>
      </c>
      <c r="H941" s="117" t="s">
        <v>2836</v>
      </c>
      <c r="I941" s="117">
        <v>1.0</v>
      </c>
      <c r="J941" s="117">
        <v>1.0</v>
      </c>
      <c r="K941" s="117" t="str">
        <f t="shared" si="1"/>
        <v>No</v>
      </c>
      <c r="L941" s="118" t="s">
        <v>116</v>
      </c>
      <c r="M941" s="119">
        <v>0.25</v>
      </c>
      <c r="N941" s="120">
        <v>1.0</v>
      </c>
      <c r="O941" s="121">
        <v>91.32</v>
      </c>
      <c r="P941" s="117">
        <v>16.0</v>
      </c>
      <c r="Q941" s="117">
        <f t="shared" si="2"/>
        <v>0</v>
      </c>
      <c r="R941" s="122">
        <f>+(IF(((M941*24)-P941)&lt;0,0,((M941*24)-P941)*'Estimación de pérdidas'!$F$72))*N941</f>
        <v>0</v>
      </c>
      <c r="S941" s="123" t="s">
        <v>117</v>
      </c>
      <c r="T941" s="124" t="s">
        <v>106</v>
      </c>
      <c r="U941" s="124">
        <f t="shared" si="3"/>
        <v>1</v>
      </c>
      <c r="V941" s="124">
        <v>2.0</v>
      </c>
      <c r="W941" s="124"/>
      <c r="X941" s="125"/>
      <c r="Y941" s="126"/>
      <c r="Z941" s="125">
        <f t="shared" si="4"/>
        <v>2</v>
      </c>
      <c r="AA941" s="127" t="str">
        <f t="shared" si="5"/>
        <v>Moderado</v>
      </c>
      <c r="AB941" s="128">
        <f t="shared" si="6"/>
        <v>12</v>
      </c>
      <c r="AC941" s="129">
        <f t="shared" si="7"/>
        <v>0.16</v>
      </c>
      <c r="AD941" s="131"/>
    </row>
    <row r="942" ht="14.25" hidden="1" customHeight="1">
      <c r="A942" s="116" t="s">
        <v>108</v>
      </c>
      <c r="B942" s="117" t="s">
        <v>108</v>
      </c>
      <c r="C942" s="117" t="s">
        <v>2001</v>
      </c>
      <c r="D942" s="117" t="s">
        <v>2879</v>
      </c>
      <c r="E942" s="117" t="s">
        <v>2003</v>
      </c>
      <c r="F942" s="117" t="s">
        <v>2004</v>
      </c>
      <c r="G942" s="117" t="s">
        <v>2005</v>
      </c>
      <c r="H942" s="117" t="s">
        <v>2006</v>
      </c>
      <c r="I942" s="117">
        <v>1.0</v>
      </c>
      <c r="J942" s="117">
        <v>1.0</v>
      </c>
      <c r="K942" s="117" t="str">
        <f t="shared" si="1"/>
        <v>No</v>
      </c>
      <c r="L942" s="118" t="s">
        <v>116</v>
      </c>
      <c r="M942" s="119">
        <v>0.3333333333333333</v>
      </c>
      <c r="N942" s="120">
        <v>1.0</v>
      </c>
      <c r="O942" s="121">
        <v>70.0</v>
      </c>
      <c r="P942" s="117">
        <v>10.0</v>
      </c>
      <c r="Q942" s="117">
        <f t="shared" si="2"/>
        <v>0</v>
      </c>
      <c r="R942" s="122">
        <f>+(IF(((M942*24)-P942)&lt;0,0,((M942*24)-P942)*'Estimación de pérdidas'!$F$72))*N942</f>
        <v>0</v>
      </c>
      <c r="S942" s="123" t="s">
        <v>117</v>
      </c>
      <c r="T942" s="124" t="s">
        <v>119</v>
      </c>
      <c r="U942" s="124">
        <f t="shared" si="3"/>
        <v>1</v>
      </c>
      <c r="V942" s="124">
        <v>2.0</v>
      </c>
      <c r="W942" s="124"/>
      <c r="X942" s="125"/>
      <c r="Y942" s="126"/>
      <c r="Z942" s="125">
        <f t="shared" si="4"/>
        <v>2</v>
      </c>
      <c r="AA942" s="127" t="str">
        <f t="shared" si="5"/>
        <v>Moderado</v>
      </c>
      <c r="AB942" s="128">
        <f t="shared" si="6"/>
        <v>8</v>
      </c>
      <c r="AC942" s="129">
        <f t="shared" si="7"/>
        <v>0.12</v>
      </c>
      <c r="AD942" s="131"/>
    </row>
    <row r="943" ht="14.25" hidden="1" customHeight="1">
      <c r="A943" s="116" t="s">
        <v>300</v>
      </c>
      <c r="B943" s="117" t="s">
        <v>300</v>
      </c>
      <c r="C943" s="117" t="s">
        <v>2001</v>
      </c>
      <c r="D943" s="117" t="s">
        <v>2880</v>
      </c>
      <c r="E943" s="117" t="s">
        <v>2003</v>
      </c>
      <c r="F943" s="117" t="s">
        <v>2004</v>
      </c>
      <c r="G943" s="117" t="s">
        <v>2005</v>
      </c>
      <c r="H943" s="117" t="s">
        <v>2060</v>
      </c>
      <c r="I943" s="117">
        <v>1.0</v>
      </c>
      <c r="J943" s="117">
        <v>1.0</v>
      </c>
      <c r="K943" s="117" t="str">
        <f t="shared" si="1"/>
        <v>No</v>
      </c>
      <c r="L943" s="118" t="s">
        <v>116</v>
      </c>
      <c r="M943" s="119">
        <v>0.3333333333333333</v>
      </c>
      <c r="N943" s="120">
        <v>1.0</v>
      </c>
      <c r="O943" s="121">
        <v>91.32</v>
      </c>
      <c r="P943" s="117">
        <v>1.0</v>
      </c>
      <c r="Q943" s="117">
        <f t="shared" si="2"/>
        <v>7</v>
      </c>
      <c r="R943" s="122">
        <f>+(IF(((M943*24)-P943)&lt;0,0,((M943*24)-P943)*'Estimación de pérdidas'!$F$72))*N943</f>
        <v>403746.5244</v>
      </c>
      <c r="S943" s="123" t="s">
        <v>117</v>
      </c>
      <c r="T943" s="124" t="s">
        <v>119</v>
      </c>
      <c r="U943" s="124">
        <f t="shared" si="3"/>
        <v>3</v>
      </c>
      <c r="V943" s="124">
        <v>2.0</v>
      </c>
      <c r="W943" s="124"/>
      <c r="X943" s="125"/>
      <c r="Y943" s="126"/>
      <c r="Z943" s="125">
        <f t="shared" si="4"/>
        <v>3</v>
      </c>
      <c r="AA943" s="127" t="str">
        <f t="shared" si="5"/>
        <v>Moderado</v>
      </c>
      <c r="AB943" s="128">
        <f t="shared" si="6"/>
        <v>13</v>
      </c>
      <c r="AC943" s="129">
        <f t="shared" si="7"/>
        <v>0.193494186</v>
      </c>
      <c r="AD943" s="131"/>
    </row>
    <row r="944" ht="14.25" hidden="1" customHeight="1">
      <c r="A944" s="116" t="s">
        <v>2479</v>
      </c>
      <c r="B944" s="117" t="s">
        <v>2479</v>
      </c>
      <c r="C944" s="117" t="s">
        <v>2881</v>
      </c>
      <c r="D944" s="117" t="s">
        <v>2882</v>
      </c>
      <c r="E944" s="117" t="s">
        <v>2883</v>
      </c>
      <c r="F944" s="117" t="s">
        <v>2884</v>
      </c>
      <c r="G944" s="117" t="s">
        <v>205</v>
      </c>
      <c r="H944" s="117" t="s">
        <v>2885</v>
      </c>
      <c r="I944" s="117">
        <v>1.0</v>
      </c>
      <c r="J944" s="117">
        <v>1.0</v>
      </c>
      <c r="K944" s="117" t="str">
        <f t="shared" si="1"/>
        <v>No</v>
      </c>
      <c r="L944" s="118" t="s">
        <v>116</v>
      </c>
      <c r="M944" s="119">
        <v>0.25</v>
      </c>
      <c r="N944" s="120">
        <v>1.0</v>
      </c>
      <c r="O944" s="121">
        <v>47.65</v>
      </c>
      <c r="P944" s="117">
        <v>12.0</v>
      </c>
      <c r="Q944" s="117">
        <f t="shared" si="2"/>
        <v>0</v>
      </c>
      <c r="R944" s="122">
        <f>+(IF(((M944*24)-P944)&lt;0,0,((M944*24)-P944)*'Estimación de pérdidas'!$F$72))*N944</f>
        <v>0</v>
      </c>
      <c r="S944" s="123" t="s">
        <v>272</v>
      </c>
      <c r="T944" s="124" t="s">
        <v>106</v>
      </c>
      <c r="U944" s="124">
        <f t="shared" si="3"/>
        <v>1</v>
      </c>
      <c r="V944" s="124">
        <v>1.0</v>
      </c>
      <c r="W944" s="124"/>
      <c r="X944" s="125">
        <v>2.0</v>
      </c>
      <c r="Y944" s="126"/>
      <c r="Z944" s="125">
        <f t="shared" si="4"/>
        <v>2</v>
      </c>
      <c r="AA944" s="127" t="str">
        <f t="shared" si="5"/>
        <v>Moderado</v>
      </c>
      <c r="AB944" s="128">
        <f t="shared" si="6"/>
        <v>12</v>
      </c>
      <c r="AC944" s="129">
        <f t="shared" si="7"/>
        <v>0.1752712184</v>
      </c>
      <c r="AD944" s="131"/>
    </row>
    <row r="945" ht="14.25" hidden="1" customHeight="1">
      <c r="A945" s="116" t="s">
        <v>2479</v>
      </c>
      <c r="B945" s="117" t="s">
        <v>2479</v>
      </c>
      <c r="C945" s="117" t="s">
        <v>2886</v>
      </c>
      <c r="D945" s="117" t="s">
        <v>2887</v>
      </c>
      <c r="E945" s="117" t="s">
        <v>2888</v>
      </c>
      <c r="F945" s="117" t="s">
        <v>2889</v>
      </c>
      <c r="G945" s="117" t="s">
        <v>205</v>
      </c>
      <c r="H945" s="117" t="s">
        <v>2890</v>
      </c>
      <c r="I945" s="117">
        <v>1.0</v>
      </c>
      <c r="J945" s="117">
        <v>1.0</v>
      </c>
      <c r="K945" s="117" t="str">
        <f t="shared" si="1"/>
        <v>No</v>
      </c>
      <c r="L945" s="118" t="s">
        <v>116</v>
      </c>
      <c r="M945" s="119">
        <v>0.25</v>
      </c>
      <c r="N945" s="120">
        <v>1.0</v>
      </c>
      <c r="O945" s="121">
        <v>87.16708333333334</v>
      </c>
      <c r="P945" s="117">
        <v>2.0</v>
      </c>
      <c r="Q945" s="117">
        <f t="shared" si="2"/>
        <v>4</v>
      </c>
      <c r="R945" s="122">
        <f>+(IF(((M945*24)-P945)&lt;0,0,((M945*24)-P945)*'Estimación de pérdidas'!$F$72))*N945</f>
        <v>230712.2997</v>
      </c>
      <c r="S945" s="123" t="s">
        <v>272</v>
      </c>
      <c r="T945" s="124" t="s">
        <v>106</v>
      </c>
      <c r="U945" s="124">
        <f t="shared" si="3"/>
        <v>3</v>
      </c>
      <c r="V945" s="124">
        <v>1.0</v>
      </c>
      <c r="W945" s="124"/>
      <c r="X945" s="125">
        <v>2.0</v>
      </c>
      <c r="Y945" s="126"/>
      <c r="Z945" s="125">
        <f t="shared" si="4"/>
        <v>3</v>
      </c>
      <c r="AA945" s="127" t="str">
        <f t="shared" si="5"/>
        <v>Moderado</v>
      </c>
      <c r="AB945" s="128">
        <f t="shared" si="6"/>
        <v>17</v>
      </c>
      <c r="AC945" s="129">
        <f t="shared" si="7"/>
        <v>0.2677312085</v>
      </c>
      <c r="AD945" s="131"/>
    </row>
    <row r="946" ht="14.25" hidden="1" customHeight="1">
      <c r="A946" s="116" t="s">
        <v>2479</v>
      </c>
      <c r="B946" s="117" t="s">
        <v>2479</v>
      </c>
      <c r="C946" s="117" t="s">
        <v>2891</v>
      </c>
      <c r="D946" s="117" t="s">
        <v>2892</v>
      </c>
      <c r="E946" s="117" t="s">
        <v>2893</v>
      </c>
      <c r="F946" s="117" t="s">
        <v>2894</v>
      </c>
      <c r="G946" s="117" t="s">
        <v>205</v>
      </c>
      <c r="H946" s="117" t="s">
        <v>2885</v>
      </c>
      <c r="I946" s="117">
        <v>1.0</v>
      </c>
      <c r="J946" s="117">
        <v>1.0</v>
      </c>
      <c r="K946" s="117" t="str">
        <f t="shared" si="1"/>
        <v>No</v>
      </c>
      <c r="L946" s="118" t="s">
        <v>116</v>
      </c>
      <c r="M946" s="119">
        <v>0.25</v>
      </c>
      <c r="N946" s="120">
        <v>1.0</v>
      </c>
      <c r="O946" s="121">
        <v>47.65</v>
      </c>
      <c r="P946" s="117">
        <v>12.0</v>
      </c>
      <c r="Q946" s="117">
        <f t="shared" si="2"/>
        <v>0</v>
      </c>
      <c r="R946" s="122">
        <f>+(IF(((M946*24)-P946)&lt;0,0,((M946*24)-P946)*'Estimación de pérdidas'!$F$72))*N946</f>
        <v>0</v>
      </c>
      <c r="S946" s="123" t="s">
        <v>272</v>
      </c>
      <c r="T946" s="124" t="s">
        <v>106</v>
      </c>
      <c r="U946" s="124">
        <f t="shared" si="3"/>
        <v>1</v>
      </c>
      <c r="V946" s="124">
        <v>1.0</v>
      </c>
      <c r="W946" s="124"/>
      <c r="X946" s="125">
        <v>2.0</v>
      </c>
      <c r="Y946" s="126"/>
      <c r="Z946" s="125">
        <f t="shared" si="4"/>
        <v>2</v>
      </c>
      <c r="AA946" s="127" t="str">
        <f t="shared" si="5"/>
        <v>Moderado</v>
      </c>
      <c r="AB946" s="128">
        <f t="shared" si="6"/>
        <v>12</v>
      </c>
      <c r="AC946" s="129">
        <f t="shared" si="7"/>
        <v>0.1752712184</v>
      </c>
      <c r="AD946" s="131"/>
    </row>
    <row r="947" ht="14.25" hidden="1" customHeight="1">
      <c r="A947" s="116" t="s">
        <v>1894</v>
      </c>
      <c r="B947" s="117" t="s">
        <v>1894</v>
      </c>
      <c r="C947" s="117" t="s">
        <v>2895</v>
      </c>
      <c r="D947" s="117" t="s">
        <v>2896</v>
      </c>
      <c r="E947" s="117" t="s">
        <v>2897</v>
      </c>
      <c r="F947" s="117" t="s">
        <v>2898</v>
      </c>
      <c r="G947" s="117" t="s">
        <v>1903</v>
      </c>
      <c r="H947" s="117" t="s">
        <v>1904</v>
      </c>
      <c r="I947" s="117">
        <v>1.0</v>
      </c>
      <c r="J947" s="117">
        <v>1.0</v>
      </c>
      <c r="K947" s="117" t="str">
        <f t="shared" si="1"/>
        <v>No</v>
      </c>
      <c r="L947" s="118" t="s">
        <v>116</v>
      </c>
      <c r="M947" s="119">
        <v>2.0</v>
      </c>
      <c r="N947" s="120">
        <v>1.0</v>
      </c>
      <c r="O947" s="121">
        <v>91.32</v>
      </c>
      <c r="P947" s="117">
        <v>16.0</v>
      </c>
      <c r="Q947" s="117">
        <f t="shared" si="2"/>
        <v>32</v>
      </c>
      <c r="R947" s="122">
        <f>+(IF(((M947*24)-P947)&lt;0,0,((M947*24)-P947)*'Estimación de pérdidas'!$F$72))*N947</f>
        <v>1845698.397</v>
      </c>
      <c r="S947" s="123" t="s">
        <v>117</v>
      </c>
      <c r="T947" s="124" t="s">
        <v>132</v>
      </c>
      <c r="U947" s="124">
        <f t="shared" si="3"/>
        <v>5</v>
      </c>
      <c r="V947" s="124">
        <v>1.0</v>
      </c>
      <c r="W947" s="124"/>
      <c r="X947" s="125"/>
      <c r="Y947" s="126"/>
      <c r="Z947" s="125">
        <f t="shared" si="4"/>
        <v>5</v>
      </c>
      <c r="AA947" s="127" t="str">
        <f t="shared" si="5"/>
        <v>Moderado</v>
      </c>
      <c r="AB947" s="128">
        <f t="shared" si="6"/>
        <v>15</v>
      </c>
      <c r="AC947" s="129">
        <f t="shared" si="7"/>
        <v>0.09121403401</v>
      </c>
      <c r="AD947" s="131"/>
    </row>
    <row r="948" ht="14.25" hidden="1" customHeight="1">
      <c r="A948" s="116" t="s">
        <v>2899</v>
      </c>
      <c r="B948" s="117" t="s">
        <v>2900</v>
      </c>
      <c r="C948" s="117" t="s">
        <v>2901</v>
      </c>
      <c r="D948" s="117" t="s">
        <v>2902</v>
      </c>
      <c r="E948" s="117" t="s">
        <v>2903</v>
      </c>
      <c r="F948" s="117" t="s">
        <v>2817</v>
      </c>
      <c r="G948" s="117" t="s">
        <v>2818</v>
      </c>
      <c r="H948" s="117" t="s">
        <v>2819</v>
      </c>
      <c r="I948" s="117">
        <v>2.0</v>
      </c>
      <c r="J948" s="117">
        <v>1.0</v>
      </c>
      <c r="K948" s="117" t="str">
        <f t="shared" si="1"/>
        <v>Si</v>
      </c>
      <c r="L948" s="118" t="s">
        <v>116</v>
      </c>
      <c r="M948" s="119">
        <v>0.5</v>
      </c>
      <c r="N948" s="120">
        <v>0.0</v>
      </c>
      <c r="O948" s="121">
        <v>91.32</v>
      </c>
      <c r="P948" s="117">
        <v>1.0</v>
      </c>
      <c r="Q948" s="117">
        <f t="shared" si="2"/>
        <v>0</v>
      </c>
      <c r="R948" s="122">
        <f>+(IF(((M948*24)-P948)&lt;0,0,((M948*24)-P948)*'Estimación de pérdidas'!$F$72))*N948</f>
        <v>0</v>
      </c>
      <c r="S948" s="123" t="s">
        <v>117</v>
      </c>
      <c r="T948" s="124" t="s">
        <v>119</v>
      </c>
      <c r="U948" s="124">
        <f t="shared" si="3"/>
        <v>1</v>
      </c>
      <c r="V948" s="124">
        <v>2.0</v>
      </c>
      <c r="W948" s="124"/>
      <c r="X948" s="125"/>
      <c r="Y948" s="126"/>
      <c r="Z948" s="125">
        <f t="shared" si="4"/>
        <v>2</v>
      </c>
      <c r="AA948" s="127" t="str">
        <f t="shared" si="5"/>
        <v>Moderado</v>
      </c>
      <c r="AB948" s="128">
        <f t="shared" si="6"/>
        <v>8</v>
      </c>
      <c r="AC948" s="129">
        <f t="shared" si="7"/>
        <v>0.12</v>
      </c>
      <c r="AD948" s="131"/>
    </row>
    <row r="949" ht="14.25" hidden="1" customHeight="1">
      <c r="A949" s="116" t="s">
        <v>2899</v>
      </c>
      <c r="B949" s="117" t="s">
        <v>2900</v>
      </c>
      <c r="C949" s="117" t="s">
        <v>2904</v>
      </c>
      <c r="D949" s="117" t="s">
        <v>2905</v>
      </c>
      <c r="E949" s="117" t="s">
        <v>2906</v>
      </c>
      <c r="F949" s="117" t="s">
        <v>2817</v>
      </c>
      <c r="G949" s="117" t="s">
        <v>2818</v>
      </c>
      <c r="H949" s="117" t="s">
        <v>2819</v>
      </c>
      <c r="I949" s="117">
        <v>2.0</v>
      </c>
      <c r="J949" s="117">
        <v>1.0</v>
      </c>
      <c r="K949" s="117" t="str">
        <f t="shared" si="1"/>
        <v>Si</v>
      </c>
      <c r="L949" s="118" t="s">
        <v>116</v>
      </c>
      <c r="M949" s="119">
        <v>0.5</v>
      </c>
      <c r="N949" s="120">
        <v>0.0</v>
      </c>
      <c r="O949" s="121">
        <v>91.32</v>
      </c>
      <c r="P949" s="117">
        <v>1.0</v>
      </c>
      <c r="Q949" s="117">
        <f t="shared" si="2"/>
        <v>0</v>
      </c>
      <c r="R949" s="122">
        <f>+(IF(((M949*24)-P949)&lt;0,0,((M949*24)-P949)*'Estimación de pérdidas'!$F$72))*N949</f>
        <v>0</v>
      </c>
      <c r="S949" s="123" t="s">
        <v>117</v>
      </c>
      <c r="T949" s="124" t="s">
        <v>119</v>
      </c>
      <c r="U949" s="124">
        <f t="shared" si="3"/>
        <v>1</v>
      </c>
      <c r="V949" s="124">
        <v>2.0</v>
      </c>
      <c r="W949" s="124"/>
      <c r="X949" s="125"/>
      <c r="Y949" s="126"/>
      <c r="Z949" s="125">
        <f t="shared" si="4"/>
        <v>2</v>
      </c>
      <c r="AA949" s="127" t="str">
        <f t="shared" si="5"/>
        <v>Moderado</v>
      </c>
      <c r="AB949" s="128">
        <f t="shared" si="6"/>
        <v>8</v>
      </c>
      <c r="AC949" s="129">
        <f t="shared" si="7"/>
        <v>0.12</v>
      </c>
      <c r="AD949" s="131"/>
    </row>
    <row r="950" ht="14.25" hidden="1" customHeight="1">
      <c r="A950" s="116" t="s">
        <v>2813</v>
      </c>
      <c r="B950" s="117" t="s">
        <v>2814</v>
      </c>
      <c r="C950" s="117" t="s">
        <v>2907</v>
      </c>
      <c r="D950" s="117" t="s">
        <v>2908</v>
      </c>
      <c r="E950" s="117" t="s">
        <v>2907</v>
      </c>
      <c r="F950" s="117" t="s">
        <v>2909</v>
      </c>
      <c r="G950" s="117" t="s">
        <v>2910</v>
      </c>
      <c r="H950" s="117" t="s">
        <v>2911</v>
      </c>
      <c r="I950" s="117">
        <v>2.0</v>
      </c>
      <c r="J950" s="117">
        <v>1.0</v>
      </c>
      <c r="K950" s="117" t="str">
        <f t="shared" si="1"/>
        <v>Si</v>
      </c>
      <c r="L950" s="118" t="s">
        <v>287</v>
      </c>
      <c r="M950" s="119">
        <v>0.125</v>
      </c>
      <c r="N950" s="120">
        <v>0.0</v>
      </c>
      <c r="O950" s="121">
        <v>91.32</v>
      </c>
      <c r="P950" s="117">
        <v>1.0</v>
      </c>
      <c r="Q950" s="117">
        <f t="shared" si="2"/>
        <v>0</v>
      </c>
      <c r="R950" s="122">
        <f>+(IF(((M950*24)-P950)&lt;0,0,((M950*24)-P950)*'Estimación de pérdidas'!$F$72))*N950</f>
        <v>0</v>
      </c>
      <c r="S950" s="123" t="s">
        <v>117</v>
      </c>
      <c r="T950" s="124" t="s">
        <v>118</v>
      </c>
      <c r="U950" s="124">
        <f t="shared" si="3"/>
        <v>1</v>
      </c>
      <c r="V950" s="124">
        <v>1.0</v>
      </c>
      <c r="W950" s="124"/>
      <c r="X950" s="125"/>
      <c r="Y950" s="126"/>
      <c r="Z950" s="125">
        <f t="shared" si="4"/>
        <v>1</v>
      </c>
      <c r="AA950" s="127" t="str">
        <f t="shared" si="5"/>
        <v>Bajo</v>
      </c>
      <c r="AB950" s="128">
        <f t="shared" si="6"/>
        <v>2</v>
      </c>
      <c r="AC950" s="129">
        <f t="shared" si="7"/>
        <v>0.05059644256</v>
      </c>
    </row>
    <row r="951" ht="14.25" hidden="1" customHeight="1">
      <c r="A951" s="116" t="s">
        <v>2813</v>
      </c>
      <c r="B951" s="117" t="s">
        <v>2814</v>
      </c>
      <c r="C951" s="117" t="s">
        <v>2912</v>
      </c>
      <c r="D951" s="117" t="s">
        <v>2913</v>
      </c>
      <c r="E951" s="117" t="s">
        <v>2912</v>
      </c>
      <c r="F951" s="117" t="s">
        <v>2909</v>
      </c>
      <c r="G951" s="117" t="s">
        <v>2910</v>
      </c>
      <c r="H951" s="117" t="s">
        <v>2911</v>
      </c>
      <c r="I951" s="117">
        <v>2.0</v>
      </c>
      <c r="J951" s="117">
        <v>1.0</v>
      </c>
      <c r="K951" s="117" t="str">
        <f t="shared" si="1"/>
        <v>Si</v>
      </c>
      <c r="L951" s="118" t="s">
        <v>287</v>
      </c>
      <c r="M951" s="119">
        <v>0.125</v>
      </c>
      <c r="N951" s="120">
        <v>0.0</v>
      </c>
      <c r="O951" s="121">
        <v>91.32</v>
      </c>
      <c r="P951" s="117">
        <v>1.0</v>
      </c>
      <c r="Q951" s="117">
        <f t="shared" si="2"/>
        <v>0</v>
      </c>
      <c r="R951" s="122">
        <f>+(IF(((M951*24)-P951)&lt;0,0,((M951*24)-P951)*'Estimación de pérdidas'!$F$72))*N951</f>
        <v>0</v>
      </c>
      <c r="S951" s="123" t="s">
        <v>117</v>
      </c>
      <c r="T951" s="124" t="s">
        <v>118</v>
      </c>
      <c r="U951" s="124">
        <f t="shared" si="3"/>
        <v>1</v>
      </c>
      <c r="V951" s="124">
        <v>1.0</v>
      </c>
      <c r="W951" s="124"/>
      <c r="X951" s="125"/>
      <c r="Y951" s="126"/>
      <c r="Z951" s="125">
        <f t="shared" si="4"/>
        <v>1</v>
      </c>
      <c r="AA951" s="127" t="str">
        <f t="shared" si="5"/>
        <v>Bajo</v>
      </c>
      <c r="AB951" s="128">
        <f t="shared" si="6"/>
        <v>2</v>
      </c>
      <c r="AC951" s="129">
        <f t="shared" si="7"/>
        <v>0.05059644256</v>
      </c>
    </row>
    <row r="952" ht="14.25" hidden="1" customHeight="1">
      <c r="A952" s="116" t="s">
        <v>2813</v>
      </c>
      <c r="B952" s="117" t="s">
        <v>2828</v>
      </c>
      <c r="C952" s="117" t="s">
        <v>2907</v>
      </c>
      <c r="D952" s="117" t="s">
        <v>2914</v>
      </c>
      <c r="E952" s="117" t="s">
        <v>2907</v>
      </c>
      <c r="F952" s="117" t="s">
        <v>2909</v>
      </c>
      <c r="G952" s="117" t="s">
        <v>2910</v>
      </c>
      <c r="H952" s="117" t="s">
        <v>2911</v>
      </c>
      <c r="I952" s="117">
        <v>2.0</v>
      </c>
      <c r="J952" s="117">
        <v>1.0</v>
      </c>
      <c r="K952" s="117" t="str">
        <f t="shared" si="1"/>
        <v>Si</v>
      </c>
      <c r="L952" s="118" t="s">
        <v>287</v>
      </c>
      <c r="M952" s="119">
        <v>0.125</v>
      </c>
      <c r="N952" s="120">
        <v>0.0</v>
      </c>
      <c r="O952" s="121">
        <v>91.32</v>
      </c>
      <c r="P952" s="117">
        <v>1.0</v>
      </c>
      <c r="Q952" s="117">
        <f t="shared" si="2"/>
        <v>0</v>
      </c>
      <c r="R952" s="122">
        <f>+(IF(((M952*24)-P952)&lt;0,0,((M952*24)-P952)*'Estimación de pérdidas'!$F$72))*N952</f>
        <v>0</v>
      </c>
      <c r="S952" s="123" t="s">
        <v>117</v>
      </c>
      <c r="T952" s="124" t="s">
        <v>118</v>
      </c>
      <c r="U952" s="124">
        <f t="shared" si="3"/>
        <v>1</v>
      </c>
      <c r="V952" s="124">
        <v>1.0</v>
      </c>
      <c r="W952" s="124"/>
      <c r="X952" s="125"/>
      <c r="Y952" s="126"/>
      <c r="Z952" s="125">
        <f t="shared" si="4"/>
        <v>1</v>
      </c>
      <c r="AA952" s="127" t="str">
        <f t="shared" si="5"/>
        <v>Bajo</v>
      </c>
      <c r="AB952" s="128">
        <f t="shared" si="6"/>
        <v>2</v>
      </c>
      <c r="AC952" s="129">
        <f t="shared" si="7"/>
        <v>0.05059644256</v>
      </c>
    </row>
    <row r="953" ht="14.25" hidden="1" customHeight="1">
      <c r="A953" s="116" t="s">
        <v>2813</v>
      </c>
      <c r="B953" s="117" t="s">
        <v>2828</v>
      </c>
      <c r="C953" s="117" t="s">
        <v>2912</v>
      </c>
      <c r="D953" s="117" t="s">
        <v>2915</v>
      </c>
      <c r="E953" s="117" t="s">
        <v>2912</v>
      </c>
      <c r="F953" s="117" t="s">
        <v>2909</v>
      </c>
      <c r="G953" s="117" t="s">
        <v>2910</v>
      </c>
      <c r="H953" s="117" t="s">
        <v>2911</v>
      </c>
      <c r="I953" s="117">
        <v>2.0</v>
      </c>
      <c r="J953" s="117">
        <v>1.0</v>
      </c>
      <c r="K953" s="117" t="str">
        <f t="shared" si="1"/>
        <v>Si</v>
      </c>
      <c r="L953" s="118" t="s">
        <v>287</v>
      </c>
      <c r="M953" s="119">
        <v>0.125</v>
      </c>
      <c r="N953" s="120">
        <v>0.0</v>
      </c>
      <c r="O953" s="121">
        <v>91.32</v>
      </c>
      <c r="P953" s="117">
        <v>1.0</v>
      </c>
      <c r="Q953" s="117">
        <f t="shared" si="2"/>
        <v>0</v>
      </c>
      <c r="R953" s="122">
        <f>+(IF(((M953*24)-P953)&lt;0,0,((M953*24)-P953)*'Estimación de pérdidas'!$F$72))*N953</f>
        <v>0</v>
      </c>
      <c r="S953" s="123" t="s">
        <v>117</v>
      </c>
      <c r="T953" s="124" t="s">
        <v>118</v>
      </c>
      <c r="U953" s="124">
        <f t="shared" si="3"/>
        <v>1</v>
      </c>
      <c r="V953" s="124">
        <v>1.0</v>
      </c>
      <c r="W953" s="124"/>
      <c r="X953" s="125"/>
      <c r="Y953" s="126"/>
      <c r="Z953" s="125">
        <f t="shared" si="4"/>
        <v>1</v>
      </c>
      <c r="AA953" s="127" t="str">
        <f t="shared" si="5"/>
        <v>Bajo</v>
      </c>
      <c r="AB953" s="128">
        <f t="shared" si="6"/>
        <v>2</v>
      </c>
      <c r="AC953" s="129">
        <f t="shared" si="7"/>
        <v>0.05059644256</v>
      </c>
    </row>
    <row r="954" ht="14.25" hidden="1" customHeight="1">
      <c r="A954" s="116" t="s">
        <v>2899</v>
      </c>
      <c r="B954" s="117" t="s">
        <v>2900</v>
      </c>
      <c r="C954" s="117" t="s">
        <v>2035</v>
      </c>
      <c r="D954" s="117" t="s">
        <v>2916</v>
      </c>
      <c r="E954" s="117" t="s">
        <v>2035</v>
      </c>
      <c r="F954" s="117" t="s">
        <v>2037</v>
      </c>
      <c r="G954" s="117" t="s">
        <v>2038</v>
      </c>
      <c r="H954" s="117" t="s">
        <v>2917</v>
      </c>
      <c r="I954" s="117">
        <v>1.0</v>
      </c>
      <c r="J954" s="117">
        <v>1.0</v>
      </c>
      <c r="K954" s="117" t="str">
        <f t="shared" si="1"/>
        <v>No</v>
      </c>
      <c r="L954" s="118" t="s">
        <v>116</v>
      </c>
      <c r="M954" s="119">
        <v>0.75</v>
      </c>
      <c r="N954" s="120">
        <v>1.0</v>
      </c>
      <c r="O954" s="121">
        <v>91.32</v>
      </c>
      <c r="P954" s="117">
        <v>1.0</v>
      </c>
      <c r="Q954" s="117">
        <f t="shared" si="2"/>
        <v>17</v>
      </c>
      <c r="R954" s="122">
        <f>+(IF(((M954*24)-P954)&lt;0,0,((M954*24)-P954)*'Estimación de pérdidas'!$F$72))*N954</f>
        <v>980527.2735</v>
      </c>
      <c r="S954" s="123" t="s">
        <v>117</v>
      </c>
      <c r="T954" s="124" t="s">
        <v>119</v>
      </c>
      <c r="U954" s="124">
        <f t="shared" si="3"/>
        <v>4</v>
      </c>
      <c r="V954" s="124">
        <v>2.0</v>
      </c>
      <c r="W954" s="124"/>
      <c r="X954" s="125"/>
      <c r="Y954" s="126"/>
      <c r="Z954" s="125">
        <f t="shared" si="4"/>
        <v>4</v>
      </c>
      <c r="AA954" s="127" t="str">
        <f t="shared" si="5"/>
        <v>Moderado</v>
      </c>
      <c r="AB954" s="128">
        <f t="shared" si="6"/>
        <v>18</v>
      </c>
      <c r="AC954" s="129">
        <f t="shared" si="7"/>
        <v>0.24</v>
      </c>
      <c r="AD954" s="130"/>
    </row>
    <row r="955" ht="14.25" hidden="1" customHeight="1">
      <c r="A955" s="116" t="s">
        <v>300</v>
      </c>
      <c r="B955" s="117" t="s">
        <v>300</v>
      </c>
      <c r="C955" s="117" t="s">
        <v>2035</v>
      </c>
      <c r="D955" s="117" t="s">
        <v>2918</v>
      </c>
      <c r="E955" s="117" t="s">
        <v>2035</v>
      </c>
      <c r="F955" s="117" t="s">
        <v>2037</v>
      </c>
      <c r="G955" s="117" t="s">
        <v>2038</v>
      </c>
      <c r="H955" s="117" t="s">
        <v>2917</v>
      </c>
      <c r="I955" s="117">
        <v>1.0</v>
      </c>
      <c r="J955" s="117">
        <v>1.0</v>
      </c>
      <c r="K955" s="117" t="str">
        <f t="shared" si="1"/>
        <v>No</v>
      </c>
      <c r="L955" s="118" t="s">
        <v>116</v>
      </c>
      <c r="M955" s="119">
        <v>0.5</v>
      </c>
      <c r="N955" s="120">
        <v>1.0</v>
      </c>
      <c r="O955" s="121">
        <v>91.32</v>
      </c>
      <c r="P955" s="117">
        <v>1.0</v>
      </c>
      <c r="Q955" s="117">
        <f t="shared" si="2"/>
        <v>11</v>
      </c>
      <c r="R955" s="122">
        <f>+(IF(((M955*24)-P955)&lt;0,0,((M955*24)-P955)*'Estimación de pérdidas'!$F$72))*N955</f>
        <v>634458.8241</v>
      </c>
      <c r="S955" s="123" t="s">
        <v>117</v>
      </c>
      <c r="T955" s="124" t="s">
        <v>119</v>
      </c>
      <c r="U955" s="124">
        <f t="shared" si="3"/>
        <v>4</v>
      </c>
      <c r="V955" s="124">
        <v>2.0</v>
      </c>
      <c r="W955" s="124"/>
      <c r="X955" s="125"/>
      <c r="Y955" s="126"/>
      <c r="Z955" s="125">
        <f t="shared" si="4"/>
        <v>4</v>
      </c>
      <c r="AA955" s="127" t="str">
        <f t="shared" si="5"/>
        <v>Moderado</v>
      </c>
      <c r="AB955" s="128">
        <f t="shared" si="6"/>
        <v>18</v>
      </c>
      <c r="AC955" s="129">
        <f t="shared" si="7"/>
        <v>0.24</v>
      </c>
      <c r="AD955" s="130"/>
    </row>
    <row r="956" ht="14.25" hidden="1" customHeight="1">
      <c r="A956" s="116" t="s">
        <v>300</v>
      </c>
      <c r="B956" s="117" t="s">
        <v>300</v>
      </c>
      <c r="C956" s="117" t="s">
        <v>2031</v>
      </c>
      <c r="D956" s="117" t="s">
        <v>2919</v>
      </c>
      <c r="E956" s="117" t="s">
        <v>2031</v>
      </c>
      <c r="F956" s="117" t="s">
        <v>2033</v>
      </c>
      <c r="G956" s="117" t="s">
        <v>1973</v>
      </c>
      <c r="H956" s="117" t="s">
        <v>2920</v>
      </c>
      <c r="I956" s="117">
        <v>1.0</v>
      </c>
      <c r="J956" s="117">
        <v>1.0</v>
      </c>
      <c r="K956" s="117" t="str">
        <f t="shared" si="1"/>
        <v>No</v>
      </c>
      <c r="L956" s="118" t="s">
        <v>116</v>
      </c>
      <c r="M956" s="119">
        <v>0.5</v>
      </c>
      <c r="N956" s="120">
        <v>1.0</v>
      </c>
      <c r="O956" s="121">
        <v>91.32</v>
      </c>
      <c r="P956" s="117">
        <v>1.0</v>
      </c>
      <c r="Q956" s="117">
        <f t="shared" si="2"/>
        <v>11</v>
      </c>
      <c r="R956" s="122">
        <f>+(IF(((M956*24)-P956)&lt;0,0,((M956*24)-P956)*'Estimación de pérdidas'!$F$72))*N956</f>
        <v>634458.8241</v>
      </c>
      <c r="S956" s="123" t="s">
        <v>117</v>
      </c>
      <c r="T956" s="124" t="s">
        <v>118</v>
      </c>
      <c r="U956" s="124">
        <f t="shared" si="3"/>
        <v>4</v>
      </c>
      <c r="V956" s="124">
        <v>2.0</v>
      </c>
      <c r="W956" s="124"/>
      <c r="X956" s="125"/>
      <c r="Y956" s="126"/>
      <c r="Z956" s="125">
        <f t="shared" si="4"/>
        <v>4</v>
      </c>
      <c r="AA956" s="127" t="str">
        <f t="shared" si="5"/>
        <v>Moderado</v>
      </c>
      <c r="AB956" s="128">
        <f t="shared" si="6"/>
        <v>14</v>
      </c>
      <c r="AC956" s="129">
        <f t="shared" si="7"/>
        <v>0.16</v>
      </c>
      <c r="AD956" s="130"/>
    </row>
    <row r="957" ht="14.25" hidden="1" customHeight="1">
      <c r="A957" s="116" t="s">
        <v>300</v>
      </c>
      <c r="B957" s="117" t="s">
        <v>300</v>
      </c>
      <c r="C957" s="117" t="s">
        <v>2031</v>
      </c>
      <c r="D957" s="117" t="s">
        <v>2921</v>
      </c>
      <c r="E957" s="117" t="s">
        <v>2031</v>
      </c>
      <c r="F957" s="117" t="s">
        <v>2033</v>
      </c>
      <c r="G957" s="117" t="s">
        <v>1973</v>
      </c>
      <c r="H957" s="117" t="s">
        <v>2920</v>
      </c>
      <c r="I957" s="117">
        <v>1.0</v>
      </c>
      <c r="J957" s="117">
        <v>1.0</v>
      </c>
      <c r="K957" s="117" t="str">
        <f t="shared" si="1"/>
        <v>No</v>
      </c>
      <c r="L957" s="118" t="s">
        <v>116</v>
      </c>
      <c r="M957" s="119">
        <v>0.5</v>
      </c>
      <c r="N957" s="120">
        <v>1.0</v>
      </c>
      <c r="O957" s="121">
        <v>91.32</v>
      </c>
      <c r="P957" s="117">
        <v>1.0</v>
      </c>
      <c r="Q957" s="117">
        <f t="shared" si="2"/>
        <v>11</v>
      </c>
      <c r="R957" s="122">
        <f>+(IF(((M957*24)-P957)&lt;0,0,((M957*24)-P957)*'Estimación de pérdidas'!$F$72))*N957</f>
        <v>634458.8241</v>
      </c>
      <c r="S957" s="123" t="s">
        <v>117</v>
      </c>
      <c r="T957" s="124" t="s">
        <v>118</v>
      </c>
      <c r="U957" s="124">
        <f t="shared" si="3"/>
        <v>4</v>
      </c>
      <c r="V957" s="124">
        <v>2.0</v>
      </c>
      <c r="W957" s="124"/>
      <c r="X957" s="125"/>
      <c r="Y957" s="126"/>
      <c r="Z957" s="125">
        <f t="shared" si="4"/>
        <v>4</v>
      </c>
      <c r="AA957" s="127" t="str">
        <f t="shared" si="5"/>
        <v>Moderado</v>
      </c>
      <c r="AB957" s="128">
        <f t="shared" si="6"/>
        <v>14</v>
      </c>
      <c r="AC957" s="129">
        <f t="shared" si="7"/>
        <v>0.16</v>
      </c>
      <c r="AD957" s="130"/>
    </row>
    <row r="958" ht="14.25" hidden="1" customHeight="1">
      <c r="A958" s="116" t="s">
        <v>539</v>
      </c>
      <c r="B958" s="117" t="s">
        <v>539</v>
      </c>
      <c r="C958" s="117" t="s">
        <v>2031</v>
      </c>
      <c r="D958" s="117" t="s">
        <v>2922</v>
      </c>
      <c r="E958" s="117" t="s">
        <v>2031</v>
      </c>
      <c r="F958" s="117" t="s">
        <v>2033</v>
      </c>
      <c r="G958" s="117" t="s">
        <v>1973</v>
      </c>
      <c r="H958" s="117" t="s">
        <v>2920</v>
      </c>
      <c r="I958" s="117">
        <v>1.0</v>
      </c>
      <c r="J958" s="117">
        <v>1.0</v>
      </c>
      <c r="K958" s="117" t="str">
        <f t="shared" si="1"/>
        <v>No</v>
      </c>
      <c r="L958" s="118" t="s">
        <v>116</v>
      </c>
      <c r="M958" s="119">
        <v>0.5</v>
      </c>
      <c r="N958" s="120">
        <v>1.0</v>
      </c>
      <c r="O958" s="121">
        <v>91.32</v>
      </c>
      <c r="P958" s="117">
        <v>1.0</v>
      </c>
      <c r="Q958" s="117">
        <f t="shared" si="2"/>
        <v>11</v>
      </c>
      <c r="R958" s="122">
        <f>+(IF(((M958*24)-P958)&lt;0,0,((M958*24)-P958)*'Estimación de pérdidas'!$F$72))*N958</f>
        <v>634458.8241</v>
      </c>
      <c r="S958" s="123" t="s">
        <v>117</v>
      </c>
      <c r="T958" s="124" t="s">
        <v>118</v>
      </c>
      <c r="U958" s="124">
        <f t="shared" si="3"/>
        <v>4</v>
      </c>
      <c r="V958" s="124">
        <v>2.0</v>
      </c>
      <c r="W958" s="124"/>
      <c r="X958" s="125"/>
      <c r="Y958" s="126"/>
      <c r="Z958" s="125">
        <f t="shared" si="4"/>
        <v>4</v>
      </c>
      <c r="AA958" s="127" t="str">
        <f t="shared" si="5"/>
        <v>Moderado</v>
      </c>
      <c r="AB958" s="128">
        <f t="shared" si="6"/>
        <v>14</v>
      </c>
      <c r="AC958" s="129">
        <f t="shared" si="7"/>
        <v>0.16</v>
      </c>
      <c r="AD958" s="130"/>
    </row>
    <row r="959" ht="14.25" hidden="1" customHeight="1">
      <c r="A959" s="116" t="s">
        <v>403</v>
      </c>
      <c r="B959" s="117" t="s">
        <v>2900</v>
      </c>
      <c r="C959" s="117" t="s">
        <v>2923</v>
      </c>
      <c r="D959" s="117" t="s">
        <v>2924</v>
      </c>
      <c r="E959" s="117" t="s">
        <v>2925</v>
      </c>
      <c r="F959" s="117" t="s">
        <v>2926</v>
      </c>
      <c r="G959" s="117" t="s">
        <v>2927</v>
      </c>
      <c r="H959" s="117" t="s">
        <v>2928</v>
      </c>
      <c r="I959" s="117">
        <v>1.0</v>
      </c>
      <c r="J959" s="117">
        <v>1.0</v>
      </c>
      <c r="K959" s="117" t="str">
        <f t="shared" si="1"/>
        <v>No</v>
      </c>
      <c r="L959" s="118" t="s">
        <v>116</v>
      </c>
      <c r="M959" s="119">
        <v>0.3333333333333333</v>
      </c>
      <c r="N959" s="120">
        <v>0.0</v>
      </c>
      <c r="O959" s="121">
        <v>91.32</v>
      </c>
      <c r="P959" s="117">
        <v>1.0</v>
      </c>
      <c r="Q959" s="117">
        <f t="shared" si="2"/>
        <v>0</v>
      </c>
      <c r="R959" s="122">
        <f>+(IF(((M959*24)-P959)&lt;0,0,((M959*24)-P959)*'Estimación de pérdidas'!$F$72))*N959</f>
        <v>0</v>
      </c>
      <c r="S959" s="123" t="s">
        <v>272</v>
      </c>
      <c r="T959" s="124" t="s">
        <v>118</v>
      </c>
      <c r="U959" s="124">
        <f t="shared" si="3"/>
        <v>1</v>
      </c>
      <c r="V959" s="124">
        <v>1.0</v>
      </c>
      <c r="W959" s="124">
        <v>5.0</v>
      </c>
      <c r="X959" s="125"/>
      <c r="Y959" s="126"/>
      <c r="Z959" s="125">
        <f t="shared" si="4"/>
        <v>5</v>
      </c>
      <c r="AA959" s="127" t="str">
        <f t="shared" si="5"/>
        <v>Alto</v>
      </c>
      <c r="AB959" s="128">
        <f t="shared" si="6"/>
        <v>19</v>
      </c>
      <c r="AC959" s="129">
        <f t="shared" si="7"/>
        <v>0.1859032006</v>
      </c>
      <c r="AD959" s="130"/>
    </row>
    <row r="960" ht="14.25" hidden="1" customHeight="1">
      <c r="A960" s="116" t="s">
        <v>403</v>
      </c>
      <c r="B960" s="117" t="s">
        <v>108</v>
      </c>
      <c r="C960" s="117" t="s">
        <v>2923</v>
      </c>
      <c r="D960" s="117" t="s">
        <v>2929</v>
      </c>
      <c r="E960" s="117" t="s">
        <v>2930</v>
      </c>
      <c r="F960" s="117" t="s">
        <v>2931</v>
      </c>
      <c r="G960" s="117" t="s">
        <v>2927</v>
      </c>
      <c r="H960" s="117" t="s">
        <v>2928</v>
      </c>
      <c r="I960" s="117">
        <v>1.0</v>
      </c>
      <c r="J960" s="117">
        <v>1.0</v>
      </c>
      <c r="K960" s="117" t="str">
        <f t="shared" si="1"/>
        <v>No</v>
      </c>
      <c r="L960" s="118" t="s">
        <v>116</v>
      </c>
      <c r="M960" s="119">
        <v>0.3333333333333333</v>
      </c>
      <c r="N960" s="120">
        <v>0.0</v>
      </c>
      <c r="O960" s="121">
        <v>70.0</v>
      </c>
      <c r="P960" s="117">
        <v>10.0</v>
      </c>
      <c r="Q960" s="117">
        <f t="shared" si="2"/>
        <v>0</v>
      </c>
      <c r="R960" s="122">
        <f>+(IF(((M960*24)-P960)&lt;0,0,((M960*24)-P960)*'Estimación de pérdidas'!$F$72))*N960</f>
        <v>0</v>
      </c>
      <c r="S960" s="123" t="s">
        <v>272</v>
      </c>
      <c r="T960" s="124" t="s">
        <v>118</v>
      </c>
      <c r="U960" s="124">
        <f t="shared" si="3"/>
        <v>1</v>
      </c>
      <c r="V960" s="124">
        <v>1.0</v>
      </c>
      <c r="W960" s="124">
        <v>5.0</v>
      </c>
      <c r="X960" s="125"/>
      <c r="Y960" s="126"/>
      <c r="Z960" s="125">
        <f t="shared" si="4"/>
        <v>5</v>
      </c>
      <c r="AA960" s="127" t="str">
        <f t="shared" si="5"/>
        <v>Alto</v>
      </c>
      <c r="AB960" s="128">
        <f t="shared" si="6"/>
        <v>19</v>
      </c>
      <c r="AC960" s="129">
        <f t="shared" si="7"/>
        <v>0.1859032006</v>
      </c>
      <c r="AD960" s="130"/>
    </row>
    <row r="961" ht="14.25" hidden="1" customHeight="1">
      <c r="A961" s="116" t="s">
        <v>403</v>
      </c>
      <c r="B961" s="117" t="s">
        <v>300</v>
      </c>
      <c r="C961" s="117" t="s">
        <v>2923</v>
      </c>
      <c r="D961" s="117" t="s">
        <v>2932</v>
      </c>
      <c r="E961" s="117" t="s">
        <v>2930</v>
      </c>
      <c r="F961" s="117" t="s">
        <v>2931</v>
      </c>
      <c r="G961" s="117" t="s">
        <v>2927</v>
      </c>
      <c r="H961" s="117" t="s">
        <v>2928</v>
      </c>
      <c r="I961" s="117">
        <v>1.0</v>
      </c>
      <c r="J961" s="117">
        <v>1.0</v>
      </c>
      <c r="K961" s="117" t="str">
        <f t="shared" si="1"/>
        <v>No</v>
      </c>
      <c r="L961" s="118" t="s">
        <v>116</v>
      </c>
      <c r="M961" s="119">
        <v>0.3333333333333333</v>
      </c>
      <c r="N961" s="120">
        <v>0.0</v>
      </c>
      <c r="O961" s="121"/>
      <c r="P961" s="117">
        <v>0.0</v>
      </c>
      <c r="Q961" s="117">
        <f t="shared" si="2"/>
        <v>0</v>
      </c>
      <c r="R961" s="122">
        <f>+(IF(((M961*24)-P961)&lt;0,0,((M961*24)-P961)*'Estimación de pérdidas'!$F$72))*N961</f>
        <v>0</v>
      </c>
      <c r="S961" s="123" t="s">
        <v>272</v>
      </c>
      <c r="T961" s="124" t="s">
        <v>118</v>
      </c>
      <c r="U961" s="124">
        <f t="shared" si="3"/>
        <v>1</v>
      </c>
      <c r="V961" s="124">
        <v>1.0</v>
      </c>
      <c r="W961" s="124">
        <v>5.0</v>
      </c>
      <c r="X961" s="125"/>
      <c r="Y961" s="126"/>
      <c r="Z961" s="125">
        <f t="shared" si="4"/>
        <v>5</v>
      </c>
      <c r="AA961" s="127" t="str">
        <f t="shared" si="5"/>
        <v>Alto</v>
      </c>
      <c r="AB961" s="128">
        <f t="shared" si="6"/>
        <v>19</v>
      </c>
      <c r="AC961" s="129">
        <f t="shared" si="7"/>
        <v>0.1859032006</v>
      </c>
      <c r="AD961" s="130"/>
    </row>
    <row r="962" ht="14.25" hidden="1" customHeight="1">
      <c r="A962" s="116" t="s">
        <v>403</v>
      </c>
      <c r="B962" s="117" t="s">
        <v>539</v>
      </c>
      <c r="C962" s="117" t="s">
        <v>2923</v>
      </c>
      <c r="D962" s="117" t="s">
        <v>2933</v>
      </c>
      <c r="E962" s="117" t="s">
        <v>2930</v>
      </c>
      <c r="F962" s="117" t="s">
        <v>2931</v>
      </c>
      <c r="G962" s="117" t="s">
        <v>2927</v>
      </c>
      <c r="H962" s="117" t="s">
        <v>2928</v>
      </c>
      <c r="I962" s="117">
        <v>1.0</v>
      </c>
      <c r="J962" s="117">
        <v>1.0</v>
      </c>
      <c r="K962" s="117" t="str">
        <f t="shared" si="1"/>
        <v>No</v>
      </c>
      <c r="L962" s="118" t="s">
        <v>116</v>
      </c>
      <c r="M962" s="119">
        <v>0.3333333333333333</v>
      </c>
      <c r="N962" s="120">
        <v>0.0</v>
      </c>
      <c r="O962" s="121"/>
      <c r="P962" s="117">
        <v>0.0</v>
      </c>
      <c r="Q962" s="117">
        <f t="shared" si="2"/>
        <v>0</v>
      </c>
      <c r="R962" s="122">
        <f>+(IF(((M962*24)-P962)&lt;0,0,((M962*24)-P962)*'Estimación de pérdidas'!$F$72))*N962</f>
        <v>0</v>
      </c>
      <c r="S962" s="123" t="s">
        <v>272</v>
      </c>
      <c r="T962" s="124" t="s">
        <v>118</v>
      </c>
      <c r="U962" s="124">
        <f t="shared" si="3"/>
        <v>1</v>
      </c>
      <c r="V962" s="124">
        <v>1.0</v>
      </c>
      <c r="W962" s="124">
        <v>5.0</v>
      </c>
      <c r="X962" s="125"/>
      <c r="Y962" s="126"/>
      <c r="Z962" s="125">
        <f t="shared" si="4"/>
        <v>5</v>
      </c>
      <c r="AA962" s="127" t="str">
        <f t="shared" si="5"/>
        <v>Alto</v>
      </c>
      <c r="AB962" s="128">
        <f t="shared" si="6"/>
        <v>19</v>
      </c>
      <c r="AC962" s="129">
        <f t="shared" si="7"/>
        <v>0.1859032006</v>
      </c>
      <c r="AD962" s="130"/>
    </row>
    <row r="963" ht="14.25" hidden="1" customHeight="1">
      <c r="A963" s="116" t="s">
        <v>403</v>
      </c>
      <c r="B963" s="117" t="s">
        <v>1345</v>
      </c>
      <c r="C963" s="117" t="s">
        <v>2923</v>
      </c>
      <c r="D963" s="117" t="s">
        <v>2934</v>
      </c>
      <c r="E963" s="117" t="s">
        <v>2930</v>
      </c>
      <c r="F963" s="117" t="s">
        <v>2931</v>
      </c>
      <c r="G963" s="117" t="s">
        <v>2927</v>
      </c>
      <c r="H963" s="117" t="s">
        <v>2928</v>
      </c>
      <c r="I963" s="117">
        <v>1.0</v>
      </c>
      <c r="J963" s="117">
        <v>1.0</v>
      </c>
      <c r="K963" s="117" t="str">
        <f t="shared" si="1"/>
        <v>No</v>
      </c>
      <c r="L963" s="118" t="s">
        <v>116</v>
      </c>
      <c r="M963" s="119">
        <v>0.3333333333333333</v>
      </c>
      <c r="N963" s="120">
        <v>0.0</v>
      </c>
      <c r="O963" s="121">
        <v>91.32</v>
      </c>
      <c r="P963" s="117">
        <v>1.0</v>
      </c>
      <c r="Q963" s="117">
        <f t="shared" si="2"/>
        <v>0</v>
      </c>
      <c r="R963" s="122">
        <f>+(IF(((M963*24)-P963)&lt;0,0,((M963*24)-P963)*'Estimación de pérdidas'!$F$72))*N963</f>
        <v>0</v>
      </c>
      <c r="S963" s="123" t="s">
        <v>272</v>
      </c>
      <c r="T963" s="124" t="s">
        <v>118</v>
      </c>
      <c r="U963" s="124">
        <f t="shared" si="3"/>
        <v>1</v>
      </c>
      <c r="V963" s="124">
        <v>1.0</v>
      </c>
      <c r="W963" s="124">
        <v>5.0</v>
      </c>
      <c r="X963" s="125"/>
      <c r="Y963" s="126"/>
      <c r="Z963" s="125">
        <f t="shared" si="4"/>
        <v>5</v>
      </c>
      <c r="AA963" s="127" t="str">
        <f t="shared" si="5"/>
        <v>Alto</v>
      </c>
      <c r="AB963" s="128">
        <f t="shared" si="6"/>
        <v>19</v>
      </c>
      <c r="AC963" s="129">
        <f t="shared" si="7"/>
        <v>0.1859032006</v>
      </c>
      <c r="AD963" s="130"/>
    </row>
    <row r="964" ht="14.25" hidden="1" customHeight="1">
      <c r="A964" s="116" t="s">
        <v>403</v>
      </c>
      <c r="B964" s="117" t="s">
        <v>2364</v>
      </c>
      <c r="C964" s="117" t="s">
        <v>2923</v>
      </c>
      <c r="D964" s="117" t="s">
        <v>2935</v>
      </c>
      <c r="E964" s="117" t="s">
        <v>2930</v>
      </c>
      <c r="F964" s="117" t="s">
        <v>2931</v>
      </c>
      <c r="G964" s="117" t="s">
        <v>2927</v>
      </c>
      <c r="H964" s="117" t="s">
        <v>2928</v>
      </c>
      <c r="I964" s="117">
        <v>1.0</v>
      </c>
      <c r="J964" s="117">
        <v>1.0</v>
      </c>
      <c r="K964" s="117" t="str">
        <f t="shared" si="1"/>
        <v>No</v>
      </c>
      <c r="L964" s="118" t="s">
        <v>116</v>
      </c>
      <c r="M964" s="119">
        <v>0.3333333333333333</v>
      </c>
      <c r="N964" s="120">
        <v>0.0</v>
      </c>
      <c r="O964" s="121">
        <v>91.32</v>
      </c>
      <c r="P964" s="117">
        <v>1.0</v>
      </c>
      <c r="Q964" s="117">
        <f t="shared" si="2"/>
        <v>0</v>
      </c>
      <c r="R964" s="122">
        <f>+(IF(((M964*24)-P964)&lt;0,0,((M964*24)-P964)*'Estimación de pérdidas'!$F$72))*N964</f>
        <v>0</v>
      </c>
      <c r="S964" s="123" t="s">
        <v>272</v>
      </c>
      <c r="T964" s="124" t="s">
        <v>118</v>
      </c>
      <c r="U964" s="124">
        <f t="shared" si="3"/>
        <v>1</v>
      </c>
      <c r="V964" s="124">
        <v>1.0</v>
      </c>
      <c r="W964" s="124">
        <v>5.0</v>
      </c>
      <c r="X964" s="125"/>
      <c r="Y964" s="126"/>
      <c r="Z964" s="125">
        <f t="shared" si="4"/>
        <v>5</v>
      </c>
      <c r="AA964" s="127" t="str">
        <f t="shared" si="5"/>
        <v>Alto</v>
      </c>
      <c r="AB964" s="128">
        <f t="shared" si="6"/>
        <v>19</v>
      </c>
      <c r="AC964" s="129">
        <f t="shared" si="7"/>
        <v>0.1859032006</v>
      </c>
      <c r="AD964" s="130"/>
    </row>
    <row r="965" ht="14.25" hidden="1" customHeight="1">
      <c r="A965" s="116" t="s">
        <v>403</v>
      </c>
      <c r="B965" s="117" t="s">
        <v>1894</v>
      </c>
      <c r="C965" s="117" t="s">
        <v>2923</v>
      </c>
      <c r="D965" s="117" t="s">
        <v>2936</v>
      </c>
      <c r="E965" s="117" t="s">
        <v>2930</v>
      </c>
      <c r="F965" s="117" t="s">
        <v>2931</v>
      </c>
      <c r="G965" s="117" t="s">
        <v>2927</v>
      </c>
      <c r="H965" s="117" t="s">
        <v>2928</v>
      </c>
      <c r="I965" s="117">
        <v>1.0</v>
      </c>
      <c r="J965" s="117">
        <v>1.0</v>
      </c>
      <c r="K965" s="117" t="str">
        <f t="shared" si="1"/>
        <v>No</v>
      </c>
      <c r="L965" s="118" t="s">
        <v>116</v>
      </c>
      <c r="M965" s="119">
        <v>0.3333333333333333</v>
      </c>
      <c r="N965" s="120">
        <v>0.0</v>
      </c>
      <c r="O965" s="121">
        <v>91.32</v>
      </c>
      <c r="P965" s="117">
        <v>1.0</v>
      </c>
      <c r="Q965" s="117">
        <f t="shared" si="2"/>
        <v>0</v>
      </c>
      <c r="R965" s="122">
        <f>+(IF(((M965*24)-P965)&lt;0,0,((M965*24)-P965)*'Estimación de pérdidas'!$F$72))*N965</f>
        <v>0</v>
      </c>
      <c r="S965" s="123" t="s">
        <v>272</v>
      </c>
      <c r="T965" s="124" t="s">
        <v>118</v>
      </c>
      <c r="U965" s="124">
        <f t="shared" si="3"/>
        <v>1</v>
      </c>
      <c r="V965" s="124">
        <v>1.0</v>
      </c>
      <c r="W965" s="124">
        <v>5.0</v>
      </c>
      <c r="X965" s="125"/>
      <c r="Y965" s="126"/>
      <c r="Z965" s="125">
        <f t="shared" si="4"/>
        <v>5</v>
      </c>
      <c r="AA965" s="127" t="str">
        <f t="shared" si="5"/>
        <v>Alto</v>
      </c>
      <c r="AB965" s="128">
        <f t="shared" si="6"/>
        <v>19</v>
      </c>
      <c r="AC965" s="129">
        <f t="shared" si="7"/>
        <v>0.1859032006</v>
      </c>
      <c r="AD965" s="130"/>
    </row>
    <row r="966" ht="14.25" hidden="1" customHeight="1">
      <c r="A966" s="116" t="s">
        <v>403</v>
      </c>
      <c r="B966" s="117" t="s">
        <v>109</v>
      </c>
      <c r="C966" s="117" t="s">
        <v>2937</v>
      </c>
      <c r="D966" s="117" t="s">
        <v>2938</v>
      </c>
      <c r="E966" s="117" t="s">
        <v>2939</v>
      </c>
      <c r="F966" s="117" t="s">
        <v>2931</v>
      </c>
      <c r="G966" s="117" t="s">
        <v>2927</v>
      </c>
      <c r="H966" s="117" t="s">
        <v>2928</v>
      </c>
      <c r="I966" s="117">
        <v>1.0</v>
      </c>
      <c r="J966" s="117">
        <v>1.0</v>
      </c>
      <c r="K966" s="117" t="str">
        <f t="shared" si="1"/>
        <v>No</v>
      </c>
      <c r="L966" s="118" t="s">
        <v>116</v>
      </c>
      <c r="M966" s="119">
        <v>0.3333333333333333</v>
      </c>
      <c r="N966" s="120">
        <v>0.0</v>
      </c>
      <c r="O966" s="121">
        <v>70.0</v>
      </c>
      <c r="P966" s="117">
        <v>10.0</v>
      </c>
      <c r="Q966" s="117">
        <f t="shared" si="2"/>
        <v>0</v>
      </c>
      <c r="R966" s="122">
        <f>+(IF(((M966*24)-P966)&lt;0,0,((M966*24)-P966)*'Estimación de pérdidas'!$F$72))*N966</f>
        <v>0</v>
      </c>
      <c r="S966" s="123" t="s">
        <v>272</v>
      </c>
      <c r="T966" s="124" t="s">
        <v>118</v>
      </c>
      <c r="U966" s="124">
        <f t="shared" si="3"/>
        <v>1</v>
      </c>
      <c r="V966" s="124">
        <v>1.0</v>
      </c>
      <c r="W966" s="124">
        <v>5.0</v>
      </c>
      <c r="X966" s="125"/>
      <c r="Y966" s="126"/>
      <c r="Z966" s="125">
        <f t="shared" si="4"/>
        <v>5</v>
      </c>
      <c r="AA966" s="127" t="str">
        <f t="shared" si="5"/>
        <v>Alto</v>
      </c>
      <c r="AB966" s="128">
        <f t="shared" si="6"/>
        <v>19</v>
      </c>
      <c r="AC966" s="129">
        <f t="shared" si="7"/>
        <v>0.1859032006</v>
      </c>
      <c r="AD966" s="130"/>
    </row>
    <row r="967" ht="14.25" hidden="1" customHeight="1">
      <c r="A967" s="116" t="s">
        <v>403</v>
      </c>
      <c r="B967" s="117" t="s">
        <v>148</v>
      </c>
      <c r="C967" s="117" t="s">
        <v>2937</v>
      </c>
      <c r="D967" s="117" t="s">
        <v>2940</v>
      </c>
      <c r="E967" s="117" t="s">
        <v>2939</v>
      </c>
      <c r="F967" s="117" t="s">
        <v>2931</v>
      </c>
      <c r="G967" s="117" t="s">
        <v>2927</v>
      </c>
      <c r="H967" s="117" t="s">
        <v>2928</v>
      </c>
      <c r="I967" s="117">
        <v>1.0</v>
      </c>
      <c r="J967" s="117">
        <v>1.0</v>
      </c>
      <c r="K967" s="117" t="str">
        <f t="shared" si="1"/>
        <v>No</v>
      </c>
      <c r="L967" s="118" t="s">
        <v>116</v>
      </c>
      <c r="M967" s="119">
        <v>0.3333333333333333</v>
      </c>
      <c r="N967" s="120">
        <v>0.0</v>
      </c>
      <c r="O967" s="121">
        <v>70.0</v>
      </c>
      <c r="P967" s="117">
        <v>10.0</v>
      </c>
      <c r="Q967" s="117">
        <f t="shared" si="2"/>
        <v>0</v>
      </c>
      <c r="R967" s="122">
        <f>+(IF(((M967*24)-P967)&lt;0,0,((M967*24)-P967)*'Estimación de pérdidas'!$F$72))*N967</f>
        <v>0</v>
      </c>
      <c r="S967" s="123" t="s">
        <v>272</v>
      </c>
      <c r="T967" s="124" t="s">
        <v>118</v>
      </c>
      <c r="U967" s="124">
        <f t="shared" si="3"/>
        <v>1</v>
      </c>
      <c r="V967" s="124">
        <v>1.0</v>
      </c>
      <c r="W967" s="124">
        <v>5.0</v>
      </c>
      <c r="X967" s="125"/>
      <c r="Y967" s="126"/>
      <c r="Z967" s="125">
        <f t="shared" si="4"/>
        <v>5</v>
      </c>
      <c r="AA967" s="127" t="str">
        <f t="shared" si="5"/>
        <v>Alto</v>
      </c>
      <c r="AB967" s="128">
        <f t="shared" si="6"/>
        <v>19</v>
      </c>
      <c r="AC967" s="129">
        <f t="shared" si="7"/>
        <v>0.1859032006</v>
      </c>
      <c r="AD967" s="130"/>
    </row>
    <row r="968" ht="14.25" hidden="1" customHeight="1">
      <c r="A968" s="116" t="s">
        <v>403</v>
      </c>
      <c r="B968" s="117" t="s">
        <v>222</v>
      </c>
      <c r="C968" s="117" t="s">
        <v>2937</v>
      </c>
      <c r="D968" s="117" t="s">
        <v>2941</v>
      </c>
      <c r="E968" s="117" t="s">
        <v>2939</v>
      </c>
      <c r="F968" s="117" t="s">
        <v>2931</v>
      </c>
      <c r="G968" s="117" t="s">
        <v>2927</v>
      </c>
      <c r="H968" s="117" t="s">
        <v>2928</v>
      </c>
      <c r="I968" s="117">
        <v>1.0</v>
      </c>
      <c r="J968" s="117">
        <v>1.0</v>
      </c>
      <c r="K968" s="117" t="str">
        <f t="shared" si="1"/>
        <v>No</v>
      </c>
      <c r="L968" s="118" t="s">
        <v>116</v>
      </c>
      <c r="M968" s="119">
        <v>0.3333333333333333</v>
      </c>
      <c r="N968" s="120">
        <v>0.0</v>
      </c>
      <c r="O968" s="121">
        <v>91.32</v>
      </c>
      <c r="P968" s="117">
        <v>1.0</v>
      </c>
      <c r="Q968" s="117">
        <f t="shared" si="2"/>
        <v>0</v>
      </c>
      <c r="R968" s="122">
        <f>+(IF(((M968*24)-P968)&lt;0,0,((M968*24)-P968)*'Estimación de pérdidas'!$F$72))*N968</f>
        <v>0</v>
      </c>
      <c r="S968" s="123" t="s">
        <v>272</v>
      </c>
      <c r="T968" s="124" t="s">
        <v>118</v>
      </c>
      <c r="U968" s="124">
        <f t="shared" si="3"/>
        <v>1</v>
      </c>
      <c r="V968" s="124">
        <v>1.0</v>
      </c>
      <c r="W968" s="124">
        <v>5.0</v>
      </c>
      <c r="X968" s="125"/>
      <c r="Y968" s="126"/>
      <c r="Z968" s="125">
        <f t="shared" si="4"/>
        <v>5</v>
      </c>
      <c r="AA968" s="127" t="str">
        <f t="shared" si="5"/>
        <v>Alto</v>
      </c>
      <c r="AB968" s="128">
        <f t="shared" si="6"/>
        <v>19</v>
      </c>
      <c r="AC968" s="129">
        <f t="shared" si="7"/>
        <v>0.1859032006</v>
      </c>
      <c r="AD968" s="130"/>
    </row>
    <row r="969" ht="14.25" hidden="1" customHeight="1">
      <c r="A969" s="116" t="s">
        <v>403</v>
      </c>
      <c r="B969" s="117" t="s">
        <v>300</v>
      </c>
      <c r="C969" s="117" t="s">
        <v>2937</v>
      </c>
      <c r="D969" s="117" t="s">
        <v>2942</v>
      </c>
      <c r="E969" s="117" t="s">
        <v>2939</v>
      </c>
      <c r="F969" s="117" t="s">
        <v>2931</v>
      </c>
      <c r="G969" s="117" t="s">
        <v>2927</v>
      </c>
      <c r="H969" s="117" t="s">
        <v>2928</v>
      </c>
      <c r="I969" s="117">
        <v>1.0</v>
      </c>
      <c r="J969" s="117">
        <v>1.0</v>
      </c>
      <c r="K969" s="117" t="str">
        <f t="shared" si="1"/>
        <v>No</v>
      </c>
      <c r="L969" s="118" t="s">
        <v>116</v>
      </c>
      <c r="M969" s="119">
        <v>0.3333333333333333</v>
      </c>
      <c r="N969" s="120">
        <v>0.0</v>
      </c>
      <c r="O969" s="121"/>
      <c r="P969" s="117">
        <v>0.0</v>
      </c>
      <c r="Q969" s="117">
        <f t="shared" si="2"/>
        <v>0</v>
      </c>
      <c r="R969" s="122">
        <f>+(IF(((M969*24)-P969)&lt;0,0,((M969*24)-P969)*'Estimación de pérdidas'!$F$72))*N969</f>
        <v>0</v>
      </c>
      <c r="S969" s="123" t="s">
        <v>272</v>
      </c>
      <c r="T969" s="124" t="s">
        <v>118</v>
      </c>
      <c r="U969" s="124">
        <f t="shared" si="3"/>
        <v>1</v>
      </c>
      <c r="V969" s="124">
        <v>1.0</v>
      </c>
      <c r="W969" s="124">
        <v>5.0</v>
      </c>
      <c r="X969" s="125"/>
      <c r="Y969" s="126"/>
      <c r="Z969" s="125">
        <f t="shared" si="4"/>
        <v>5</v>
      </c>
      <c r="AA969" s="127" t="str">
        <f t="shared" si="5"/>
        <v>Alto</v>
      </c>
      <c r="AB969" s="128">
        <f t="shared" si="6"/>
        <v>19</v>
      </c>
      <c r="AC969" s="129">
        <f t="shared" si="7"/>
        <v>0.1859032006</v>
      </c>
      <c r="AD969" s="130"/>
    </row>
    <row r="970" ht="14.25" hidden="1" customHeight="1">
      <c r="A970" s="116" t="s">
        <v>403</v>
      </c>
      <c r="B970" s="117" t="s">
        <v>2943</v>
      </c>
      <c r="C970" s="117" t="s">
        <v>2937</v>
      </c>
      <c r="D970" s="117" t="s">
        <v>2944</v>
      </c>
      <c r="E970" s="117" t="s">
        <v>2939</v>
      </c>
      <c r="F970" s="117" t="s">
        <v>2931</v>
      </c>
      <c r="G970" s="117" t="s">
        <v>2927</v>
      </c>
      <c r="H970" s="117" t="s">
        <v>2928</v>
      </c>
      <c r="I970" s="117">
        <v>1.0</v>
      </c>
      <c r="J970" s="117">
        <v>1.0</v>
      </c>
      <c r="K970" s="117" t="str">
        <f t="shared" si="1"/>
        <v>No</v>
      </c>
      <c r="L970" s="118" t="s">
        <v>116</v>
      </c>
      <c r="M970" s="119">
        <v>0.3333333333333333</v>
      </c>
      <c r="N970" s="120">
        <v>0.0</v>
      </c>
      <c r="O970" s="121"/>
      <c r="P970" s="117">
        <v>0.0</v>
      </c>
      <c r="Q970" s="117">
        <f t="shared" si="2"/>
        <v>0</v>
      </c>
      <c r="R970" s="122">
        <f>+(IF(((M970*24)-P970)&lt;0,0,((M970*24)-P970)*'Estimación de pérdidas'!$F$72))*N970</f>
        <v>0</v>
      </c>
      <c r="S970" s="123" t="s">
        <v>272</v>
      </c>
      <c r="T970" s="124" t="s">
        <v>118</v>
      </c>
      <c r="U970" s="124">
        <f t="shared" si="3"/>
        <v>1</v>
      </c>
      <c r="V970" s="124">
        <v>1.0</v>
      </c>
      <c r="W970" s="124">
        <v>5.0</v>
      </c>
      <c r="X970" s="125"/>
      <c r="Y970" s="126"/>
      <c r="Z970" s="125">
        <f t="shared" si="4"/>
        <v>5</v>
      </c>
      <c r="AA970" s="127" t="str">
        <f t="shared" si="5"/>
        <v>Alto</v>
      </c>
      <c r="AB970" s="128">
        <f t="shared" si="6"/>
        <v>19</v>
      </c>
      <c r="AC970" s="129">
        <f t="shared" si="7"/>
        <v>0.1859032006</v>
      </c>
      <c r="AD970" s="130"/>
    </row>
    <row r="971" ht="14.25" hidden="1" customHeight="1">
      <c r="A971" s="116" t="s">
        <v>403</v>
      </c>
      <c r="B971" s="117" t="s">
        <v>539</v>
      </c>
      <c r="C971" s="117" t="s">
        <v>2937</v>
      </c>
      <c r="D971" s="117" t="s">
        <v>2945</v>
      </c>
      <c r="E971" s="117" t="s">
        <v>2939</v>
      </c>
      <c r="F971" s="117" t="s">
        <v>2931</v>
      </c>
      <c r="G971" s="117" t="s">
        <v>2927</v>
      </c>
      <c r="H971" s="117" t="s">
        <v>2928</v>
      </c>
      <c r="I971" s="117">
        <v>1.0</v>
      </c>
      <c r="J971" s="117">
        <v>1.0</v>
      </c>
      <c r="K971" s="117" t="str">
        <f t="shared" si="1"/>
        <v>No</v>
      </c>
      <c r="L971" s="118" t="s">
        <v>116</v>
      </c>
      <c r="M971" s="119">
        <v>0.3333333333333333</v>
      </c>
      <c r="N971" s="120">
        <v>0.0</v>
      </c>
      <c r="O971" s="121"/>
      <c r="P971" s="117">
        <v>0.0</v>
      </c>
      <c r="Q971" s="117">
        <f t="shared" si="2"/>
        <v>0</v>
      </c>
      <c r="R971" s="122">
        <f>+(IF(((M971*24)-P971)&lt;0,0,((M971*24)-P971)*'Estimación de pérdidas'!$F$72))*N971</f>
        <v>0</v>
      </c>
      <c r="S971" s="123" t="s">
        <v>272</v>
      </c>
      <c r="T971" s="124" t="s">
        <v>118</v>
      </c>
      <c r="U971" s="124">
        <f t="shared" si="3"/>
        <v>1</v>
      </c>
      <c r="V971" s="124">
        <v>1.0</v>
      </c>
      <c r="W971" s="124">
        <v>5.0</v>
      </c>
      <c r="X971" s="125"/>
      <c r="Y971" s="126"/>
      <c r="Z971" s="125">
        <f t="shared" si="4"/>
        <v>5</v>
      </c>
      <c r="AA971" s="127" t="str">
        <f t="shared" si="5"/>
        <v>Alto</v>
      </c>
      <c r="AB971" s="128">
        <f t="shared" si="6"/>
        <v>19</v>
      </c>
      <c r="AC971" s="129">
        <f t="shared" si="7"/>
        <v>0.1859032006</v>
      </c>
      <c r="AD971" s="130"/>
    </row>
    <row r="972" ht="14.25" hidden="1" customHeight="1">
      <c r="A972" s="116" t="s">
        <v>403</v>
      </c>
      <c r="B972" s="117" t="s">
        <v>978</v>
      </c>
      <c r="C972" s="117" t="s">
        <v>2937</v>
      </c>
      <c r="D972" s="117" t="s">
        <v>2946</v>
      </c>
      <c r="E972" s="117" t="s">
        <v>2939</v>
      </c>
      <c r="F972" s="117" t="s">
        <v>2931</v>
      </c>
      <c r="G972" s="117" t="s">
        <v>2927</v>
      </c>
      <c r="H972" s="117" t="s">
        <v>2928</v>
      </c>
      <c r="I972" s="117">
        <v>1.0</v>
      </c>
      <c r="J972" s="117">
        <v>1.0</v>
      </c>
      <c r="K972" s="117" t="str">
        <f t="shared" si="1"/>
        <v>No</v>
      </c>
      <c r="L972" s="118" t="s">
        <v>116</v>
      </c>
      <c r="M972" s="119">
        <v>0.3333333333333333</v>
      </c>
      <c r="N972" s="120">
        <v>0.0</v>
      </c>
      <c r="O972" s="121">
        <v>91.32</v>
      </c>
      <c r="P972" s="117">
        <v>1.0</v>
      </c>
      <c r="Q972" s="117">
        <f t="shared" si="2"/>
        <v>0</v>
      </c>
      <c r="R972" s="122">
        <f>+(IF(((M972*24)-P972)&lt;0,0,((M972*24)-P972)*'Estimación de pérdidas'!$F$72))*N972</f>
        <v>0</v>
      </c>
      <c r="S972" s="123" t="s">
        <v>272</v>
      </c>
      <c r="T972" s="124" t="s">
        <v>118</v>
      </c>
      <c r="U972" s="124">
        <f t="shared" si="3"/>
        <v>1</v>
      </c>
      <c r="V972" s="124">
        <v>1.0</v>
      </c>
      <c r="W972" s="124">
        <v>5.0</v>
      </c>
      <c r="X972" s="125"/>
      <c r="Y972" s="126"/>
      <c r="Z972" s="125">
        <f t="shared" si="4"/>
        <v>5</v>
      </c>
      <c r="AA972" s="127" t="str">
        <f t="shared" si="5"/>
        <v>Alto</v>
      </c>
      <c r="AB972" s="128">
        <f t="shared" si="6"/>
        <v>19</v>
      </c>
      <c r="AC972" s="129">
        <f t="shared" si="7"/>
        <v>0.1859032006</v>
      </c>
      <c r="AD972" s="130"/>
    </row>
    <row r="973" ht="14.25" hidden="1" customHeight="1">
      <c r="A973" s="116" t="s">
        <v>403</v>
      </c>
      <c r="B973" s="117" t="s">
        <v>1037</v>
      </c>
      <c r="C973" s="117" t="s">
        <v>2937</v>
      </c>
      <c r="D973" s="117" t="s">
        <v>2947</v>
      </c>
      <c r="E973" s="117" t="s">
        <v>2939</v>
      </c>
      <c r="F973" s="117" t="s">
        <v>2931</v>
      </c>
      <c r="G973" s="117" t="s">
        <v>2927</v>
      </c>
      <c r="H973" s="117" t="s">
        <v>2928</v>
      </c>
      <c r="I973" s="117">
        <v>1.0</v>
      </c>
      <c r="J973" s="117">
        <v>1.0</v>
      </c>
      <c r="K973" s="117" t="str">
        <f t="shared" si="1"/>
        <v>No</v>
      </c>
      <c r="L973" s="118" t="s">
        <v>116</v>
      </c>
      <c r="M973" s="119">
        <v>0.3333333333333333</v>
      </c>
      <c r="N973" s="120">
        <v>0.0</v>
      </c>
      <c r="O973" s="121">
        <v>91.32</v>
      </c>
      <c r="P973" s="117">
        <v>1.0</v>
      </c>
      <c r="Q973" s="117">
        <f t="shared" si="2"/>
        <v>0</v>
      </c>
      <c r="R973" s="122">
        <f>+(IF(((M973*24)-P973)&lt;0,0,((M973*24)-P973)*'Estimación de pérdidas'!$F$72))*N973</f>
        <v>0</v>
      </c>
      <c r="S973" s="123" t="s">
        <v>272</v>
      </c>
      <c r="T973" s="124" t="s">
        <v>118</v>
      </c>
      <c r="U973" s="124">
        <f t="shared" si="3"/>
        <v>1</v>
      </c>
      <c r="V973" s="124">
        <v>1.0</v>
      </c>
      <c r="W973" s="124">
        <v>5.0</v>
      </c>
      <c r="X973" s="125"/>
      <c r="Y973" s="126"/>
      <c r="Z973" s="125">
        <f t="shared" si="4"/>
        <v>5</v>
      </c>
      <c r="AA973" s="127" t="str">
        <f t="shared" si="5"/>
        <v>Alto</v>
      </c>
      <c r="AB973" s="128">
        <f t="shared" si="6"/>
        <v>19</v>
      </c>
      <c r="AC973" s="129">
        <f t="shared" si="7"/>
        <v>0.1859032006</v>
      </c>
      <c r="AD973" s="130"/>
    </row>
    <row r="974" ht="14.25" hidden="1" customHeight="1">
      <c r="A974" s="116" t="s">
        <v>403</v>
      </c>
      <c r="B974" s="117" t="s">
        <v>1414</v>
      </c>
      <c r="C974" s="117" t="s">
        <v>2937</v>
      </c>
      <c r="D974" s="117" t="s">
        <v>2948</v>
      </c>
      <c r="E974" s="117" t="s">
        <v>2939</v>
      </c>
      <c r="F974" s="117" t="s">
        <v>2931</v>
      </c>
      <c r="G974" s="117" t="s">
        <v>2927</v>
      </c>
      <c r="H974" s="117" t="s">
        <v>2928</v>
      </c>
      <c r="I974" s="117">
        <v>1.0</v>
      </c>
      <c r="J974" s="117">
        <v>1.0</v>
      </c>
      <c r="K974" s="117" t="str">
        <f t="shared" si="1"/>
        <v>No</v>
      </c>
      <c r="L974" s="118" t="s">
        <v>116</v>
      </c>
      <c r="M974" s="119">
        <v>0.3333333333333333</v>
      </c>
      <c r="N974" s="120">
        <v>0.0</v>
      </c>
      <c r="O974" s="121">
        <v>91.32</v>
      </c>
      <c r="P974" s="117">
        <v>1.0</v>
      </c>
      <c r="Q974" s="117">
        <f t="shared" si="2"/>
        <v>0</v>
      </c>
      <c r="R974" s="122">
        <f>+(IF(((M974*24)-P974)&lt;0,0,((M974*24)-P974)*'Estimación de pérdidas'!$F$72))*N974</f>
        <v>0</v>
      </c>
      <c r="S974" s="123" t="s">
        <v>272</v>
      </c>
      <c r="T974" s="124" t="s">
        <v>118</v>
      </c>
      <c r="U974" s="124">
        <f t="shared" si="3"/>
        <v>1</v>
      </c>
      <c r="V974" s="124">
        <v>1.0</v>
      </c>
      <c r="W974" s="124">
        <v>5.0</v>
      </c>
      <c r="X974" s="125"/>
      <c r="Y974" s="126"/>
      <c r="Z974" s="125">
        <f t="shared" si="4"/>
        <v>5</v>
      </c>
      <c r="AA974" s="127" t="str">
        <f t="shared" si="5"/>
        <v>Alto</v>
      </c>
      <c r="AB974" s="128">
        <f t="shared" si="6"/>
        <v>19</v>
      </c>
      <c r="AC974" s="129">
        <f t="shared" si="7"/>
        <v>0.1859032006</v>
      </c>
      <c r="AD974" s="130"/>
    </row>
    <row r="975" ht="14.25" hidden="1" customHeight="1">
      <c r="A975" s="116" t="s">
        <v>403</v>
      </c>
      <c r="B975" s="117" t="s">
        <v>1414</v>
      </c>
      <c r="C975" s="117" t="s">
        <v>2937</v>
      </c>
      <c r="D975" s="117" t="s">
        <v>2949</v>
      </c>
      <c r="E975" s="117" t="s">
        <v>2939</v>
      </c>
      <c r="F975" s="117" t="s">
        <v>2931</v>
      </c>
      <c r="G975" s="117" t="s">
        <v>2927</v>
      </c>
      <c r="H975" s="117" t="s">
        <v>2928</v>
      </c>
      <c r="I975" s="117">
        <v>1.0</v>
      </c>
      <c r="J975" s="117">
        <v>1.0</v>
      </c>
      <c r="K975" s="117" t="str">
        <f t="shared" si="1"/>
        <v>No</v>
      </c>
      <c r="L975" s="118" t="s">
        <v>116</v>
      </c>
      <c r="M975" s="119">
        <v>0.3333333333333333</v>
      </c>
      <c r="N975" s="120">
        <v>0.0</v>
      </c>
      <c r="O975" s="121">
        <v>91.32</v>
      </c>
      <c r="P975" s="117">
        <v>1.0</v>
      </c>
      <c r="Q975" s="117">
        <f t="shared" si="2"/>
        <v>0</v>
      </c>
      <c r="R975" s="122">
        <f>+(IF(((M975*24)-P975)&lt;0,0,((M975*24)-P975)*'Estimación de pérdidas'!$F$72))*N975</f>
        <v>0</v>
      </c>
      <c r="S975" s="123" t="s">
        <v>272</v>
      </c>
      <c r="T975" s="124" t="s">
        <v>118</v>
      </c>
      <c r="U975" s="124">
        <f t="shared" si="3"/>
        <v>1</v>
      </c>
      <c r="V975" s="124">
        <v>1.0</v>
      </c>
      <c r="W975" s="124">
        <v>5.0</v>
      </c>
      <c r="X975" s="125"/>
      <c r="Y975" s="126"/>
      <c r="Z975" s="125">
        <f t="shared" si="4"/>
        <v>5</v>
      </c>
      <c r="AA975" s="127" t="str">
        <f t="shared" si="5"/>
        <v>Alto</v>
      </c>
      <c r="AB975" s="128">
        <f t="shared" si="6"/>
        <v>19</v>
      </c>
      <c r="AC975" s="129">
        <f t="shared" si="7"/>
        <v>0.1859032006</v>
      </c>
      <c r="AD975" s="130"/>
    </row>
    <row r="976" ht="14.25" hidden="1" customHeight="1">
      <c r="A976" s="116" t="s">
        <v>403</v>
      </c>
      <c r="B976" s="117" t="s">
        <v>1602</v>
      </c>
      <c r="C976" s="117" t="s">
        <v>2937</v>
      </c>
      <c r="D976" s="117" t="s">
        <v>2950</v>
      </c>
      <c r="E976" s="117" t="s">
        <v>2939</v>
      </c>
      <c r="F976" s="117" t="s">
        <v>2931</v>
      </c>
      <c r="G976" s="117" t="s">
        <v>2927</v>
      </c>
      <c r="H976" s="117" t="s">
        <v>2928</v>
      </c>
      <c r="I976" s="117">
        <v>1.0</v>
      </c>
      <c r="J976" s="117">
        <v>1.0</v>
      </c>
      <c r="K976" s="117" t="str">
        <f t="shared" si="1"/>
        <v>No</v>
      </c>
      <c r="L976" s="118" t="s">
        <v>116</v>
      </c>
      <c r="M976" s="119">
        <v>0.3333333333333333</v>
      </c>
      <c r="N976" s="120">
        <v>0.0</v>
      </c>
      <c r="O976" s="121">
        <v>91.32</v>
      </c>
      <c r="P976" s="117">
        <v>1.0</v>
      </c>
      <c r="Q976" s="117">
        <f t="shared" si="2"/>
        <v>0</v>
      </c>
      <c r="R976" s="122">
        <f>+(IF(((M976*24)-P976)&lt;0,0,((M976*24)-P976)*'Estimación de pérdidas'!$F$72))*N976</f>
        <v>0</v>
      </c>
      <c r="S976" s="123" t="s">
        <v>272</v>
      </c>
      <c r="T976" s="124" t="s">
        <v>118</v>
      </c>
      <c r="U976" s="124">
        <f t="shared" si="3"/>
        <v>1</v>
      </c>
      <c r="V976" s="124">
        <v>1.0</v>
      </c>
      <c r="W976" s="124">
        <v>5.0</v>
      </c>
      <c r="X976" s="125"/>
      <c r="Y976" s="126"/>
      <c r="Z976" s="125">
        <f t="shared" si="4"/>
        <v>5</v>
      </c>
      <c r="AA976" s="127" t="str">
        <f t="shared" si="5"/>
        <v>Alto</v>
      </c>
      <c r="AB976" s="128">
        <f t="shared" si="6"/>
        <v>19</v>
      </c>
      <c r="AC976" s="129">
        <f t="shared" si="7"/>
        <v>0.1859032006</v>
      </c>
      <c r="AD976" s="130"/>
    </row>
    <row r="977" ht="14.25" hidden="1" customHeight="1">
      <c r="A977" s="116" t="s">
        <v>403</v>
      </c>
      <c r="B977" s="117" t="s">
        <v>1724</v>
      </c>
      <c r="C977" s="117" t="s">
        <v>2937</v>
      </c>
      <c r="D977" s="117" t="s">
        <v>2951</v>
      </c>
      <c r="E977" s="117" t="s">
        <v>2939</v>
      </c>
      <c r="F977" s="117" t="s">
        <v>2931</v>
      </c>
      <c r="G977" s="117" t="s">
        <v>2927</v>
      </c>
      <c r="H977" s="117" t="s">
        <v>2928</v>
      </c>
      <c r="I977" s="117">
        <v>1.0</v>
      </c>
      <c r="J977" s="117">
        <v>1.0</v>
      </c>
      <c r="K977" s="117" t="str">
        <f t="shared" si="1"/>
        <v>No</v>
      </c>
      <c r="L977" s="118" t="s">
        <v>116</v>
      </c>
      <c r="M977" s="119">
        <v>0.3333333333333333</v>
      </c>
      <c r="N977" s="120">
        <v>0.0</v>
      </c>
      <c r="O977" s="121">
        <v>91.32</v>
      </c>
      <c r="P977" s="117">
        <v>1.0</v>
      </c>
      <c r="Q977" s="117">
        <f t="shared" si="2"/>
        <v>0</v>
      </c>
      <c r="R977" s="122">
        <f>+(IF(((M977*24)-P977)&lt;0,0,((M977*24)-P977)*'Estimación de pérdidas'!$F$72))*N977</f>
        <v>0</v>
      </c>
      <c r="S977" s="123" t="s">
        <v>272</v>
      </c>
      <c r="T977" s="124" t="s">
        <v>118</v>
      </c>
      <c r="U977" s="124">
        <f t="shared" si="3"/>
        <v>1</v>
      </c>
      <c r="V977" s="124">
        <v>1.0</v>
      </c>
      <c r="W977" s="124">
        <v>5.0</v>
      </c>
      <c r="X977" s="125"/>
      <c r="Y977" s="126"/>
      <c r="Z977" s="125">
        <f t="shared" si="4"/>
        <v>5</v>
      </c>
      <c r="AA977" s="127" t="str">
        <f t="shared" si="5"/>
        <v>Alto</v>
      </c>
      <c r="AB977" s="128">
        <f t="shared" si="6"/>
        <v>19</v>
      </c>
      <c r="AC977" s="129">
        <f t="shared" si="7"/>
        <v>0.1859032006</v>
      </c>
      <c r="AD977" s="130"/>
    </row>
    <row r="978" ht="14.25" hidden="1" customHeight="1">
      <c r="A978" s="116" t="s">
        <v>403</v>
      </c>
      <c r="B978" s="117" t="s">
        <v>2952</v>
      </c>
      <c r="C978" s="117" t="s">
        <v>2937</v>
      </c>
      <c r="D978" s="117" t="s">
        <v>2953</v>
      </c>
      <c r="E978" s="117" t="s">
        <v>2937</v>
      </c>
      <c r="F978" s="117" t="s">
        <v>2931</v>
      </c>
      <c r="G978" s="117" t="s">
        <v>2927</v>
      </c>
      <c r="H978" s="117" t="s">
        <v>2928</v>
      </c>
      <c r="I978" s="117">
        <v>1.0</v>
      </c>
      <c r="J978" s="117">
        <v>1.0</v>
      </c>
      <c r="K978" s="117" t="str">
        <f t="shared" si="1"/>
        <v>No</v>
      </c>
      <c r="L978" s="118" t="s">
        <v>116</v>
      </c>
      <c r="M978" s="119">
        <v>0.3333333333333333</v>
      </c>
      <c r="N978" s="120">
        <v>0.0</v>
      </c>
      <c r="O978" s="121">
        <v>91.32</v>
      </c>
      <c r="P978" s="117">
        <v>1.0</v>
      </c>
      <c r="Q978" s="117">
        <f t="shared" si="2"/>
        <v>0</v>
      </c>
      <c r="R978" s="122">
        <f>+(IF(((M978*24)-P978)&lt;0,0,((M978*24)-P978)*'Estimación de pérdidas'!$F$72))*N978</f>
        <v>0</v>
      </c>
      <c r="S978" s="123" t="s">
        <v>272</v>
      </c>
      <c r="T978" s="124" t="s">
        <v>118</v>
      </c>
      <c r="U978" s="124">
        <f t="shared" si="3"/>
        <v>1</v>
      </c>
      <c r="V978" s="124">
        <v>1.0</v>
      </c>
      <c r="W978" s="124">
        <v>5.0</v>
      </c>
      <c r="X978" s="125"/>
      <c r="Y978" s="126"/>
      <c r="Z978" s="125">
        <f t="shared" si="4"/>
        <v>5</v>
      </c>
      <c r="AA978" s="127" t="str">
        <f t="shared" si="5"/>
        <v>Alto</v>
      </c>
      <c r="AB978" s="128">
        <f t="shared" si="6"/>
        <v>19</v>
      </c>
      <c r="AC978" s="129">
        <f t="shared" si="7"/>
        <v>0.1859032006</v>
      </c>
      <c r="AD978" s="130"/>
    </row>
    <row r="979" ht="14.25" hidden="1" customHeight="1">
      <c r="A979" s="116" t="s">
        <v>403</v>
      </c>
      <c r="B979" s="117" t="s">
        <v>2954</v>
      </c>
      <c r="C979" s="117" t="s">
        <v>2937</v>
      </c>
      <c r="D979" s="117" t="s">
        <v>2955</v>
      </c>
      <c r="E979" s="117" t="s">
        <v>2939</v>
      </c>
      <c r="F979" s="117" t="s">
        <v>2931</v>
      </c>
      <c r="G979" s="117" t="s">
        <v>2927</v>
      </c>
      <c r="H979" s="117" t="s">
        <v>2928</v>
      </c>
      <c r="I979" s="117">
        <v>1.0</v>
      </c>
      <c r="J979" s="117">
        <v>1.0</v>
      </c>
      <c r="K979" s="117" t="str">
        <f t="shared" si="1"/>
        <v>No</v>
      </c>
      <c r="L979" s="118" t="s">
        <v>116</v>
      </c>
      <c r="M979" s="119">
        <v>0.3333333333333333</v>
      </c>
      <c r="N979" s="120">
        <v>0.0</v>
      </c>
      <c r="O979" s="121">
        <v>91.32</v>
      </c>
      <c r="P979" s="117">
        <v>1.0</v>
      </c>
      <c r="Q979" s="117">
        <f t="shared" si="2"/>
        <v>0</v>
      </c>
      <c r="R979" s="122">
        <f>+(IF(((M979*24)-P979)&lt;0,0,((M979*24)-P979)*'Estimación de pérdidas'!$F$72))*N979</f>
        <v>0</v>
      </c>
      <c r="S979" s="123" t="s">
        <v>272</v>
      </c>
      <c r="T979" s="124" t="s">
        <v>118</v>
      </c>
      <c r="U979" s="124">
        <f t="shared" si="3"/>
        <v>1</v>
      </c>
      <c r="V979" s="124">
        <v>1.0</v>
      </c>
      <c r="W979" s="124">
        <v>5.0</v>
      </c>
      <c r="X979" s="125"/>
      <c r="Y979" s="126"/>
      <c r="Z979" s="125">
        <f t="shared" si="4"/>
        <v>5</v>
      </c>
      <c r="AA979" s="127" t="str">
        <f t="shared" si="5"/>
        <v>Alto</v>
      </c>
      <c r="AB979" s="128">
        <f t="shared" si="6"/>
        <v>19</v>
      </c>
      <c r="AC979" s="129">
        <f t="shared" si="7"/>
        <v>0.1859032006</v>
      </c>
      <c r="AD979" s="130"/>
    </row>
    <row r="980" ht="14.25" hidden="1" customHeight="1">
      <c r="A980" s="116" t="s">
        <v>403</v>
      </c>
      <c r="B980" s="117" t="s">
        <v>2954</v>
      </c>
      <c r="C980" s="117" t="s">
        <v>2937</v>
      </c>
      <c r="D980" s="117" t="s">
        <v>2956</v>
      </c>
      <c r="E980" s="117" t="s">
        <v>2939</v>
      </c>
      <c r="F980" s="117" t="s">
        <v>2931</v>
      </c>
      <c r="G980" s="117" t="s">
        <v>2927</v>
      </c>
      <c r="H980" s="117" t="s">
        <v>2928</v>
      </c>
      <c r="I980" s="117">
        <v>1.0</v>
      </c>
      <c r="J980" s="117">
        <v>1.0</v>
      </c>
      <c r="K980" s="117" t="str">
        <f t="shared" si="1"/>
        <v>No</v>
      </c>
      <c r="L980" s="118" t="s">
        <v>116</v>
      </c>
      <c r="M980" s="119">
        <v>0.3333333333333333</v>
      </c>
      <c r="N980" s="120">
        <v>0.0</v>
      </c>
      <c r="O980" s="121">
        <v>91.32</v>
      </c>
      <c r="P980" s="117">
        <v>1.0</v>
      </c>
      <c r="Q980" s="117">
        <f t="shared" si="2"/>
        <v>0</v>
      </c>
      <c r="R980" s="122">
        <f>+(IF(((M980*24)-P980)&lt;0,0,((M980*24)-P980)*'Estimación de pérdidas'!$F$72))*N980</f>
        <v>0</v>
      </c>
      <c r="S980" s="123" t="s">
        <v>272</v>
      </c>
      <c r="T980" s="124" t="s">
        <v>118</v>
      </c>
      <c r="U980" s="124">
        <f t="shared" si="3"/>
        <v>1</v>
      </c>
      <c r="V980" s="124">
        <v>1.0</v>
      </c>
      <c r="W980" s="124">
        <v>5.0</v>
      </c>
      <c r="X980" s="125"/>
      <c r="Y980" s="126"/>
      <c r="Z980" s="125">
        <f t="shared" si="4"/>
        <v>5</v>
      </c>
      <c r="AA980" s="127" t="str">
        <f t="shared" si="5"/>
        <v>Alto</v>
      </c>
      <c r="AB980" s="128">
        <f t="shared" si="6"/>
        <v>19</v>
      </c>
      <c r="AC980" s="129">
        <f t="shared" si="7"/>
        <v>0.1859032006</v>
      </c>
      <c r="AD980" s="130"/>
    </row>
    <row r="981" ht="14.25" hidden="1" customHeight="1">
      <c r="A981" s="116" t="s">
        <v>403</v>
      </c>
      <c r="B981" s="117" t="s">
        <v>1881</v>
      </c>
      <c r="C981" s="117" t="s">
        <v>2937</v>
      </c>
      <c r="D981" s="117" t="s">
        <v>2957</v>
      </c>
      <c r="E981" s="117" t="s">
        <v>2939</v>
      </c>
      <c r="F981" s="117" t="s">
        <v>2931</v>
      </c>
      <c r="G981" s="117" t="s">
        <v>2927</v>
      </c>
      <c r="H981" s="117" t="s">
        <v>2928</v>
      </c>
      <c r="I981" s="117">
        <v>1.0</v>
      </c>
      <c r="J981" s="117">
        <v>1.0</v>
      </c>
      <c r="K981" s="117" t="str">
        <f t="shared" si="1"/>
        <v>No</v>
      </c>
      <c r="L981" s="118" t="s">
        <v>116</v>
      </c>
      <c r="M981" s="119">
        <v>0.3333333333333333</v>
      </c>
      <c r="N981" s="120">
        <v>0.0</v>
      </c>
      <c r="O981" s="121">
        <v>91.32</v>
      </c>
      <c r="P981" s="117">
        <v>1.0</v>
      </c>
      <c r="Q981" s="117">
        <f t="shared" si="2"/>
        <v>0</v>
      </c>
      <c r="R981" s="122">
        <f>+(IF(((M981*24)-P981)&lt;0,0,((M981*24)-P981)*'Estimación de pérdidas'!$F$72))*N981</f>
        <v>0</v>
      </c>
      <c r="S981" s="123" t="s">
        <v>272</v>
      </c>
      <c r="T981" s="124" t="s">
        <v>118</v>
      </c>
      <c r="U981" s="124">
        <f t="shared" si="3"/>
        <v>1</v>
      </c>
      <c r="V981" s="124">
        <v>1.0</v>
      </c>
      <c r="W981" s="124">
        <v>5.0</v>
      </c>
      <c r="X981" s="125"/>
      <c r="Y981" s="126"/>
      <c r="Z981" s="125">
        <f t="shared" si="4"/>
        <v>5</v>
      </c>
      <c r="AA981" s="127" t="str">
        <f t="shared" si="5"/>
        <v>Alto</v>
      </c>
      <c r="AB981" s="128">
        <f t="shared" si="6"/>
        <v>19</v>
      </c>
      <c r="AC981" s="129">
        <f t="shared" si="7"/>
        <v>0.1859032006</v>
      </c>
      <c r="AD981" s="130"/>
    </row>
    <row r="982" ht="14.25" hidden="1" customHeight="1">
      <c r="A982" s="116" t="s">
        <v>403</v>
      </c>
      <c r="B982" s="117" t="s">
        <v>2958</v>
      </c>
      <c r="C982" s="117" t="s">
        <v>2937</v>
      </c>
      <c r="D982" s="117" t="s">
        <v>2959</v>
      </c>
      <c r="E982" s="117" t="s">
        <v>2939</v>
      </c>
      <c r="F982" s="117" t="s">
        <v>2931</v>
      </c>
      <c r="G982" s="117" t="s">
        <v>2927</v>
      </c>
      <c r="H982" s="117" t="s">
        <v>2928</v>
      </c>
      <c r="I982" s="117">
        <v>1.0</v>
      </c>
      <c r="J982" s="117">
        <v>1.0</v>
      </c>
      <c r="K982" s="117" t="str">
        <f t="shared" si="1"/>
        <v>No</v>
      </c>
      <c r="L982" s="118" t="s">
        <v>116</v>
      </c>
      <c r="M982" s="119">
        <v>0.3333333333333333</v>
      </c>
      <c r="N982" s="120">
        <v>0.0</v>
      </c>
      <c r="O982" s="121">
        <v>91.32</v>
      </c>
      <c r="P982" s="117">
        <v>1.0</v>
      </c>
      <c r="Q982" s="117">
        <f t="shared" si="2"/>
        <v>0</v>
      </c>
      <c r="R982" s="122">
        <f>+(IF(((M982*24)-P982)&lt;0,0,((M982*24)-P982)*'Estimación de pérdidas'!$F$72))*N982</f>
        <v>0</v>
      </c>
      <c r="S982" s="123" t="s">
        <v>272</v>
      </c>
      <c r="T982" s="124" t="s">
        <v>118</v>
      </c>
      <c r="U982" s="124">
        <f t="shared" si="3"/>
        <v>1</v>
      </c>
      <c r="V982" s="124">
        <v>1.0</v>
      </c>
      <c r="W982" s="124">
        <v>5.0</v>
      </c>
      <c r="X982" s="125"/>
      <c r="Y982" s="126"/>
      <c r="Z982" s="125">
        <f t="shared" si="4"/>
        <v>5</v>
      </c>
      <c r="AA982" s="127" t="str">
        <f t="shared" si="5"/>
        <v>Alto</v>
      </c>
      <c r="AB982" s="128">
        <f t="shared" si="6"/>
        <v>19</v>
      </c>
      <c r="AC982" s="129">
        <f t="shared" si="7"/>
        <v>0.1859032006</v>
      </c>
      <c r="AD982" s="130"/>
    </row>
    <row r="983" ht="14.25" hidden="1" customHeight="1">
      <c r="A983" s="116" t="s">
        <v>403</v>
      </c>
      <c r="B983" s="117" t="s">
        <v>1894</v>
      </c>
      <c r="C983" s="117" t="s">
        <v>2937</v>
      </c>
      <c r="D983" s="117" t="s">
        <v>2960</v>
      </c>
      <c r="E983" s="117" t="s">
        <v>2939</v>
      </c>
      <c r="F983" s="117" t="s">
        <v>2931</v>
      </c>
      <c r="G983" s="117" t="s">
        <v>2927</v>
      </c>
      <c r="H983" s="117" t="s">
        <v>2928</v>
      </c>
      <c r="I983" s="117">
        <v>1.0</v>
      </c>
      <c r="J983" s="117">
        <v>1.0</v>
      </c>
      <c r="K983" s="117" t="str">
        <f t="shared" si="1"/>
        <v>No</v>
      </c>
      <c r="L983" s="118" t="s">
        <v>116</v>
      </c>
      <c r="M983" s="119">
        <v>0.3333333333333333</v>
      </c>
      <c r="N983" s="120">
        <v>0.0</v>
      </c>
      <c r="O983" s="121">
        <v>91.32</v>
      </c>
      <c r="P983" s="117">
        <v>1.0</v>
      </c>
      <c r="Q983" s="117">
        <f t="shared" si="2"/>
        <v>0</v>
      </c>
      <c r="R983" s="122">
        <f>+(IF(((M983*24)-P983)&lt;0,0,((M983*24)-P983)*'Estimación de pérdidas'!$F$72))*N983</f>
        <v>0</v>
      </c>
      <c r="S983" s="123" t="s">
        <v>272</v>
      </c>
      <c r="T983" s="124" t="s">
        <v>118</v>
      </c>
      <c r="U983" s="124">
        <f t="shared" si="3"/>
        <v>1</v>
      </c>
      <c r="V983" s="124">
        <v>1.0</v>
      </c>
      <c r="W983" s="124">
        <v>5.0</v>
      </c>
      <c r="X983" s="125"/>
      <c r="Y983" s="126"/>
      <c r="Z983" s="125">
        <f t="shared" si="4"/>
        <v>5</v>
      </c>
      <c r="AA983" s="127" t="str">
        <f t="shared" si="5"/>
        <v>Alto</v>
      </c>
      <c r="AB983" s="128">
        <f t="shared" si="6"/>
        <v>19</v>
      </c>
      <c r="AC983" s="129">
        <f t="shared" si="7"/>
        <v>0.1859032006</v>
      </c>
      <c r="AD983" s="130"/>
    </row>
    <row r="984" ht="14.25" hidden="1" customHeight="1">
      <c r="A984" s="116" t="s">
        <v>403</v>
      </c>
      <c r="B984" s="117" t="s">
        <v>1894</v>
      </c>
      <c r="C984" s="117" t="s">
        <v>2937</v>
      </c>
      <c r="D984" s="117" t="s">
        <v>2961</v>
      </c>
      <c r="E984" s="117" t="s">
        <v>2939</v>
      </c>
      <c r="F984" s="117" t="s">
        <v>2931</v>
      </c>
      <c r="G984" s="117" t="s">
        <v>2927</v>
      </c>
      <c r="H984" s="117" t="s">
        <v>2928</v>
      </c>
      <c r="I984" s="117">
        <v>1.0</v>
      </c>
      <c r="J984" s="117">
        <v>1.0</v>
      </c>
      <c r="K984" s="117" t="str">
        <f t="shared" si="1"/>
        <v>No</v>
      </c>
      <c r="L984" s="118" t="s">
        <v>116</v>
      </c>
      <c r="M984" s="119">
        <v>0.3333333333333333</v>
      </c>
      <c r="N984" s="120">
        <v>0.0</v>
      </c>
      <c r="O984" s="121">
        <v>91.32</v>
      </c>
      <c r="P984" s="117">
        <v>1.0</v>
      </c>
      <c r="Q984" s="117">
        <f t="shared" si="2"/>
        <v>0</v>
      </c>
      <c r="R984" s="122">
        <f>+(IF(((M984*24)-P984)&lt;0,0,((M984*24)-P984)*'Estimación de pérdidas'!$F$72))*N984</f>
        <v>0</v>
      </c>
      <c r="S984" s="123" t="s">
        <v>272</v>
      </c>
      <c r="T984" s="124" t="s">
        <v>118</v>
      </c>
      <c r="U984" s="124">
        <f t="shared" si="3"/>
        <v>1</v>
      </c>
      <c r="V984" s="124">
        <v>1.0</v>
      </c>
      <c r="W984" s="124">
        <v>5.0</v>
      </c>
      <c r="X984" s="125"/>
      <c r="Y984" s="126"/>
      <c r="Z984" s="125">
        <f t="shared" si="4"/>
        <v>5</v>
      </c>
      <c r="AA984" s="127" t="str">
        <f t="shared" si="5"/>
        <v>Alto</v>
      </c>
      <c r="AB984" s="128">
        <f t="shared" si="6"/>
        <v>19</v>
      </c>
      <c r="AC984" s="129">
        <f t="shared" si="7"/>
        <v>0.1859032006</v>
      </c>
      <c r="AD984" s="130"/>
    </row>
    <row r="985" ht="14.25" hidden="1" customHeight="1">
      <c r="A985" s="116" t="s">
        <v>300</v>
      </c>
      <c r="B985" s="117" t="s">
        <v>2115</v>
      </c>
      <c r="C985" s="117" t="s">
        <v>2831</v>
      </c>
      <c r="D985" s="117" t="s">
        <v>2962</v>
      </c>
      <c r="E985" s="117" t="s">
        <v>2833</v>
      </c>
      <c r="F985" s="117" t="s">
        <v>2834</v>
      </c>
      <c r="G985" s="117" t="s">
        <v>2835</v>
      </c>
      <c r="H985" s="117" t="s">
        <v>2839</v>
      </c>
      <c r="I985" s="117">
        <v>1.0</v>
      </c>
      <c r="J985" s="117">
        <v>1.0</v>
      </c>
      <c r="K985" s="117" t="str">
        <f t="shared" si="1"/>
        <v>No</v>
      </c>
      <c r="L985" s="118" t="s">
        <v>116</v>
      </c>
      <c r="M985" s="119">
        <v>0.25</v>
      </c>
      <c r="N985" s="120">
        <v>1.0</v>
      </c>
      <c r="O985" s="121">
        <v>91.32</v>
      </c>
      <c r="P985" s="117">
        <v>1.0</v>
      </c>
      <c r="Q985" s="117">
        <f t="shared" si="2"/>
        <v>5</v>
      </c>
      <c r="R985" s="122">
        <f>+(IF(((M985*24)-P985)&lt;0,0,((M985*24)-P985)*'Estimación de pérdidas'!$F$72))*N985</f>
        <v>288390.3746</v>
      </c>
      <c r="S985" s="123" t="s">
        <v>117</v>
      </c>
      <c r="T985" s="124" t="s">
        <v>106</v>
      </c>
      <c r="U985" s="124">
        <f t="shared" si="3"/>
        <v>3</v>
      </c>
      <c r="V985" s="124">
        <v>2.0</v>
      </c>
      <c r="W985" s="124"/>
      <c r="X985" s="125"/>
      <c r="Y985" s="126"/>
      <c r="Z985" s="125">
        <f t="shared" si="4"/>
        <v>3</v>
      </c>
      <c r="AA985" s="127" t="str">
        <f t="shared" si="5"/>
        <v>Moderado</v>
      </c>
      <c r="AB985" s="128">
        <f t="shared" si="6"/>
        <v>17</v>
      </c>
      <c r="AC985" s="129">
        <f t="shared" si="7"/>
        <v>0.2579922479</v>
      </c>
      <c r="AD985" s="131"/>
    </row>
    <row r="986" ht="14.25" hidden="1" customHeight="1">
      <c r="A986" s="116" t="s">
        <v>300</v>
      </c>
      <c r="B986" s="117" t="s">
        <v>2115</v>
      </c>
      <c r="C986" s="117" t="s">
        <v>2831</v>
      </c>
      <c r="D986" s="117" t="s">
        <v>2963</v>
      </c>
      <c r="E986" s="117" t="s">
        <v>2833</v>
      </c>
      <c r="F986" s="117" t="s">
        <v>2834</v>
      </c>
      <c r="G986" s="117" t="s">
        <v>2835</v>
      </c>
      <c r="H986" s="117" t="s">
        <v>2839</v>
      </c>
      <c r="I986" s="117">
        <v>1.0</v>
      </c>
      <c r="J986" s="117">
        <v>1.0</v>
      </c>
      <c r="K986" s="117" t="str">
        <f t="shared" si="1"/>
        <v>No</v>
      </c>
      <c r="L986" s="118" t="s">
        <v>116</v>
      </c>
      <c r="M986" s="119">
        <v>0.25</v>
      </c>
      <c r="N986" s="120">
        <v>1.0</v>
      </c>
      <c r="O986" s="121">
        <v>91.32</v>
      </c>
      <c r="P986" s="117">
        <v>1.0</v>
      </c>
      <c r="Q986" s="117">
        <f t="shared" si="2"/>
        <v>5</v>
      </c>
      <c r="R986" s="122">
        <f>+(IF(((M986*24)-P986)&lt;0,0,((M986*24)-P986)*'Estimación de pérdidas'!$F$72))*N986</f>
        <v>288390.3746</v>
      </c>
      <c r="S986" s="123" t="s">
        <v>117</v>
      </c>
      <c r="T986" s="124" t="s">
        <v>106</v>
      </c>
      <c r="U986" s="124">
        <f t="shared" si="3"/>
        <v>3</v>
      </c>
      <c r="V986" s="124">
        <v>2.0</v>
      </c>
      <c r="W986" s="124"/>
      <c r="X986" s="125"/>
      <c r="Y986" s="126"/>
      <c r="Z986" s="125">
        <f t="shared" si="4"/>
        <v>3</v>
      </c>
      <c r="AA986" s="127" t="str">
        <f t="shared" si="5"/>
        <v>Moderado</v>
      </c>
      <c r="AB986" s="128">
        <f t="shared" si="6"/>
        <v>17</v>
      </c>
      <c r="AC986" s="129">
        <f t="shared" si="7"/>
        <v>0.2579922479</v>
      </c>
      <c r="AD986" s="131"/>
    </row>
    <row r="987" ht="14.25" hidden="1" customHeight="1">
      <c r="A987" s="116" t="s">
        <v>300</v>
      </c>
      <c r="B987" s="117" t="s">
        <v>2115</v>
      </c>
      <c r="C987" s="117" t="s">
        <v>2831</v>
      </c>
      <c r="D987" s="117" t="s">
        <v>2964</v>
      </c>
      <c r="E987" s="117" t="s">
        <v>2833</v>
      </c>
      <c r="F987" s="117" t="s">
        <v>2834</v>
      </c>
      <c r="G987" s="117" t="s">
        <v>2835</v>
      </c>
      <c r="H987" s="117" t="s">
        <v>2839</v>
      </c>
      <c r="I987" s="117">
        <v>1.0</v>
      </c>
      <c r="J987" s="117">
        <v>1.0</v>
      </c>
      <c r="K987" s="117" t="str">
        <f t="shared" si="1"/>
        <v>No</v>
      </c>
      <c r="L987" s="118" t="s">
        <v>116</v>
      </c>
      <c r="M987" s="119">
        <v>0.25</v>
      </c>
      <c r="N987" s="120">
        <v>1.0</v>
      </c>
      <c r="O987" s="121">
        <v>91.32</v>
      </c>
      <c r="P987" s="117">
        <v>1.0</v>
      </c>
      <c r="Q987" s="117">
        <f t="shared" si="2"/>
        <v>5</v>
      </c>
      <c r="R987" s="122">
        <f>+(IF(((M987*24)-P987)&lt;0,0,((M987*24)-P987)*'Estimación de pérdidas'!$F$72))*N987</f>
        <v>288390.3746</v>
      </c>
      <c r="S987" s="123" t="s">
        <v>117</v>
      </c>
      <c r="T987" s="124" t="s">
        <v>106</v>
      </c>
      <c r="U987" s="124">
        <f t="shared" si="3"/>
        <v>3</v>
      </c>
      <c r="V987" s="124">
        <v>2.0</v>
      </c>
      <c r="W987" s="124"/>
      <c r="X987" s="125"/>
      <c r="Y987" s="126"/>
      <c r="Z987" s="125">
        <f t="shared" si="4"/>
        <v>3</v>
      </c>
      <c r="AA987" s="127" t="str">
        <f t="shared" si="5"/>
        <v>Moderado</v>
      </c>
      <c r="AB987" s="128">
        <f t="shared" si="6"/>
        <v>17</v>
      </c>
      <c r="AC987" s="129">
        <f t="shared" si="7"/>
        <v>0.2579922479</v>
      </c>
      <c r="AD987" s="131"/>
    </row>
    <row r="988" ht="14.25" hidden="1" customHeight="1">
      <c r="A988" s="116" t="s">
        <v>300</v>
      </c>
      <c r="B988" s="117" t="s">
        <v>2115</v>
      </c>
      <c r="C988" s="117" t="s">
        <v>2831</v>
      </c>
      <c r="D988" s="117" t="s">
        <v>2965</v>
      </c>
      <c r="E988" s="117" t="s">
        <v>2833</v>
      </c>
      <c r="F988" s="117" t="s">
        <v>2834</v>
      </c>
      <c r="G988" s="117" t="s">
        <v>2835</v>
      </c>
      <c r="H988" s="117" t="s">
        <v>2839</v>
      </c>
      <c r="I988" s="117">
        <v>1.0</v>
      </c>
      <c r="J988" s="117">
        <v>1.0</v>
      </c>
      <c r="K988" s="117" t="str">
        <f t="shared" si="1"/>
        <v>No</v>
      </c>
      <c r="L988" s="118" t="s">
        <v>116</v>
      </c>
      <c r="M988" s="119">
        <v>0.25</v>
      </c>
      <c r="N988" s="120">
        <v>1.0</v>
      </c>
      <c r="O988" s="121">
        <v>91.32</v>
      </c>
      <c r="P988" s="117">
        <v>1.0</v>
      </c>
      <c r="Q988" s="117">
        <f t="shared" si="2"/>
        <v>5</v>
      </c>
      <c r="R988" s="122">
        <f>+(IF(((M988*24)-P988)&lt;0,0,((M988*24)-P988)*'Estimación de pérdidas'!$F$72))*N988</f>
        <v>288390.3746</v>
      </c>
      <c r="S988" s="123" t="s">
        <v>117</v>
      </c>
      <c r="T988" s="124" t="s">
        <v>106</v>
      </c>
      <c r="U988" s="124">
        <f t="shared" si="3"/>
        <v>3</v>
      </c>
      <c r="V988" s="124">
        <v>2.0</v>
      </c>
      <c r="W988" s="124"/>
      <c r="X988" s="125"/>
      <c r="Y988" s="126"/>
      <c r="Z988" s="125">
        <f t="shared" si="4"/>
        <v>3</v>
      </c>
      <c r="AA988" s="127" t="str">
        <f t="shared" si="5"/>
        <v>Moderado</v>
      </c>
      <c r="AB988" s="128">
        <f t="shared" si="6"/>
        <v>17</v>
      </c>
      <c r="AC988" s="129">
        <f t="shared" si="7"/>
        <v>0.2579922479</v>
      </c>
      <c r="AD988" s="131"/>
    </row>
    <row r="989" ht="14.25" hidden="1" customHeight="1">
      <c r="A989" s="116" t="s">
        <v>847</v>
      </c>
      <c r="B989" s="117" t="s">
        <v>1602</v>
      </c>
      <c r="C989" s="117" t="s">
        <v>2831</v>
      </c>
      <c r="D989" s="117" t="s">
        <v>2966</v>
      </c>
      <c r="E989" s="117" t="s">
        <v>2833</v>
      </c>
      <c r="F989" s="117" t="s">
        <v>2834</v>
      </c>
      <c r="G989" s="117" t="s">
        <v>2835</v>
      </c>
      <c r="H989" s="117" t="s">
        <v>2836</v>
      </c>
      <c r="I989" s="117">
        <v>1.0</v>
      </c>
      <c r="J989" s="117">
        <v>1.0</v>
      </c>
      <c r="K989" s="117" t="str">
        <f t="shared" si="1"/>
        <v>No</v>
      </c>
      <c r="L989" s="118" t="s">
        <v>116</v>
      </c>
      <c r="M989" s="119">
        <v>0.25</v>
      </c>
      <c r="N989" s="120">
        <v>1.0</v>
      </c>
      <c r="O989" s="121">
        <v>12.0</v>
      </c>
      <c r="P989" s="117">
        <v>8.0</v>
      </c>
      <c r="Q989" s="117">
        <f t="shared" si="2"/>
        <v>0</v>
      </c>
      <c r="R989" s="122">
        <f>+(IF(((M989*24)-P989)&lt;0,0,((M989*24)-P989)*'Estimación de pérdidas'!$F$72))*N989</f>
        <v>0</v>
      </c>
      <c r="S989" s="123" t="s">
        <v>117</v>
      </c>
      <c r="T989" s="124" t="s">
        <v>106</v>
      </c>
      <c r="U989" s="124">
        <f t="shared" si="3"/>
        <v>1</v>
      </c>
      <c r="V989" s="124">
        <v>2.0</v>
      </c>
      <c r="W989" s="124"/>
      <c r="X989" s="125"/>
      <c r="Y989" s="126"/>
      <c r="Z989" s="125">
        <f t="shared" si="4"/>
        <v>2</v>
      </c>
      <c r="AA989" s="127" t="str">
        <f t="shared" si="5"/>
        <v>Moderado</v>
      </c>
      <c r="AB989" s="128">
        <f t="shared" si="6"/>
        <v>12</v>
      </c>
      <c r="AC989" s="129">
        <f t="shared" si="7"/>
        <v>0.16</v>
      </c>
      <c r="AD989" s="131"/>
    </row>
    <row r="990" ht="14.25" hidden="1" customHeight="1">
      <c r="A990" s="116" t="s">
        <v>847</v>
      </c>
      <c r="B990" s="117" t="s">
        <v>2952</v>
      </c>
      <c r="C990" s="117" t="s">
        <v>2831</v>
      </c>
      <c r="D990" s="117" t="s">
        <v>2967</v>
      </c>
      <c r="E990" s="117" t="s">
        <v>2831</v>
      </c>
      <c r="F990" s="117" t="s">
        <v>2834</v>
      </c>
      <c r="G990" s="117" t="s">
        <v>2835</v>
      </c>
      <c r="H990" s="117" t="s">
        <v>2839</v>
      </c>
      <c r="I990" s="117">
        <v>1.0</v>
      </c>
      <c r="J990" s="117">
        <v>1.0</v>
      </c>
      <c r="K990" s="117" t="str">
        <f t="shared" si="1"/>
        <v>No</v>
      </c>
      <c r="L990" s="118" t="s">
        <v>116</v>
      </c>
      <c r="M990" s="119">
        <v>0.25</v>
      </c>
      <c r="N990" s="120">
        <v>1.0</v>
      </c>
      <c r="O990" s="121">
        <v>91.32</v>
      </c>
      <c r="P990" s="117">
        <v>1.0</v>
      </c>
      <c r="Q990" s="117">
        <f t="shared" si="2"/>
        <v>5</v>
      </c>
      <c r="R990" s="122">
        <f>+(IF(((M990*24)-P990)&lt;0,0,((M990*24)-P990)*'Estimación de pérdidas'!$F$72))*N990</f>
        <v>288390.3746</v>
      </c>
      <c r="S990" s="123" t="s">
        <v>117</v>
      </c>
      <c r="T990" s="124" t="s">
        <v>106</v>
      </c>
      <c r="U990" s="124">
        <f t="shared" si="3"/>
        <v>3</v>
      </c>
      <c r="V990" s="124">
        <v>2.0</v>
      </c>
      <c r="W990" s="124"/>
      <c r="X990" s="125"/>
      <c r="Y990" s="126"/>
      <c r="Z990" s="125">
        <f t="shared" si="4"/>
        <v>3</v>
      </c>
      <c r="AA990" s="127" t="str">
        <f t="shared" si="5"/>
        <v>Moderado</v>
      </c>
      <c r="AB990" s="128">
        <f t="shared" si="6"/>
        <v>17</v>
      </c>
      <c r="AC990" s="129">
        <f t="shared" si="7"/>
        <v>0.2579922479</v>
      </c>
      <c r="AD990" s="131"/>
    </row>
    <row r="991" ht="14.25" hidden="1" customHeight="1">
      <c r="A991" s="116" t="s">
        <v>2479</v>
      </c>
      <c r="B991" s="117" t="s">
        <v>2479</v>
      </c>
      <c r="C991" s="117" t="s">
        <v>2831</v>
      </c>
      <c r="D991" s="117" t="s">
        <v>2968</v>
      </c>
      <c r="E991" s="117" t="s">
        <v>2833</v>
      </c>
      <c r="F991" s="117" t="s">
        <v>2834</v>
      </c>
      <c r="G991" s="117" t="s">
        <v>2835</v>
      </c>
      <c r="H991" s="117" t="s">
        <v>2839</v>
      </c>
      <c r="I991" s="117">
        <v>1.0</v>
      </c>
      <c r="J991" s="117">
        <v>1.0</v>
      </c>
      <c r="K991" s="117" t="str">
        <f t="shared" si="1"/>
        <v>No</v>
      </c>
      <c r="L991" s="118" t="s">
        <v>116</v>
      </c>
      <c r="M991" s="119">
        <v>0.25</v>
      </c>
      <c r="N991" s="120">
        <v>1.0</v>
      </c>
      <c r="O991" s="121">
        <v>91.32</v>
      </c>
      <c r="P991" s="117">
        <v>2.0</v>
      </c>
      <c r="Q991" s="117">
        <f t="shared" si="2"/>
        <v>4</v>
      </c>
      <c r="R991" s="122">
        <f>+(IF(((M991*24)-P991)&lt;0,0,((M991*24)-P991)*'Estimación de pérdidas'!$F$72))*N991</f>
        <v>230712.2997</v>
      </c>
      <c r="S991" s="123" t="s">
        <v>117</v>
      </c>
      <c r="T991" s="124" t="s">
        <v>106</v>
      </c>
      <c r="U991" s="124">
        <f t="shared" si="3"/>
        <v>3</v>
      </c>
      <c r="V991" s="124">
        <v>2.0</v>
      </c>
      <c r="W991" s="124"/>
      <c r="X991" s="125"/>
      <c r="Y991" s="126"/>
      <c r="Z991" s="125">
        <f t="shared" si="4"/>
        <v>3</v>
      </c>
      <c r="AA991" s="127" t="str">
        <f t="shared" si="5"/>
        <v>Moderado</v>
      </c>
      <c r="AB991" s="128">
        <f t="shared" si="6"/>
        <v>17</v>
      </c>
      <c r="AC991" s="129">
        <f t="shared" si="7"/>
        <v>0.2579922479</v>
      </c>
      <c r="AD991" s="131"/>
    </row>
    <row r="992" ht="14.25" hidden="1" customHeight="1">
      <c r="A992" s="116" t="s">
        <v>300</v>
      </c>
      <c r="B992" s="117" t="s">
        <v>301</v>
      </c>
      <c r="C992" s="117" t="s">
        <v>2969</v>
      </c>
      <c r="D992" s="117" t="s">
        <v>2970</v>
      </c>
      <c r="E992" s="117" t="s">
        <v>2971</v>
      </c>
      <c r="F992" s="117" t="s">
        <v>2972</v>
      </c>
      <c r="G992" s="117" t="s">
        <v>2973</v>
      </c>
      <c r="H992" s="117" t="s">
        <v>2974</v>
      </c>
      <c r="I992" s="117">
        <v>1.0</v>
      </c>
      <c r="J992" s="117">
        <v>1.0</v>
      </c>
      <c r="K992" s="117" t="str">
        <f t="shared" si="1"/>
        <v>No</v>
      </c>
      <c r="L992" s="118" t="s">
        <v>116</v>
      </c>
      <c r="M992" s="119">
        <v>0.25</v>
      </c>
      <c r="N992" s="120">
        <v>1.0</v>
      </c>
      <c r="O992" s="121">
        <v>91.32</v>
      </c>
      <c r="P992" s="117">
        <v>1.0</v>
      </c>
      <c r="Q992" s="117">
        <f t="shared" si="2"/>
        <v>5</v>
      </c>
      <c r="R992" s="122">
        <f>+(IF(((M992*24)-P992)&lt;0,0,((M992*24)-P992)*'Estimación de pérdidas'!$F$72))*N992</f>
        <v>288390.3746</v>
      </c>
      <c r="S992" s="123" t="s">
        <v>117</v>
      </c>
      <c r="T992" s="124" t="s">
        <v>118</v>
      </c>
      <c r="U992" s="124">
        <f t="shared" si="3"/>
        <v>3</v>
      </c>
      <c r="V992" s="124">
        <v>1.0</v>
      </c>
      <c r="W992" s="124"/>
      <c r="X992" s="125"/>
      <c r="Y992" s="126"/>
      <c r="Z992" s="125">
        <f t="shared" si="4"/>
        <v>3</v>
      </c>
      <c r="AA992" s="127" t="str">
        <f t="shared" si="5"/>
        <v>Moderado</v>
      </c>
      <c r="AB992" s="128">
        <f t="shared" si="6"/>
        <v>9</v>
      </c>
      <c r="AC992" s="129">
        <f t="shared" si="7"/>
        <v>0.113137085</v>
      </c>
      <c r="AD992" s="131"/>
    </row>
    <row r="993" ht="14.25" hidden="1" customHeight="1">
      <c r="A993" s="116" t="s">
        <v>300</v>
      </c>
      <c r="B993" s="117" t="s">
        <v>331</v>
      </c>
      <c r="C993" s="117" t="s">
        <v>2969</v>
      </c>
      <c r="D993" s="117" t="s">
        <v>2975</v>
      </c>
      <c r="E993" s="117" t="s">
        <v>2976</v>
      </c>
      <c r="F993" s="117" t="s">
        <v>2972</v>
      </c>
      <c r="G993" s="117" t="s">
        <v>2973</v>
      </c>
      <c r="H993" s="117" t="s">
        <v>2974</v>
      </c>
      <c r="I993" s="117">
        <v>1.0</v>
      </c>
      <c r="J993" s="117">
        <v>1.0</v>
      </c>
      <c r="K993" s="117" t="str">
        <f t="shared" si="1"/>
        <v>No</v>
      </c>
      <c r="L993" s="118" t="s">
        <v>116</v>
      </c>
      <c r="M993" s="119">
        <v>0.25</v>
      </c>
      <c r="N993" s="120">
        <v>1.0</v>
      </c>
      <c r="O993" s="121">
        <v>91.32</v>
      </c>
      <c r="P993" s="117">
        <v>1.0</v>
      </c>
      <c r="Q993" s="117">
        <f t="shared" si="2"/>
        <v>5</v>
      </c>
      <c r="R993" s="122">
        <f>+(IF(((M993*24)-P993)&lt;0,0,((M993*24)-P993)*'Estimación de pérdidas'!$F$72))*N993</f>
        <v>288390.3746</v>
      </c>
      <c r="S993" s="123" t="s">
        <v>117</v>
      </c>
      <c r="T993" s="124" t="s">
        <v>118</v>
      </c>
      <c r="U993" s="124">
        <f t="shared" si="3"/>
        <v>3</v>
      </c>
      <c r="V993" s="124">
        <v>1.0</v>
      </c>
      <c r="W993" s="124"/>
      <c r="X993" s="125"/>
      <c r="Y993" s="126"/>
      <c r="Z993" s="125">
        <f t="shared" si="4"/>
        <v>3</v>
      </c>
      <c r="AA993" s="127" t="str">
        <f t="shared" si="5"/>
        <v>Moderado</v>
      </c>
      <c r="AB993" s="128">
        <f t="shared" si="6"/>
        <v>9</v>
      </c>
      <c r="AC993" s="129">
        <f t="shared" si="7"/>
        <v>0.113137085</v>
      </c>
      <c r="AD993" s="131"/>
    </row>
    <row r="994" ht="14.25" hidden="1" customHeight="1">
      <c r="A994" s="116" t="s">
        <v>539</v>
      </c>
      <c r="B994" s="117" t="s">
        <v>575</v>
      </c>
      <c r="C994" s="117" t="s">
        <v>2969</v>
      </c>
      <c r="D994" s="117" t="s">
        <v>2977</v>
      </c>
      <c r="E994" s="117" t="s">
        <v>2978</v>
      </c>
      <c r="F994" s="117" t="s">
        <v>2972</v>
      </c>
      <c r="G994" s="117" t="s">
        <v>2973</v>
      </c>
      <c r="H994" s="117" t="s">
        <v>2974</v>
      </c>
      <c r="I994" s="117">
        <v>1.0</v>
      </c>
      <c r="J994" s="117">
        <v>1.0</v>
      </c>
      <c r="K994" s="117" t="str">
        <f t="shared" si="1"/>
        <v>No</v>
      </c>
      <c r="L994" s="118" t="s">
        <v>116</v>
      </c>
      <c r="M994" s="119">
        <v>0.25</v>
      </c>
      <c r="N994" s="120">
        <v>1.0</v>
      </c>
      <c r="O994" s="121">
        <v>91.32</v>
      </c>
      <c r="P994" s="117">
        <v>1.0</v>
      </c>
      <c r="Q994" s="117">
        <f t="shared" si="2"/>
        <v>5</v>
      </c>
      <c r="R994" s="122">
        <f>+(IF(((M994*24)-P994)&lt;0,0,((M994*24)-P994)*'Estimación de pérdidas'!$F$72))*N994</f>
        <v>288390.3746</v>
      </c>
      <c r="S994" s="123" t="s">
        <v>117</v>
      </c>
      <c r="T994" s="124" t="s">
        <v>118</v>
      </c>
      <c r="U994" s="124">
        <f t="shared" si="3"/>
        <v>3</v>
      </c>
      <c r="V994" s="124">
        <v>1.0</v>
      </c>
      <c r="W994" s="124"/>
      <c r="X994" s="125"/>
      <c r="Y994" s="126"/>
      <c r="Z994" s="125">
        <f t="shared" si="4"/>
        <v>3</v>
      </c>
      <c r="AA994" s="127" t="str">
        <f t="shared" si="5"/>
        <v>Moderado</v>
      </c>
      <c r="AB994" s="128">
        <f t="shared" si="6"/>
        <v>9</v>
      </c>
      <c r="AC994" s="129">
        <f t="shared" si="7"/>
        <v>0.113137085</v>
      </c>
      <c r="AD994" s="131"/>
    </row>
    <row r="995" ht="14.25" hidden="1" customHeight="1">
      <c r="A995" s="116" t="s">
        <v>539</v>
      </c>
      <c r="B995" s="117" t="s">
        <v>575</v>
      </c>
      <c r="C995" s="117" t="s">
        <v>2969</v>
      </c>
      <c r="D995" s="117" t="s">
        <v>2979</v>
      </c>
      <c r="E995" s="117" t="s">
        <v>2980</v>
      </c>
      <c r="F995" s="117" t="s">
        <v>2972</v>
      </c>
      <c r="G995" s="117" t="s">
        <v>2973</v>
      </c>
      <c r="H995" s="117" t="s">
        <v>2974</v>
      </c>
      <c r="I995" s="117">
        <v>1.0</v>
      </c>
      <c r="J995" s="117">
        <v>1.0</v>
      </c>
      <c r="K995" s="117" t="str">
        <f t="shared" si="1"/>
        <v>No</v>
      </c>
      <c r="L995" s="118" t="s">
        <v>116</v>
      </c>
      <c r="M995" s="119">
        <v>0.25</v>
      </c>
      <c r="N995" s="120">
        <v>1.0</v>
      </c>
      <c r="O995" s="121">
        <v>91.32</v>
      </c>
      <c r="P995" s="117">
        <v>1.0</v>
      </c>
      <c r="Q995" s="117">
        <f t="shared" si="2"/>
        <v>5</v>
      </c>
      <c r="R995" s="122">
        <f>+(IF(((M995*24)-P995)&lt;0,0,((M995*24)-P995)*'Estimación de pérdidas'!$F$72))*N995</f>
        <v>288390.3746</v>
      </c>
      <c r="S995" s="123" t="s">
        <v>117</v>
      </c>
      <c r="T995" s="124" t="s">
        <v>118</v>
      </c>
      <c r="U995" s="124">
        <f t="shared" si="3"/>
        <v>3</v>
      </c>
      <c r="V995" s="124">
        <v>1.0</v>
      </c>
      <c r="W995" s="124"/>
      <c r="X995" s="125"/>
      <c r="Y995" s="126"/>
      <c r="Z995" s="125">
        <f t="shared" si="4"/>
        <v>3</v>
      </c>
      <c r="AA995" s="127" t="str">
        <f t="shared" si="5"/>
        <v>Moderado</v>
      </c>
      <c r="AB995" s="128">
        <f t="shared" si="6"/>
        <v>9</v>
      </c>
      <c r="AC995" s="129">
        <f t="shared" si="7"/>
        <v>0.113137085</v>
      </c>
      <c r="AD995" s="131"/>
    </row>
    <row r="996" ht="14.25" hidden="1" customHeight="1">
      <c r="A996" s="116" t="s">
        <v>539</v>
      </c>
      <c r="B996" s="117" t="s">
        <v>575</v>
      </c>
      <c r="C996" s="117" t="s">
        <v>2969</v>
      </c>
      <c r="D996" s="117" t="s">
        <v>2981</v>
      </c>
      <c r="E996" s="117" t="s">
        <v>2982</v>
      </c>
      <c r="F996" s="117" t="s">
        <v>2972</v>
      </c>
      <c r="G996" s="117" t="s">
        <v>2973</v>
      </c>
      <c r="H996" s="117" t="s">
        <v>2974</v>
      </c>
      <c r="I996" s="117">
        <v>1.0</v>
      </c>
      <c r="J996" s="117">
        <v>1.0</v>
      </c>
      <c r="K996" s="117" t="str">
        <f t="shared" si="1"/>
        <v>No</v>
      </c>
      <c r="L996" s="118" t="s">
        <v>116</v>
      </c>
      <c r="M996" s="119">
        <v>0.25</v>
      </c>
      <c r="N996" s="120">
        <v>1.0</v>
      </c>
      <c r="O996" s="121">
        <v>91.32</v>
      </c>
      <c r="P996" s="117">
        <v>1.0</v>
      </c>
      <c r="Q996" s="117">
        <f t="shared" si="2"/>
        <v>5</v>
      </c>
      <c r="R996" s="122">
        <f>+(IF(((M996*24)-P996)&lt;0,0,((M996*24)-P996)*'Estimación de pérdidas'!$F$72))*N996</f>
        <v>288390.3746</v>
      </c>
      <c r="S996" s="123" t="s">
        <v>117</v>
      </c>
      <c r="T996" s="124" t="s">
        <v>118</v>
      </c>
      <c r="U996" s="124">
        <f t="shared" si="3"/>
        <v>3</v>
      </c>
      <c r="V996" s="124">
        <v>1.0</v>
      </c>
      <c r="W996" s="124"/>
      <c r="X996" s="125"/>
      <c r="Y996" s="126"/>
      <c r="Z996" s="125">
        <f t="shared" si="4"/>
        <v>3</v>
      </c>
      <c r="AA996" s="127" t="str">
        <f t="shared" si="5"/>
        <v>Moderado</v>
      </c>
      <c r="AB996" s="128">
        <f t="shared" si="6"/>
        <v>9</v>
      </c>
      <c r="AC996" s="129">
        <f t="shared" si="7"/>
        <v>0.113137085</v>
      </c>
      <c r="AD996" s="131"/>
    </row>
    <row r="997" ht="14.25" hidden="1" customHeight="1">
      <c r="A997" s="116" t="s">
        <v>927</v>
      </c>
      <c r="B997" s="117" t="s">
        <v>1037</v>
      </c>
      <c r="C997" s="117" t="s">
        <v>2969</v>
      </c>
      <c r="D997" s="117" t="s">
        <v>2983</v>
      </c>
      <c r="E997" s="117" t="s">
        <v>2984</v>
      </c>
      <c r="F997" s="117" t="s">
        <v>2972</v>
      </c>
      <c r="G997" s="117" t="s">
        <v>2973</v>
      </c>
      <c r="H997" s="117" t="s">
        <v>2985</v>
      </c>
      <c r="I997" s="117">
        <v>1.0</v>
      </c>
      <c r="J997" s="117">
        <v>1.0</v>
      </c>
      <c r="K997" s="117" t="str">
        <f t="shared" si="1"/>
        <v>No</v>
      </c>
      <c r="L997" s="118" t="s">
        <v>116</v>
      </c>
      <c r="M997" s="119">
        <v>0.25</v>
      </c>
      <c r="N997" s="120">
        <v>1.0</v>
      </c>
      <c r="O997" s="121">
        <v>50.0</v>
      </c>
      <c r="P997" s="117">
        <v>12.0</v>
      </c>
      <c r="Q997" s="117">
        <f t="shared" si="2"/>
        <v>0</v>
      </c>
      <c r="R997" s="122">
        <f>+(IF(((M997*24)-P997)&lt;0,0,((M997*24)-P997)*'Estimación de pérdidas'!$F$72))*N997</f>
        <v>0</v>
      </c>
      <c r="S997" s="123" t="s">
        <v>117</v>
      </c>
      <c r="T997" s="124" t="s">
        <v>118</v>
      </c>
      <c r="U997" s="124">
        <f t="shared" si="3"/>
        <v>1</v>
      </c>
      <c r="V997" s="124">
        <v>1.0</v>
      </c>
      <c r="W997" s="124"/>
      <c r="X997" s="125"/>
      <c r="Y997" s="126"/>
      <c r="Z997" s="125">
        <f t="shared" si="4"/>
        <v>1</v>
      </c>
      <c r="AA997" s="127" t="str">
        <f t="shared" si="5"/>
        <v>Bajo</v>
      </c>
      <c r="AB997" s="128">
        <f t="shared" si="6"/>
        <v>2</v>
      </c>
      <c r="AC997" s="129">
        <f t="shared" si="7"/>
        <v>0.05059644256</v>
      </c>
    </row>
    <row r="998" ht="14.25" hidden="1" customHeight="1">
      <c r="A998" s="116" t="s">
        <v>927</v>
      </c>
      <c r="B998" s="117" t="s">
        <v>1037</v>
      </c>
      <c r="C998" s="117" t="s">
        <v>2969</v>
      </c>
      <c r="D998" s="117" t="s">
        <v>2986</v>
      </c>
      <c r="E998" s="117" t="s">
        <v>2987</v>
      </c>
      <c r="F998" s="117" t="s">
        <v>2972</v>
      </c>
      <c r="G998" s="117" t="s">
        <v>2973</v>
      </c>
      <c r="H998" s="117" t="s">
        <v>2988</v>
      </c>
      <c r="I998" s="117">
        <v>1.0</v>
      </c>
      <c r="J998" s="117">
        <v>1.0</v>
      </c>
      <c r="K998" s="117" t="str">
        <f t="shared" si="1"/>
        <v>No</v>
      </c>
      <c r="L998" s="118" t="s">
        <v>116</v>
      </c>
      <c r="M998" s="119">
        <v>0.25</v>
      </c>
      <c r="N998" s="120">
        <v>1.0</v>
      </c>
      <c r="O998" s="121">
        <v>50.0</v>
      </c>
      <c r="P998" s="117">
        <v>12.0</v>
      </c>
      <c r="Q998" s="117">
        <f t="shared" si="2"/>
        <v>0</v>
      </c>
      <c r="R998" s="122">
        <f>+(IF(((M998*24)-P998)&lt;0,0,((M998*24)-P998)*'Estimación de pérdidas'!$F$72))*N998</f>
        <v>0</v>
      </c>
      <c r="S998" s="123" t="s">
        <v>117</v>
      </c>
      <c r="T998" s="124" t="s">
        <v>118</v>
      </c>
      <c r="U998" s="124">
        <f t="shared" si="3"/>
        <v>1</v>
      </c>
      <c r="V998" s="124">
        <v>1.0</v>
      </c>
      <c r="W998" s="124"/>
      <c r="X998" s="125"/>
      <c r="Y998" s="126"/>
      <c r="Z998" s="125">
        <f t="shared" si="4"/>
        <v>1</v>
      </c>
      <c r="AA998" s="127" t="str">
        <f t="shared" si="5"/>
        <v>Bajo</v>
      </c>
      <c r="AB998" s="128">
        <f t="shared" si="6"/>
        <v>2</v>
      </c>
      <c r="AC998" s="129">
        <f t="shared" si="7"/>
        <v>0.05059644256</v>
      </c>
    </row>
    <row r="999" ht="14.25" hidden="1" customHeight="1">
      <c r="A999" s="116" t="s">
        <v>1145</v>
      </c>
      <c r="B999" s="117" t="s">
        <v>1145</v>
      </c>
      <c r="C999" s="117" t="s">
        <v>2969</v>
      </c>
      <c r="D999" s="117" t="s">
        <v>2989</v>
      </c>
      <c r="E999" s="117" t="s">
        <v>2990</v>
      </c>
      <c r="F999" s="117" t="s">
        <v>2972</v>
      </c>
      <c r="G999" s="117" t="s">
        <v>2973</v>
      </c>
      <c r="H999" s="117" t="s">
        <v>2974</v>
      </c>
      <c r="I999" s="117">
        <v>1.0</v>
      </c>
      <c r="J999" s="117">
        <v>1.0</v>
      </c>
      <c r="K999" s="117" t="str">
        <f t="shared" si="1"/>
        <v>No</v>
      </c>
      <c r="L999" s="118" t="s">
        <v>116</v>
      </c>
      <c r="M999" s="119">
        <v>0.25</v>
      </c>
      <c r="N999" s="120">
        <v>1.0</v>
      </c>
      <c r="O999" s="121">
        <v>91.32</v>
      </c>
      <c r="P999" s="117">
        <v>1.0</v>
      </c>
      <c r="Q999" s="117">
        <f t="shared" si="2"/>
        <v>5</v>
      </c>
      <c r="R999" s="122">
        <f>+(IF(((M999*24)-P999)&lt;0,0,((M999*24)-P999)*'Estimación de pérdidas'!$F$72))*N999</f>
        <v>288390.3746</v>
      </c>
      <c r="S999" s="123" t="s">
        <v>117</v>
      </c>
      <c r="T999" s="124" t="s">
        <v>118</v>
      </c>
      <c r="U999" s="124">
        <f t="shared" si="3"/>
        <v>3</v>
      </c>
      <c r="V999" s="124">
        <v>1.0</v>
      </c>
      <c r="W999" s="124"/>
      <c r="X999" s="125"/>
      <c r="Y999" s="126"/>
      <c r="Z999" s="125">
        <f t="shared" si="4"/>
        <v>3</v>
      </c>
      <c r="AA999" s="127" t="str">
        <f t="shared" si="5"/>
        <v>Moderado</v>
      </c>
      <c r="AB999" s="128">
        <f t="shared" si="6"/>
        <v>9</v>
      </c>
      <c r="AC999" s="129">
        <f t="shared" si="7"/>
        <v>0.113137085</v>
      </c>
      <c r="AD999" s="131"/>
    </row>
    <row r="1000" ht="14.25" hidden="1" customHeight="1">
      <c r="A1000" s="116" t="s">
        <v>1145</v>
      </c>
      <c r="B1000" s="117" t="s">
        <v>1145</v>
      </c>
      <c r="C1000" s="117" t="s">
        <v>2969</v>
      </c>
      <c r="D1000" s="117" t="s">
        <v>2991</v>
      </c>
      <c r="E1000" s="117" t="s">
        <v>2992</v>
      </c>
      <c r="F1000" s="117" t="s">
        <v>2972</v>
      </c>
      <c r="G1000" s="117" t="s">
        <v>2973</v>
      </c>
      <c r="H1000" s="117" t="s">
        <v>2974</v>
      </c>
      <c r="I1000" s="117">
        <v>1.0</v>
      </c>
      <c r="J1000" s="117">
        <v>1.0</v>
      </c>
      <c r="K1000" s="117" t="str">
        <f t="shared" si="1"/>
        <v>No</v>
      </c>
      <c r="L1000" s="118" t="s">
        <v>116</v>
      </c>
      <c r="M1000" s="119">
        <v>0.25</v>
      </c>
      <c r="N1000" s="120">
        <v>1.0</v>
      </c>
      <c r="O1000" s="121">
        <v>91.32</v>
      </c>
      <c r="P1000" s="117">
        <v>1.0</v>
      </c>
      <c r="Q1000" s="117">
        <f t="shared" si="2"/>
        <v>5</v>
      </c>
      <c r="R1000" s="122">
        <f>+(IF(((M1000*24)-P1000)&lt;0,0,((M1000*24)-P1000)*'Estimación de pérdidas'!$F$72))*N1000</f>
        <v>288390.3746</v>
      </c>
      <c r="S1000" s="123" t="s">
        <v>117</v>
      </c>
      <c r="T1000" s="124" t="s">
        <v>118</v>
      </c>
      <c r="U1000" s="124">
        <f t="shared" si="3"/>
        <v>3</v>
      </c>
      <c r="V1000" s="124">
        <v>1.0</v>
      </c>
      <c r="W1000" s="124"/>
      <c r="X1000" s="125"/>
      <c r="Y1000" s="126"/>
      <c r="Z1000" s="125">
        <f t="shared" si="4"/>
        <v>3</v>
      </c>
      <c r="AA1000" s="127" t="str">
        <f t="shared" si="5"/>
        <v>Moderado</v>
      </c>
      <c r="AB1000" s="128">
        <f t="shared" si="6"/>
        <v>9</v>
      </c>
      <c r="AC1000" s="129">
        <f t="shared" si="7"/>
        <v>0.113137085</v>
      </c>
      <c r="AD1000" s="131"/>
    </row>
    <row r="1001" ht="14.25" hidden="1" customHeight="1">
      <c r="A1001" s="116" t="s">
        <v>1145</v>
      </c>
      <c r="B1001" s="117" t="s">
        <v>1145</v>
      </c>
      <c r="C1001" s="117" t="s">
        <v>2969</v>
      </c>
      <c r="D1001" s="117" t="s">
        <v>2993</v>
      </c>
      <c r="E1001" s="117" t="s">
        <v>2994</v>
      </c>
      <c r="F1001" s="117" t="s">
        <v>2972</v>
      </c>
      <c r="G1001" s="117" t="s">
        <v>2973</v>
      </c>
      <c r="H1001" s="117" t="s">
        <v>2974</v>
      </c>
      <c r="I1001" s="117">
        <v>1.0</v>
      </c>
      <c r="J1001" s="117">
        <v>1.0</v>
      </c>
      <c r="K1001" s="117" t="str">
        <f t="shared" si="1"/>
        <v>No</v>
      </c>
      <c r="L1001" s="118" t="s">
        <v>116</v>
      </c>
      <c r="M1001" s="119">
        <v>0.25</v>
      </c>
      <c r="N1001" s="120">
        <v>1.0</v>
      </c>
      <c r="O1001" s="121">
        <v>91.32</v>
      </c>
      <c r="P1001" s="117">
        <v>1.0</v>
      </c>
      <c r="Q1001" s="117">
        <f t="shared" si="2"/>
        <v>5</v>
      </c>
      <c r="R1001" s="122">
        <f>+(IF(((M1001*24)-P1001)&lt;0,0,((M1001*24)-P1001)*'Estimación de pérdidas'!$F$72))*N1001</f>
        <v>288390.3746</v>
      </c>
      <c r="S1001" s="123" t="s">
        <v>117</v>
      </c>
      <c r="T1001" s="124" t="s">
        <v>118</v>
      </c>
      <c r="U1001" s="124">
        <f t="shared" si="3"/>
        <v>3</v>
      </c>
      <c r="V1001" s="124">
        <v>1.0</v>
      </c>
      <c r="W1001" s="124"/>
      <c r="X1001" s="125"/>
      <c r="Y1001" s="126"/>
      <c r="Z1001" s="125">
        <f t="shared" si="4"/>
        <v>3</v>
      </c>
      <c r="AA1001" s="127" t="str">
        <f t="shared" si="5"/>
        <v>Moderado</v>
      </c>
      <c r="AB1001" s="128">
        <f t="shared" si="6"/>
        <v>9</v>
      </c>
      <c r="AC1001" s="129">
        <f t="shared" si="7"/>
        <v>0.113137085</v>
      </c>
      <c r="AD1001" s="131"/>
    </row>
    <row r="1002" ht="14.25" hidden="1" customHeight="1">
      <c r="A1002" s="116" t="s">
        <v>1145</v>
      </c>
      <c r="B1002" s="117" t="s">
        <v>1145</v>
      </c>
      <c r="C1002" s="117" t="s">
        <v>2969</v>
      </c>
      <c r="D1002" s="117" t="s">
        <v>2995</v>
      </c>
      <c r="E1002" s="117" t="s">
        <v>2996</v>
      </c>
      <c r="F1002" s="117" t="s">
        <v>2972</v>
      </c>
      <c r="G1002" s="117" t="s">
        <v>2973</v>
      </c>
      <c r="H1002" s="117" t="s">
        <v>2974</v>
      </c>
      <c r="I1002" s="117">
        <v>1.0</v>
      </c>
      <c r="J1002" s="117">
        <v>1.0</v>
      </c>
      <c r="K1002" s="117" t="str">
        <f t="shared" si="1"/>
        <v>No</v>
      </c>
      <c r="L1002" s="118" t="s">
        <v>116</v>
      </c>
      <c r="M1002" s="119">
        <v>0.25</v>
      </c>
      <c r="N1002" s="120">
        <v>1.0</v>
      </c>
      <c r="O1002" s="121">
        <v>91.32</v>
      </c>
      <c r="P1002" s="117">
        <v>1.0</v>
      </c>
      <c r="Q1002" s="117">
        <f t="shared" si="2"/>
        <v>5</v>
      </c>
      <c r="R1002" s="122">
        <f>+(IF(((M1002*24)-P1002)&lt;0,0,((M1002*24)-P1002)*'Estimación de pérdidas'!$F$72))*N1002</f>
        <v>288390.3746</v>
      </c>
      <c r="S1002" s="123" t="s">
        <v>117</v>
      </c>
      <c r="T1002" s="124" t="s">
        <v>118</v>
      </c>
      <c r="U1002" s="124">
        <f t="shared" si="3"/>
        <v>3</v>
      </c>
      <c r="V1002" s="124">
        <v>1.0</v>
      </c>
      <c r="W1002" s="124"/>
      <c r="X1002" s="125"/>
      <c r="Y1002" s="126"/>
      <c r="Z1002" s="125">
        <f t="shared" si="4"/>
        <v>3</v>
      </c>
      <c r="AA1002" s="127" t="str">
        <f t="shared" si="5"/>
        <v>Moderado</v>
      </c>
      <c r="AB1002" s="128">
        <f t="shared" si="6"/>
        <v>9</v>
      </c>
      <c r="AC1002" s="129">
        <f t="shared" si="7"/>
        <v>0.113137085</v>
      </c>
      <c r="AD1002" s="131"/>
    </row>
    <row r="1003" ht="14.25" hidden="1" customHeight="1">
      <c r="A1003" s="116" t="s">
        <v>1145</v>
      </c>
      <c r="B1003" s="117" t="s">
        <v>1145</v>
      </c>
      <c r="C1003" s="117" t="s">
        <v>2969</v>
      </c>
      <c r="D1003" s="117" t="s">
        <v>2997</v>
      </c>
      <c r="E1003" s="117" t="s">
        <v>2998</v>
      </c>
      <c r="F1003" s="117" t="s">
        <v>2972</v>
      </c>
      <c r="G1003" s="117" t="s">
        <v>2973</v>
      </c>
      <c r="H1003" s="117" t="s">
        <v>2974</v>
      </c>
      <c r="I1003" s="117">
        <v>1.0</v>
      </c>
      <c r="J1003" s="117">
        <v>1.0</v>
      </c>
      <c r="K1003" s="117" t="str">
        <f t="shared" si="1"/>
        <v>No</v>
      </c>
      <c r="L1003" s="118" t="s">
        <v>116</v>
      </c>
      <c r="M1003" s="119">
        <v>0.25</v>
      </c>
      <c r="N1003" s="120">
        <v>1.0</v>
      </c>
      <c r="O1003" s="121">
        <v>91.32</v>
      </c>
      <c r="P1003" s="117">
        <v>1.0</v>
      </c>
      <c r="Q1003" s="117">
        <f t="shared" si="2"/>
        <v>5</v>
      </c>
      <c r="R1003" s="122">
        <f>+(IF(((M1003*24)-P1003)&lt;0,0,((M1003*24)-P1003)*'Estimación de pérdidas'!$F$72))*N1003</f>
        <v>288390.3746</v>
      </c>
      <c r="S1003" s="123" t="s">
        <v>117</v>
      </c>
      <c r="T1003" s="124" t="s">
        <v>118</v>
      </c>
      <c r="U1003" s="124">
        <f t="shared" si="3"/>
        <v>3</v>
      </c>
      <c r="V1003" s="124">
        <v>1.0</v>
      </c>
      <c r="W1003" s="124"/>
      <c r="X1003" s="125"/>
      <c r="Y1003" s="126"/>
      <c r="Z1003" s="125">
        <f t="shared" si="4"/>
        <v>3</v>
      </c>
      <c r="AA1003" s="127" t="str">
        <f t="shared" si="5"/>
        <v>Moderado</v>
      </c>
      <c r="AB1003" s="128">
        <f t="shared" si="6"/>
        <v>9</v>
      </c>
      <c r="AC1003" s="129">
        <f t="shared" si="7"/>
        <v>0.113137085</v>
      </c>
      <c r="AD1003" s="131"/>
    </row>
    <row r="1004" ht="14.25" hidden="1" customHeight="1">
      <c r="A1004" s="116" t="s">
        <v>1145</v>
      </c>
      <c r="B1004" s="117" t="s">
        <v>1145</v>
      </c>
      <c r="C1004" s="117" t="s">
        <v>2969</v>
      </c>
      <c r="D1004" s="117" t="s">
        <v>2999</v>
      </c>
      <c r="E1004" s="117" t="s">
        <v>3000</v>
      </c>
      <c r="F1004" s="117" t="s">
        <v>2972</v>
      </c>
      <c r="G1004" s="117" t="s">
        <v>2973</v>
      </c>
      <c r="H1004" s="117" t="s">
        <v>2974</v>
      </c>
      <c r="I1004" s="117">
        <v>1.0</v>
      </c>
      <c r="J1004" s="117">
        <v>1.0</v>
      </c>
      <c r="K1004" s="117" t="str">
        <f t="shared" si="1"/>
        <v>No</v>
      </c>
      <c r="L1004" s="118" t="s">
        <v>116</v>
      </c>
      <c r="M1004" s="119">
        <v>0.25</v>
      </c>
      <c r="N1004" s="120">
        <v>1.0</v>
      </c>
      <c r="O1004" s="121">
        <v>91.32</v>
      </c>
      <c r="P1004" s="117">
        <v>1.0</v>
      </c>
      <c r="Q1004" s="117">
        <f t="shared" si="2"/>
        <v>5</v>
      </c>
      <c r="R1004" s="122">
        <f>+(IF(((M1004*24)-P1004)&lt;0,0,((M1004*24)-P1004)*'Estimación de pérdidas'!$F$72))*N1004</f>
        <v>288390.3746</v>
      </c>
      <c r="S1004" s="123" t="s">
        <v>117</v>
      </c>
      <c r="T1004" s="124" t="s">
        <v>118</v>
      </c>
      <c r="U1004" s="124">
        <f t="shared" si="3"/>
        <v>3</v>
      </c>
      <c r="V1004" s="124">
        <v>1.0</v>
      </c>
      <c r="W1004" s="124"/>
      <c r="X1004" s="125"/>
      <c r="Y1004" s="126"/>
      <c r="Z1004" s="125">
        <f t="shared" si="4"/>
        <v>3</v>
      </c>
      <c r="AA1004" s="127" t="str">
        <f t="shared" si="5"/>
        <v>Moderado</v>
      </c>
      <c r="AB1004" s="128">
        <f t="shared" si="6"/>
        <v>9</v>
      </c>
      <c r="AC1004" s="129">
        <f t="shared" si="7"/>
        <v>0.113137085</v>
      </c>
      <c r="AD1004" s="131"/>
    </row>
    <row r="1005" ht="14.25" hidden="1" customHeight="1">
      <c r="A1005" s="116" t="s">
        <v>1145</v>
      </c>
      <c r="B1005" s="117" t="s">
        <v>1145</v>
      </c>
      <c r="C1005" s="117" t="s">
        <v>2969</v>
      </c>
      <c r="D1005" s="117" t="s">
        <v>3001</v>
      </c>
      <c r="E1005" s="117" t="s">
        <v>3002</v>
      </c>
      <c r="F1005" s="117" t="s">
        <v>2972</v>
      </c>
      <c r="G1005" s="117" t="s">
        <v>2973</v>
      </c>
      <c r="H1005" s="117" t="s">
        <v>2974</v>
      </c>
      <c r="I1005" s="117">
        <v>1.0</v>
      </c>
      <c r="J1005" s="117">
        <v>1.0</v>
      </c>
      <c r="K1005" s="117" t="str">
        <f t="shared" si="1"/>
        <v>No</v>
      </c>
      <c r="L1005" s="118" t="s">
        <v>116</v>
      </c>
      <c r="M1005" s="119">
        <v>0.25</v>
      </c>
      <c r="N1005" s="120">
        <v>1.0</v>
      </c>
      <c r="O1005" s="121">
        <v>91.32</v>
      </c>
      <c r="P1005" s="117">
        <v>1.0</v>
      </c>
      <c r="Q1005" s="117">
        <f t="shared" si="2"/>
        <v>5</v>
      </c>
      <c r="R1005" s="122">
        <f>+(IF(((M1005*24)-P1005)&lt;0,0,((M1005*24)-P1005)*'Estimación de pérdidas'!$F$72))*N1005</f>
        <v>288390.3746</v>
      </c>
      <c r="S1005" s="123" t="s">
        <v>117</v>
      </c>
      <c r="T1005" s="124" t="s">
        <v>118</v>
      </c>
      <c r="U1005" s="124">
        <f t="shared" si="3"/>
        <v>3</v>
      </c>
      <c r="V1005" s="124">
        <v>1.0</v>
      </c>
      <c r="W1005" s="124"/>
      <c r="X1005" s="125"/>
      <c r="Y1005" s="126"/>
      <c r="Z1005" s="125">
        <f t="shared" si="4"/>
        <v>3</v>
      </c>
      <c r="AA1005" s="127" t="str">
        <f t="shared" si="5"/>
        <v>Moderado</v>
      </c>
      <c r="AB1005" s="128">
        <f t="shared" si="6"/>
        <v>9</v>
      </c>
      <c r="AC1005" s="129">
        <f t="shared" si="7"/>
        <v>0.113137085</v>
      </c>
      <c r="AD1005" s="131"/>
    </row>
    <row r="1006" ht="14.25" hidden="1" customHeight="1">
      <c r="A1006" s="116" t="s">
        <v>847</v>
      </c>
      <c r="B1006" s="117" t="s">
        <v>2952</v>
      </c>
      <c r="C1006" s="117" t="s">
        <v>2969</v>
      </c>
      <c r="D1006" s="117" t="s">
        <v>3003</v>
      </c>
      <c r="E1006" s="117" t="s">
        <v>2969</v>
      </c>
      <c r="F1006" s="117" t="s">
        <v>2972</v>
      </c>
      <c r="G1006" s="117" t="s">
        <v>2973</v>
      </c>
      <c r="H1006" s="117" t="s">
        <v>2974</v>
      </c>
      <c r="I1006" s="117">
        <v>1.0</v>
      </c>
      <c r="J1006" s="117">
        <v>1.0</v>
      </c>
      <c r="K1006" s="117" t="str">
        <f t="shared" si="1"/>
        <v>No</v>
      </c>
      <c r="L1006" s="118" t="s">
        <v>116</v>
      </c>
      <c r="M1006" s="119">
        <v>0.25</v>
      </c>
      <c r="N1006" s="120">
        <v>1.0</v>
      </c>
      <c r="O1006" s="121">
        <v>91.32</v>
      </c>
      <c r="P1006" s="117">
        <v>1.0</v>
      </c>
      <c r="Q1006" s="117">
        <f t="shared" si="2"/>
        <v>5</v>
      </c>
      <c r="R1006" s="122">
        <f>+(IF(((M1006*24)-P1006)&lt;0,0,((M1006*24)-P1006)*'Estimación de pérdidas'!$F$72))*N1006</f>
        <v>288390.3746</v>
      </c>
      <c r="S1006" s="123" t="s">
        <v>117</v>
      </c>
      <c r="T1006" s="124" t="s">
        <v>118</v>
      </c>
      <c r="U1006" s="124">
        <f t="shared" si="3"/>
        <v>3</v>
      </c>
      <c r="V1006" s="124">
        <v>1.0</v>
      </c>
      <c r="W1006" s="124"/>
      <c r="X1006" s="125"/>
      <c r="Y1006" s="126"/>
      <c r="Z1006" s="125">
        <f t="shared" si="4"/>
        <v>3</v>
      </c>
      <c r="AA1006" s="127" t="str">
        <f t="shared" si="5"/>
        <v>Moderado</v>
      </c>
      <c r="AB1006" s="128">
        <f t="shared" si="6"/>
        <v>9</v>
      </c>
      <c r="AC1006" s="129">
        <f t="shared" si="7"/>
        <v>0.113137085</v>
      </c>
      <c r="AD1006" s="131"/>
    </row>
    <row r="1007" ht="14.25" hidden="1" customHeight="1">
      <c r="A1007" s="116" t="s">
        <v>1820</v>
      </c>
      <c r="B1007" s="117" t="s">
        <v>1820</v>
      </c>
      <c r="C1007" s="117" t="s">
        <v>2969</v>
      </c>
      <c r="D1007" s="117" t="s">
        <v>3004</v>
      </c>
      <c r="E1007" s="117" t="s">
        <v>3005</v>
      </c>
      <c r="F1007" s="117" t="s">
        <v>2972</v>
      </c>
      <c r="G1007" s="117" t="s">
        <v>2973</v>
      </c>
      <c r="H1007" s="117" t="s">
        <v>2974</v>
      </c>
      <c r="I1007" s="117">
        <v>1.0</v>
      </c>
      <c r="J1007" s="117">
        <v>1.0</v>
      </c>
      <c r="K1007" s="117" t="str">
        <f t="shared" si="1"/>
        <v>No</v>
      </c>
      <c r="L1007" s="118" t="s">
        <v>116</v>
      </c>
      <c r="M1007" s="119">
        <v>0.25</v>
      </c>
      <c r="N1007" s="120">
        <v>1.0</v>
      </c>
      <c r="O1007" s="121">
        <v>91.32</v>
      </c>
      <c r="P1007" s="117">
        <v>1.0</v>
      </c>
      <c r="Q1007" s="117">
        <f t="shared" si="2"/>
        <v>5</v>
      </c>
      <c r="R1007" s="122">
        <f>+(IF(((M1007*24)-P1007)&lt;0,0,((M1007*24)-P1007)*'Estimación de pérdidas'!$F$72))*N1007</f>
        <v>288390.3746</v>
      </c>
      <c r="S1007" s="123" t="s">
        <v>117</v>
      </c>
      <c r="T1007" s="124" t="s">
        <v>118</v>
      </c>
      <c r="U1007" s="124">
        <f t="shared" si="3"/>
        <v>3</v>
      </c>
      <c r="V1007" s="124">
        <v>1.0</v>
      </c>
      <c r="W1007" s="124"/>
      <c r="X1007" s="125"/>
      <c r="Y1007" s="126"/>
      <c r="Z1007" s="125">
        <f t="shared" si="4"/>
        <v>3</v>
      </c>
      <c r="AA1007" s="127" t="str">
        <f t="shared" si="5"/>
        <v>Moderado</v>
      </c>
      <c r="AB1007" s="128">
        <f t="shared" si="6"/>
        <v>9</v>
      </c>
      <c r="AC1007" s="129">
        <f t="shared" si="7"/>
        <v>0.113137085</v>
      </c>
      <c r="AD1007" s="131"/>
    </row>
    <row r="1008" ht="14.25" hidden="1" customHeight="1">
      <c r="A1008" s="116" t="s">
        <v>1969</v>
      </c>
      <c r="B1008" s="117" t="s">
        <v>1969</v>
      </c>
      <c r="C1008" s="117" t="s">
        <v>3006</v>
      </c>
      <c r="D1008" s="117" t="s">
        <v>3007</v>
      </c>
      <c r="E1008" s="117" t="s">
        <v>3006</v>
      </c>
      <c r="F1008" s="117" t="s">
        <v>3008</v>
      </c>
      <c r="G1008" s="117" t="s">
        <v>3009</v>
      </c>
      <c r="H1008" s="117" t="s">
        <v>3010</v>
      </c>
      <c r="I1008" s="117">
        <v>1.0</v>
      </c>
      <c r="J1008" s="117">
        <v>1.0</v>
      </c>
      <c r="K1008" s="117" t="str">
        <f t="shared" si="1"/>
        <v>No</v>
      </c>
      <c r="L1008" s="118" t="s">
        <v>116</v>
      </c>
      <c r="M1008" s="119">
        <v>0.25</v>
      </c>
      <c r="N1008" s="120">
        <v>0.0</v>
      </c>
      <c r="O1008" s="121">
        <v>91.32</v>
      </c>
      <c r="P1008" s="117">
        <v>1.0</v>
      </c>
      <c r="Q1008" s="117">
        <f t="shared" si="2"/>
        <v>0</v>
      </c>
      <c r="R1008" s="122">
        <f>+(IF(((M1008*24)-P1008)&lt;0,0,((M1008*24)-P1008)*'Estimación de pérdidas'!$F$72))*N1008</f>
        <v>0</v>
      </c>
      <c r="S1008" s="123" t="s">
        <v>117</v>
      </c>
      <c r="T1008" s="124" t="s">
        <v>119</v>
      </c>
      <c r="U1008" s="124">
        <f t="shared" si="3"/>
        <v>1</v>
      </c>
      <c r="V1008" s="124">
        <v>1.0</v>
      </c>
      <c r="W1008" s="124"/>
      <c r="X1008" s="125"/>
      <c r="Y1008" s="126"/>
      <c r="Z1008" s="125">
        <f t="shared" si="4"/>
        <v>1</v>
      </c>
      <c r="AA1008" s="127" t="str">
        <f t="shared" si="5"/>
        <v>Bajo</v>
      </c>
      <c r="AB1008" s="128">
        <f t="shared" si="6"/>
        <v>4</v>
      </c>
      <c r="AC1008" s="129">
        <f t="shared" si="7"/>
        <v>0.07589466384</v>
      </c>
    </row>
    <row r="1009" ht="14.25" hidden="1" customHeight="1">
      <c r="A1009" s="116" t="s">
        <v>108</v>
      </c>
      <c r="B1009" s="117" t="s">
        <v>109</v>
      </c>
      <c r="C1009" s="117" t="s">
        <v>3006</v>
      </c>
      <c r="D1009" s="117" t="s">
        <v>3011</v>
      </c>
      <c r="E1009" s="117" t="s">
        <v>3006</v>
      </c>
      <c r="F1009" s="117" t="s">
        <v>3008</v>
      </c>
      <c r="G1009" s="117" t="s">
        <v>3009</v>
      </c>
      <c r="H1009" s="117" t="s">
        <v>3010</v>
      </c>
      <c r="I1009" s="117">
        <v>1.0</v>
      </c>
      <c r="J1009" s="117">
        <v>1.0</v>
      </c>
      <c r="K1009" s="117" t="str">
        <f t="shared" si="1"/>
        <v>No</v>
      </c>
      <c r="L1009" s="118" t="s">
        <v>116</v>
      </c>
      <c r="M1009" s="119">
        <v>0.25</v>
      </c>
      <c r="N1009" s="120">
        <v>0.0</v>
      </c>
      <c r="O1009" s="121">
        <v>70.0</v>
      </c>
      <c r="P1009" s="117">
        <v>10.0</v>
      </c>
      <c r="Q1009" s="117">
        <f t="shared" si="2"/>
        <v>0</v>
      </c>
      <c r="R1009" s="122">
        <f>+(IF(((M1009*24)-P1009)&lt;0,0,((M1009*24)-P1009)*'Estimación de pérdidas'!$F$72))*N1009</f>
        <v>0</v>
      </c>
      <c r="S1009" s="123" t="s">
        <v>117</v>
      </c>
      <c r="T1009" s="124" t="s">
        <v>119</v>
      </c>
      <c r="U1009" s="124">
        <f t="shared" si="3"/>
        <v>1</v>
      </c>
      <c r="V1009" s="124">
        <v>1.0</v>
      </c>
      <c r="W1009" s="124"/>
      <c r="X1009" s="125"/>
      <c r="Y1009" s="126"/>
      <c r="Z1009" s="125">
        <f t="shared" si="4"/>
        <v>1</v>
      </c>
      <c r="AA1009" s="127" t="str">
        <f t="shared" si="5"/>
        <v>Bajo</v>
      </c>
      <c r="AB1009" s="128">
        <f t="shared" si="6"/>
        <v>4</v>
      </c>
      <c r="AC1009" s="129">
        <f t="shared" si="7"/>
        <v>0.07589466384</v>
      </c>
    </row>
    <row r="1010" ht="14.25" hidden="1" customHeight="1">
      <c r="A1010" s="116" t="s">
        <v>221</v>
      </c>
      <c r="B1010" s="117" t="s">
        <v>222</v>
      </c>
      <c r="C1010" s="117" t="s">
        <v>3006</v>
      </c>
      <c r="D1010" s="117" t="s">
        <v>3012</v>
      </c>
      <c r="E1010" s="117" t="s">
        <v>3006</v>
      </c>
      <c r="F1010" s="117" t="s">
        <v>3008</v>
      </c>
      <c r="G1010" s="117" t="s">
        <v>3009</v>
      </c>
      <c r="H1010" s="117" t="s">
        <v>3010</v>
      </c>
      <c r="I1010" s="117">
        <v>1.0</v>
      </c>
      <c r="J1010" s="117">
        <v>1.0</v>
      </c>
      <c r="K1010" s="117" t="str">
        <f t="shared" si="1"/>
        <v>No</v>
      </c>
      <c r="L1010" s="118" t="s">
        <v>116</v>
      </c>
      <c r="M1010" s="119">
        <v>0.25</v>
      </c>
      <c r="N1010" s="120">
        <v>0.0</v>
      </c>
      <c r="O1010" s="121">
        <v>91.32</v>
      </c>
      <c r="P1010" s="117">
        <v>1.0</v>
      </c>
      <c r="Q1010" s="117">
        <f t="shared" si="2"/>
        <v>0</v>
      </c>
      <c r="R1010" s="122">
        <f>+(IF(((M1010*24)-P1010)&lt;0,0,((M1010*24)-P1010)*'Estimación de pérdidas'!$F$72))*N1010</f>
        <v>0</v>
      </c>
      <c r="S1010" s="123" t="s">
        <v>117</v>
      </c>
      <c r="T1010" s="124" t="s">
        <v>119</v>
      </c>
      <c r="U1010" s="124">
        <f t="shared" si="3"/>
        <v>1</v>
      </c>
      <c r="V1010" s="124">
        <v>1.0</v>
      </c>
      <c r="W1010" s="124"/>
      <c r="X1010" s="125"/>
      <c r="Y1010" s="126"/>
      <c r="Z1010" s="125">
        <f t="shared" si="4"/>
        <v>1</v>
      </c>
      <c r="AA1010" s="127" t="str">
        <f t="shared" si="5"/>
        <v>Bajo</v>
      </c>
      <c r="AB1010" s="128">
        <f t="shared" si="6"/>
        <v>4</v>
      </c>
      <c r="AC1010" s="129">
        <f t="shared" si="7"/>
        <v>0.07589466384</v>
      </c>
    </row>
    <row r="1011" ht="14.25" hidden="1" customHeight="1">
      <c r="A1011" s="116" t="s">
        <v>221</v>
      </c>
      <c r="B1011" s="117" t="s">
        <v>222</v>
      </c>
      <c r="C1011" s="117" t="s">
        <v>3006</v>
      </c>
      <c r="D1011" s="117" t="s">
        <v>3013</v>
      </c>
      <c r="E1011" s="117" t="s">
        <v>3006</v>
      </c>
      <c r="F1011" s="117" t="s">
        <v>3008</v>
      </c>
      <c r="G1011" s="117" t="s">
        <v>3009</v>
      </c>
      <c r="H1011" s="117" t="s">
        <v>3010</v>
      </c>
      <c r="I1011" s="117">
        <v>1.0</v>
      </c>
      <c r="J1011" s="117">
        <v>1.0</v>
      </c>
      <c r="K1011" s="117" t="str">
        <f t="shared" si="1"/>
        <v>No</v>
      </c>
      <c r="L1011" s="118" t="s">
        <v>116</v>
      </c>
      <c r="M1011" s="119">
        <v>0.25</v>
      </c>
      <c r="N1011" s="120">
        <v>0.0</v>
      </c>
      <c r="O1011" s="121">
        <v>91.32</v>
      </c>
      <c r="P1011" s="117">
        <v>1.0</v>
      </c>
      <c r="Q1011" s="117">
        <f t="shared" si="2"/>
        <v>0</v>
      </c>
      <c r="R1011" s="122">
        <f>+(IF(((M1011*24)-P1011)&lt;0,0,((M1011*24)-P1011)*'Estimación de pérdidas'!$F$72))*N1011</f>
        <v>0</v>
      </c>
      <c r="S1011" s="123" t="s">
        <v>117</v>
      </c>
      <c r="T1011" s="124" t="s">
        <v>119</v>
      </c>
      <c r="U1011" s="124">
        <f t="shared" si="3"/>
        <v>1</v>
      </c>
      <c r="V1011" s="124">
        <v>1.0</v>
      </c>
      <c r="W1011" s="124"/>
      <c r="X1011" s="125"/>
      <c r="Y1011" s="126"/>
      <c r="Z1011" s="125">
        <f t="shared" si="4"/>
        <v>1</v>
      </c>
      <c r="AA1011" s="127" t="str">
        <f t="shared" si="5"/>
        <v>Bajo</v>
      </c>
      <c r="AB1011" s="128">
        <f t="shared" si="6"/>
        <v>4</v>
      </c>
      <c r="AC1011" s="129">
        <f t="shared" si="7"/>
        <v>0.07589466384</v>
      </c>
    </row>
    <row r="1012" ht="14.25" hidden="1" customHeight="1">
      <c r="A1012" s="116" t="s">
        <v>300</v>
      </c>
      <c r="B1012" s="117" t="s">
        <v>331</v>
      </c>
      <c r="C1012" s="117" t="s">
        <v>3006</v>
      </c>
      <c r="D1012" s="117" t="s">
        <v>3014</v>
      </c>
      <c r="E1012" s="117" t="s">
        <v>3006</v>
      </c>
      <c r="F1012" s="117" t="s">
        <v>3008</v>
      </c>
      <c r="G1012" s="117" t="s">
        <v>3009</v>
      </c>
      <c r="H1012" s="117" t="s">
        <v>3010</v>
      </c>
      <c r="I1012" s="117">
        <v>1.0</v>
      </c>
      <c r="J1012" s="117">
        <v>1.0</v>
      </c>
      <c r="K1012" s="117" t="str">
        <f t="shared" si="1"/>
        <v>No</v>
      </c>
      <c r="L1012" s="118" t="s">
        <v>116</v>
      </c>
      <c r="M1012" s="119">
        <v>0.25</v>
      </c>
      <c r="N1012" s="120">
        <v>0.0</v>
      </c>
      <c r="O1012" s="121">
        <v>91.32</v>
      </c>
      <c r="P1012" s="117">
        <v>1.0</v>
      </c>
      <c r="Q1012" s="117">
        <f t="shared" si="2"/>
        <v>0</v>
      </c>
      <c r="R1012" s="122">
        <f>+(IF(((M1012*24)-P1012)&lt;0,0,((M1012*24)-P1012)*'Estimación de pérdidas'!$F$72))*N1012</f>
        <v>0</v>
      </c>
      <c r="S1012" s="123" t="s">
        <v>117</v>
      </c>
      <c r="T1012" s="124" t="s">
        <v>119</v>
      </c>
      <c r="U1012" s="124">
        <f t="shared" si="3"/>
        <v>1</v>
      </c>
      <c r="V1012" s="124">
        <v>1.0</v>
      </c>
      <c r="W1012" s="124"/>
      <c r="X1012" s="125"/>
      <c r="Y1012" s="126"/>
      <c r="Z1012" s="125">
        <f t="shared" si="4"/>
        <v>1</v>
      </c>
      <c r="AA1012" s="127" t="str">
        <f t="shared" si="5"/>
        <v>Bajo</v>
      </c>
      <c r="AB1012" s="128">
        <f t="shared" si="6"/>
        <v>4</v>
      </c>
      <c r="AC1012" s="129">
        <f t="shared" si="7"/>
        <v>0.07589466384</v>
      </c>
    </row>
    <row r="1013" ht="14.25" hidden="1" customHeight="1">
      <c r="A1013" s="116" t="s">
        <v>480</v>
      </c>
      <c r="B1013" s="117" t="s">
        <v>511</v>
      </c>
      <c r="C1013" s="117" t="s">
        <v>3006</v>
      </c>
      <c r="D1013" s="117" t="s">
        <v>3015</v>
      </c>
      <c r="E1013" s="117" t="s">
        <v>3006</v>
      </c>
      <c r="F1013" s="117" t="s">
        <v>3008</v>
      </c>
      <c r="G1013" s="117" t="s">
        <v>3009</v>
      </c>
      <c r="H1013" s="117" t="s">
        <v>3010</v>
      </c>
      <c r="I1013" s="117">
        <v>1.0</v>
      </c>
      <c r="J1013" s="117">
        <v>1.0</v>
      </c>
      <c r="K1013" s="117" t="str">
        <f t="shared" si="1"/>
        <v>No</v>
      </c>
      <c r="L1013" s="118" t="s">
        <v>116</v>
      </c>
      <c r="M1013" s="119">
        <v>0.25</v>
      </c>
      <c r="N1013" s="120">
        <v>0.0</v>
      </c>
      <c r="O1013" s="121">
        <v>91.32</v>
      </c>
      <c r="P1013" s="117">
        <v>1.0</v>
      </c>
      <c r="Q1013" s="117">
        <f t="shared" si="2"/>
        <v>0</v>
      </c>
      <c r="R1013" s="122">
        <f>+(IF(((M1013*24)-P1013)&lt;0,0,((M1013*24)-P1013)*'Estimación de pérdidas'!$F$72))*N1013</f>
        <v>0</v>
      </c>
      <c r="S1013" s="123" t="s">
        <v>117</v>
      </c>
      <c r="T1013" s="124" t="s">
        <v>119</v>
      </c>
      <c r="U1013" s="124">
        <f t="shared" si="3"/>
        <v>1</v>
      </c>
      <c r="V1013" s="124">
        <v>1.0</v>
      </c>
      <c r="W1013" s="124"/>
      <c r="X1013" s="125"/>
      <c r="Y1013" s="126"/>
      <c r="Z1013" s="125">
        <f t="shared" si="4"/>
        <v>1</v>
      </c>
      <c r="AA1013" s="127" t="str">
        <f t="shared" si="5"/>
        <v>Bajo</v>
      </c>
      <c r="AB1013" s="128">
        <f t="shared" si="6"/>
        <v>4</v>
      </c>
      <c r="AC1013" s="129">
        <f t="shared" si="7"/>
        <v>0.07589466384</v>
      </c>
    </row>
    <row r="1014" ht="14.25" hidden="1" customHeight="1">
      <c r="A1014" s="116" t="s">
        <v>539</v>
      </c>
      <c r="B1014" s="117" t="s">
        <v>540</v>
      </c>
      <c r="C1014" s="117" t="s">
        <v>3006</v>
      </c>
      <c r="D1014" s="117" t="s">
        <v>3016</v>
      </c>
      <c r="E1014" s="117" t="s">
        <v>3006</v>
      </c>
      <c r="F1014" s="117" t="s">
        <v>3008</v>
      </c>
      <c r="G1014" s="117" t="s">
        <v>3009</v>
      </c>
      <c r="H1014" s="117" t="s">
        <v>3010</v>
      </c>
      <c r="I1014" s="117">
        <v>1.0</v>
      </c>
      <c r="J1014" s="117">
        <v>1.0</v>
      </c>
      <c r="K1014" s="117" t="str">
        <f t="shared" si="1"/>
        <v>No</v>
      </c>
      <c r="L1014" s="118" t="s">
        <v>116</v>
      </c>
      <c r="M1014" s="119">
        <v>0.25</v>
      </c>
      <c r="N1014" s="120">
        <v>0.0</v>
      </c>
      <c r="O1014" s="121">
        <v>91.32</v>
      </c>
      <c r="P1014" s="117">
        <v>1.0</v>
      </c>
      <c r="Q1014" s="117">
        <f t="shared" si="2"/>
        <v>0</v>
      </c>
      <c r="R1014" s="122">
        <f>+(IF(((M1014*24)-P1014)&lt;0,0,((M1014*24)-P1014)*'Estimación de pérdidas'!$F$72))*N1014</f>
        <v>0</v>
      </c>
      <c r="S1014" s="123" t="s">
        <v>117</v>
      </c>
      <c r="T1014" s="124" t="s">
        <v>119</v>
      </c>
      <c r="U1014" s="124">
        <f t="shared" si="3"/>
        <v>1</v>
      </c>
      <c r="V1014" s="124">
        <v>1.0</v>
      </c>
      <c r="W1014" s="124"/>
      <c r="X1014" s="125"/>
      <c r="Y1014" s="126"/>
      <c r="Z1014" s="125">
        <f t="shared" si="4"/>
        <v>1</v>
      </c>
      <c r="AA1014" s="127" t="str">
        <f t="shared" si="5"/>
        <v>Bajo</v>
      </c>
      <c r="AB1014" s="128">
        <f t="shared" si="6"/>
        <v>4</v>
      </c>
      <c r="AC1014" s="129">
        <f t="shared" si="7"/>
        <v>0.07589466384</v>
      </c>
    </row>
    <row r="1015" ht="14.25" hidden="1" customHeight="1">
      <c r="A1015" s="116" t="s">
        <v>539</v>
      </c>
      <c r="B1015" s="117" t="s">
        <v>575</v>
      </c>
      <c r="C1015" s="117" t="s">
        <v>3006</v>
      </c>
      <c r="D1015" s="117" t="s">
        <v>3017</v>
      </c>
      <c r="E1015" s="117" t="s">
        <v>3006</v>
      </c>
      <c r="F1015" s="117" t="s">
        <v>3008</v>
      </c>
      <c r="G1015" s="117" t="s">
        <v>3009</v>
      </c>
      <c r="H1015" s="117" t="s">
        <v>3010</v>
      </c>
      <c r="I1015" s="117">
        <v>1.0</v>
      </c>
      <c r="J1015" s="117">
        <v>1.0</v>
      </c>
      <c r="K1015" s="117" t="str">
        <f t="shared" si="1"/>
        <v>No</v>
      </c>
      <c r="L1015" s="118" t="s">
        <v>116</v>
      </c>
      <c r="M1015" s="119">
        <v>0.25</v>
      </c>
      <c r="N1015" s="120">
        <v>0.0</v>
      </c>
      <c r="O1015" s="121">
        <v>91.32</v>
      </c>
      <c r="P1015" s="117">
        <v>1.0</v>
      </c>
      <c r="Q1015" s="117">
        <f t="shared" si="2"/>
        <v>0</v>
      </c>
      <c r="R1015" s="122">
        <f>+(IF(((M1015*24)-P1015)&lt;0,0,((M1015*24)-P1015)*'Estimación de pérdidas'!$F$72))*N1015</f>
        <v>0</v>
      </c>
      <c r="S1015" s="123" t="s">
        <v>117</v>
      </c>
      <c r="T1015" s="124" t="s">
        <v>119</v>
      </c>
      <c r="U1015" s="124">
        <f t="shared" si="3"/>
        <v>1</v>
      </c>
      <c r="V1015" s="124">
        <v>1.0</v>
      </c>
      <c r="W1015" s="124"/>
      <c r="X1015" s="125"/>
      <c r="Y1015" s="126"/>
      <c r="Z1015" s="125">
        <f t="shared" si="4"/>
        <v>1</v>
      </c>
      <c r="AA1015" s="127" t="str">
        <f t="shared" si="5"/>
        <v>Bajo</v>
      </c>
      <c r="AB1015" s="128">
        <f t="shared" si="6"/>
        <v>4</v>
      </c>
      <c r="AC1015" s="129">
        <f t="shared" si="7"/>
        <v>0.07589466384</v>
      </c>
    </row>
    <row r="1016" ht="14.25" hidden="1" customHeight="1">
      <c r="A1016" s="116" t="s">
        <v>1345</v>
      </c>
      <c r="B1016" s="117" t="s">
        <v>1378</v>
      </c>
      <c r="C1016" s="117" t="s">
        <v>3006</v>
      </c>
      <c r="D1016" s="117" t="s">
        <v>3018</v>
      </c>
      <c r="E1016" s="117" t="s">
        <v>3006</v>
      </c>
      <c r="F1016" s="117" t="s">
        <v>3008</v>
      </c>
      <c r="G1016" s="117" t="s">
        <v>3009</v>
      </c>
      <c r="H1016" s="117" t="s">
        <v>3010</v>
      </c>
      <c r="I1016" s="117">
        <v>1.0</v>
      </c>
      <c r="J1016" s="117">
        <v>1.0</v>
      </c>
      <c r="K1016" s="117" t="str">
        <f t="shared" si="1"/>
        <v>No</v>
      </c>
      <c r="L1016" s="118" t="s">
        <v>116</v>
      </c>
      <c r="M1016" s="119">
        <v>0.25</v>
      </c>
      <c r="N1016" s="120">
        <v>0.0</v>
      </c>
      <c r="O1016" s="121">
        <v>91.32</v>
      </c>
      <c r="P1016" s="117">
        <v>1.0</v>
      </c>
      <c r="Q1016" s="117">
        <f t="shared" si="2"/>
        <v>0</v>
      </c>
      <c r="R1016" s="122">
        <f>+(IF(((M1016*24)-P1016)&lt;0,0,((M1016*24)-P1016)*'Estimación de pérdidas'!$F$72))*N1016</f>
        <v>0</v>
      </c>
      <c r="S1016" s="123" t="s">
        <v>117</v>
      </c>
      <c r="T1016" s="124" t="s">
        <v>119</v>
      </c>
      <c r="U1016" s="124">
        <f t="shared" si="3"/>
        <v>1</v>
      </c>
      <c r="V1016" s="124">
        <v>1.0</v>
      </c>
      <c r="W1016" s="124"/>
      <c r="X1016" s="125"/>
      <c r="Y1016" s="126"/>
      <c r="Z1016" s="125">
        <f t="shared" si="4"/>
        <v>1</v>
      </c>
      <c r="AA1016" s="127" t="str">
        <f t="shared" si="5"/>
        <v>Bajo</v>
      </c>
      <c r="AB1016" s="128">
        <f t="shared" si="6"/>
        <v>4</v>
      </c>
      <c r="AC1016" s="129">
        <f t="shared" si="7"/>
        <v>0.07589466384</v>
      </c>
    </row>
    <row r="1017" ht="14.25" hidden="1" customHeight="1">
      <c r="A1017" s="116" t="s">
        <v>1345</v>
      </c>
      <c r="B1017" s="117" t="s">
        <v>1414</v>
      </c>
      <c r="C1017" s="117" t="s">
        <v>3006</v>
      </c>
      <c r="D1017" s="117" t="s">
        <v>3019</v>
      </c>
      <c r="E1017" s="117" t="s">
        <v>3006</v>
      </c>
      <c r="F1017" s="117" t="s">
        <v>3008</v>
      </c>
      <c r="G1017" s="117" t="s">
        <v>3009</v>
      </c>
      <c r="H1017" s="117" t="s">
        <v>3010</v>
      </c>
      <c r="I1017" s="117">
        <v>1.0</v>
      </c>
      <c r="J1017" s="117">
        <v>1.0</v>
      </c>
      <c r="K1017" s="117" t="str">
        <f t="shared" si="1"/>
        <v>No</v>
      </c>
      <c r="L1017" s="118" t="s">
        <v>116</v>
      </c>
      <c r="M1017" s="119">
        <v>0.25</v>
      </c>
      <c r="N1017" s="120">
        <v>0.0</v>
      </c>
      <c r="O1017" s="121">
        <v>91.32</v>
      </c>
      <c r="P1017" s="117">
        <v>1.0</v>
      </c>
      <c r="Q1017" s="117">
        <f t="shared" si="2"/>
        <v>0</v>
      </c>
      <c r="R1017" s="122">
        <f>+(IF(((M1017*24)-P1017)&lt;0,0,((M1017*24)-P1017)*'Estimación de pérdidas'!$F$72))*N1017</f>
        <v>0</v>
      </c>
      <c r="S1017" s="123" t="s">
        <v>117</v>
      </c>
      <c r="T1017" s="124" t="s">
        <v>119</v>
      </c>
      <c r="U1017" s="124">
        <f t="shared" si="3"/>
        <v>1</v>
      </c>
      <c r="V1017" s="124">
        <v>1.0</v>
      </c>
      <c r="W1017" s="124"/>
      <c r="X1017" s="125"/>
      <c r="Y1017" s="126"/>
      <c r="Z1017" s="125">
        <f t="shared" si="4"/>
        <v>1</v>
      </c>
      <c r="AA1017" s="127" t="str">
        <f t="shared" si="5"/>
        <v>Bajo</v>
      </c>
      <c r="AB1017" s="128">
        <f t="shared" si="6"/>
        <v>4</v>
      </c>
      <c r="AC1017" s="129">
        <f t="shared" si="7"/>
        <v>0.07589466384</v>
      </c>
    </row>
    <row r="1018" ht="14.25" hidden="1" customHeight="1">
      <c r="A1018" s="116" t="s">
        <v>847</v>
      </c>
      <c r="B1018" s="117" t="s">
        <v>1602</v>
      </c>
      <c r="C1018" s="117" t="s">
        <v>3006</v>
      </c>
      <c r="D1018" s="117" t="s">
        <v>3020</v>
      </c>
      <c r="E1018" s="117" t="s">
        <v>3006</v>
      </c>
      <c r="F1018" s="117" t="s">
        <v>3008</v>
      </c>
      <c r="G1018" s="117" t="s">
        <v>3009</v>
      </c>
      <c r="H1018" s="117" t="s">
        <v>3010</v>
      </c>
      <c r="I1018" s="117">
        <v>1.0</v>
      </c>
      <c r="J1018" s="117">
        <v>1.0</v>
      </c>
      <c r="K1018" s="117" t="str">
        <f t="shared" si="1"/>
        <v>No</v>
      </c>
      <c r="L1018" s="118" t="s">
        <v>116</v>
      </c>
      <c r="M1018" s="119">
        <v>0.25</v>
      </c>
      <c r="N1018" s="120">
        <v>0.0</v>
      </c>
      <c r="O1018" s="121">
        <v>91.32</v>
      </c>
      <c r="P1018" s="117">
        <v>1.0</v>
      </c>
      <c r="Q1018" s="117">
        <f t="shared" si="2"/>
        <v>0</v>
      </c>
      <c r="R1018" s="122">
        <f>+(IF(((M1018*24)-P1018)&lt;0,0,((M1018*24)-P1018)*'Estimación de pérdidas'!$F$72))*N1018</f>
        <v>0</v>
      </c>
      <c r="S1018" s="123" t="s">
        <v>117</v>
      </c>
      <c r="T1018" s="124" t="s">
        <v>119</v>
      </c>
      <c r="U1018" s="124">
        <f t="shared" si="3"/>
        <v>1</v>
      </c>
      <c r="V1018" s="124">
        <v>1.0</v>
      </c>
      <c r="W1018" s="124"/>
      <c r="X1018" s="125"/>
      <c r="Y1018" s="126"/>
      <c r="Z1018" s="125">
        <f t="shared" si="4"/>
        <v>1</v>
      </c>
      <c r="AA1018" s="127" t="str">
        <f t="shared" si="5"/>
        <v>Bajo</v>
      </c>
      <c r="AB1018" s="128">
        <f t="shared" si="6"/>
        <v>4</v>
      </c>
      <c r="AC1018" s="129">
        <f t="shared" si="7"/>
        <v>0.07589466384</v>
      </c>
    </row>
    <row r="1019" ht="14.25" hidden="1" customHeight="1">
      <c r="A1019" s="116" t="s">
        <v>847</v>
      </c>
      <c r="B1019" s="117" t="s">
        <v>848</v>
      </c>
      <c r="C1019" s="117" t="s">
        <v>3006</v>
      </c>
      <c r="D1019" s="117" t="s">
        <v>3021</v>
      </c>
      <c r="E1019" s="117" t="s">
        <v>3006</v>
      </c>
      <c r="F1019" s="117" t="s">
        <v>3008</v>
      </c>
      <c r="G1019" s="117" t="s">
        <v>3009</v>
      </c>
      <c r="H1019" s="117" t="s">
        <v>3010</v>
      </c>
      <c r="I1019" s="117">
        <v>1.0</v>
      </c>
      <c r="J1019" s="117">
        <v>1.0</v>
      </c>
      <c r="K1019" s="117" t="str">
        <f t="shared" si="1"/>
        <v>No</v>
      </c>
      <c r="L1019" s="118" t="s">
        <v>116</v>
      </c>
      <c r="M1019" s="119">
        <v>0.25</v>
      </c>
      <c r="N1019" s="120">
        <v>0.0</v>
      </c>
      <c r="O1019" s="121">
        <v>91.32</v>
      </c>
      <c r="P1019" s="117">
        <v>1.0</v>
      </c>
      <c r="Q1019" s="117">
        <f t="shared" si="2"/>
        <v>0</v>
      </c>
      <c r="R1019" s="122">
        <f>+(IF(((M1019*24)-P1019)&lt;0,0,((M1019*24)-P1019)*'Estimación de pérdidas'!$F$72))*N1019</f>
        <v>0</v>
      </c>
      <c r="S1019" s="123" t="s">
        <v>117</v>
      </c>
      <c r="T1019" s="124" t="s">
        <v>119</v>
      </c>
      <c r="U1019" s="124">
        <f t="shared" si="3"/>
        <v>1</v>
      </c>
      <c r="V1019" s="124">
        <v>1.0</v>
      </c>
      <c r="W1019" s="124"/>
      <c r="X1019" s="125"/>
      <c r="Y1019" s="126"/>
      <c r="Z1019" s="125">
        <f t="shared" si="4"/>
        <v>1</v>
      </c>
      <c r="AA1019" s="127" t="str">
        <f t="shared" si="5"/>
        <v>Bajo</v>
      </c>
      <c r="AB1019" s="128">
        <f t="shared" si="6"/>
        <v>4</v>
      </c>
      <c r="AC1019" s="129">
        <f t="shared" si="7"/>
        <v>0.07589466384</v>
      </c>
    </row>
    <row r="1020" ht="14.25" hidden="1" customHeight="1">
      <c r="A1020" s="116" t="s">
        <v>2479</v>
      </c>
      <c r="B1020" s="117" t="s">
        <v>3022</v>
      </c>
      <c r="C1020" s="117" t="s">
        <v>3006</v>
      </c>
      <c r="D1020" s="117" t="s">
        <v>3023</v>
      </c>
      <c r="E1020" s="117" t="s">
        <v>3006</v>
      </c>
      <c r="F1020" s="117" t="s">
        <v>3008</v>
      </c>
      <c r="G1020" s="117" t="s">
        <v>3009</v>
      </c>
      <c r="H1020" s="117" t="s">
        <v>3010</v>
      </c>
      <c r="I1020" s="117">
        <v>1.0</v>
      </c>
      <c r="J1020" s="117">
        <v>1.0</v>
      </c>
      <c r="K1020" s="117" t="str">
        <f t="shared" si="1"/>
        <v>No</v>
      </c>
      <c r="L1020" s="118" t="s">
        <v>116</v>
      </c>
      <c r="M1020" s="119">
        <v>0.25</v>
      </c>
      <c r="N1020" s="120">
        <v>0.0</v>
      </c>
      <c r="O1020" s="121">
        <v>91.32</v>
      </c>
      <c r="P1020" s="117">
        <v>1.0</v>
      </c>
      <c r="Q1020" s="117">
        <f t="shared" si="2"/>
        <v>0</v>
      </c>
      <c r="R1020" s="122">
        <f>+(IF(((M1020*24)-P1020)&lt;0,0,((M1020*24)-P1020)*'Estimación de pérdidas'!$F$72))*N1020</f>
        <v>0</v>
      </c>
      <c r="S1020" s="123" t="s">
        <v>117</v>
      </c>
      <c r="T1020" s="124" t="s">
        <v>119</v>
      </c>
      <c r="U1020" s="124">
        <f t="shared" si="3"/>
        <v>1</v>
      </c>
      <c r="V1020" s="124">
        <v>1.0</v>
      </c>
      <c r="W1020" s="124"/>
      <c r="X1020" s="125"/>
      <c r="Y1020" s="126"/>
      <c r="Z1020" s="125">
        <f t="shared" si="4"/>
        <v>1</v>
      </c>
      <c r="AA1020" s="127" t="str">
        <f t="shared" si="5"/>
        <v>Bajo</v>
      </c>
      <c r="AB1020" s="128">
        <f t="shared" si="6"/>
        <v>4</v>
      </c>
      <c r="AC1020" s="129">
        <f t="shared" si="7"/>
        <v>0.07589466384</v>
      </c>
    </row>
    <row r="1021" ht="14.25" hidden="1" customHeight="1">
      <c r="A1021" s="116" t="s">
        <v>1894</v>
      </c>
      <c r="B1021" s="117" t="s">
        <v>1894</v>
      </c>
      <c r="C1021" s="117" t="s">
        <v>3006</v>
      </c>
      <c r="D1021" s="117" t="s">
        <v>3024</v>
      </c>
      <c r="E1021" s="117" t="s">
        <v>3006</v>
      </c>
      <c r="F1021" s="117" t="s">
        <v>3008</v>
      </c>
      <c r="G1021" s="117" t="s">
        <v>3009</v>
      </c>
      <c r="H1021" s="117" t="s">
        <v>3010</v>
      </c>
      <c r="I1021" s="117">
        <v>1.0</v>
      </c>
      <c r="J1021" s="117">
        <v>1.0</v>
      </c>
      <c r="K1021" s="117" t="str">
        <f t="shared" si="1"/>
        <v>No</v>
      </c>
      <c r="L1021" s="118" t="s">
        <v>116</v>
      </c>
      <c r="M1021" s="119">
        <v>0.25</v>
      </c>
      <c r="N1021" s="120">
        <v>0.0</v>
      </c>
      <c r="O1021" s="121">
        <v>91.32</v>
      </c>
      <c r="P1021" s="117">
        <v>1.0</v>
      </c>
      <c r="Q1021" s="117">
        <f t="shared" si="2"/>
        <v>0</v>
      </c>
      <c r="R1021" s="122">
        <f>+(IF(((M1021*24)-P1021)&lt;0,0,((M1021*24)-P1021)*'Estimación de pérdidas'!$F$72))*N1021</f>
        <v>0</v>
      </c>
      <c r="S1021" s="123" t="s">
        <v>117</v>
      </c>
      <c r="T1021" s="124" t="s">
        <v>119</v>
      </c>
      <c r="U1021" s="124">
        <f t="shared" si="3"/>
        <v>1</v>
      </c>
      <c r="V1021" s="124">
        <v>1.0</v>
      </c>
      <c r="W1021" s="124"/>
      <c r="X1021" s="125"/>
      <c r="Y1021" s="126"/>
      <c r="Z1021" s="125">
        <f t="shared" si="4"/>
        <v>1</v>
      </c>
      <c r="AA1021" s="127" t="str">
        <f t="shared" si="5"/>
        <v>Bajo</v>
      </c>
      <c r="AB1021" s="128">
        <f t="shared" si="6"/>
        <v>4</v>
      </c>
      <c r="AC1021" s="129">
        <f t="shared" si="7"/>
        <v>0.07589466384</v>
      </c>
    </row>
    <row r="1022" ht="14.25" hidden="1" customHeight="1">
      <c r="A1022" s="116" t="s">
        <v>108</v>
      </c>
      <c r="B1022" s="117" t="s">
        <v>108</v>
      </c>
      <c r="C1022" s="117" t="s">
        <v>3025</v>
      </c>
      <c r="D1022" s="117" t="s">
        <v>3026</v>
      </c>
      <c r="E1022" s="117" t="s">
        <v>3027</v>
      </c>
      <c r="F1022" s="117" t="s">
        <v>3028</v>
      </c>
      <c r="G1022" s="117" t="s">
        <v>3009</v>
      </c>
      <c r="H1022" s="117" t="s">
        <v>3029</v>
      </c>
      <c r="I1022" s="117">
        <v>1.0</v>
      </c>
      <c r="J1022" s="117">
        <v>1.0</v>
      </c>
      <c r="K1022" s="117" t="str">
        <f t="shared" si="1"/>
        <v>No</v>
      </c>
      <c r="L1022" s="118" t="s">
        <v>116</v>
      </c>
      <c r="M1022" s="119">
        <v>0.25</v>
      </c>
      <c r="N1022" s="120">
        <v>0.0</v>
      </c>
      <c r="O1022" s="121">
        <v>70.0</v>
      </c>
      <c r="P1022" s="117">
        <v>10.0</v>
      </c>
      <c r="Q1022" s="117">
        <f t="shared" si="2"/>
        <v>0</v>
      </c>
      <c r="R1022" s="122">
        <f>+(IF(((M1022*24)-P1022)&lt;0,0,((M1022*24)-P1022)*'Estimación de pérdidas'!$F$72))*N1022</f>
        <v>0</v>
      </c>
      <c r="S1022" s="123" t="s">
        <v>117</v>
      </c>
      <c r="T1022" s="124" t="s">
        <v>118</v>
      </c>
      <c r="U1022" s="124">
        <f t="shared" si="3"/>
        <v>1</v>
      </c>
      <c r="V1022" s="124">
        <v>1.0</v>
      </c>
      <c r="W1022" s="124"/>
      <c r="X1022" s="125"/>
      <c r="Y1022" s="126"/>
      <c r="Z1022" s="125">
        <f t="shared" si="4"/>
        <v>1</v>
      </c>
      <c r="AA1022" s="127" t="str">
        <f t="shared" si="5"/>
        <v>Bajo</v>
      </c>
      <c r="AB1022" s="128">
        <f t="shared" si="6"/>
        <v>2</v>
      </c>
      <c r="AC1022" s="129">
        <f t="shared" si="7"/>
        <v>0.05059644256</v>
      </c>
    </row>
    <row r="1023" ht="14.25" hidden="1" customHeight="1">
      <c r="A1023" s="116" t="s">
        <v>300</v>
      </c>
      <c r="B1023" s="117" t="s">
        <v>300</v>
      </c>
      <c r="C1023" s="117" t="s">
        <v>3025</v>
      </c>
      <c r="D1023" s="117" t="s">
        <v>3030</v>
      </c>
      <c r="E1023" s="117" t="s">
        <v>3027</v>
      </c>
      <c r="F1023" s="117" t="s">
        <v>3028</v>
      </c>
      <c r="G1023" s="117" t="s">
        <v>3009</v>
      </c>
      <c r="H1023" s="117" t="s">
        <v>3029</v>
      </c>
      <c r="I1023" s="117">
        <v>1.0</v>
      </c>
      <c r="J1023" s="117">
        <v>1.0</v>
      </c>
      <c r="K1023" s="117" t="str">
        <f t="shared" si="1"/>
        <v>No</v>
      </c>
      <c r="L1023" s="118" t="s">
        <v>116</v>
      </c>
      <c r="M1023" s="119">
        <v>0.25</v>
      </c>
      <c r="N1023" s="120">
        <v>0.0</v>
      </c>
      <c r="O1023" s="121">
        <v>91.32</v>
      </c>
      <c r="P1023" s="117">
        <v>1.0</v>
      </c>
      <c r="Q1023" s="117">
        <f t="shared" si="2"/>
        <v>0</v>
      </c>
      <c r="R1023" s="122">
        <f>+(IF(((M1023*24)-P1023)&lt;0,0,((M1023*24)-P1023)*'Estimación de pérdidas'!$F$72))*N1023</f>
        <v>0</v>
      </c>
      <c r="S1023" s="123" t="s">
        <v>117</v>
      </c>
      <c r="T1023" s="124" t="s">
        <v>118</v>
      </c>
      <c r="U1023" s="124">
        <f t="shared" si="3"/>
        <v>1</v>
      </c>
      <c r="V1023" s="124">
        <v>1.0</v>
      </c>
      <c r="W1023" s="124"/>
      <c r="X1023" s="125"/>
      <c r="Y1023" s="126"/>
      <c r="Z1023" s="125">
        <f t="shared" si="4"/>
        <v>1</v>
      </c>
      <c r="AA1023" s="127" t="str">
        <f t="shared" si="5"/>
        <v>Bajo</v>
      </c>
      <c r="AB1023" s="128">
        <f t="shared" si="6"/>
        <v>2</v>
      </c>
      <c r="AC1023" s="129">
        <f t="shared" si="7"/>
        <v>0.05059644256</v>
      </c>
    </row>
    <row r="1024" ht="14.25" hidden="1" customHeight="1">
      <c r="A1024" s="116" t="s">
        <v>539</v>
      </c>
      <c r="B1024" s="117" t="s">
        <v>539</v>
      </c>
      <c r="C1024" s="117" t="s">
        <v>3025</v>
      </c>
      <c r="D1024" s="117" t="s">
        <v>3031</v>
      </c>
      <c r="E1024" s="117" t="s">
        <v>3027</v>
      </c>
      <c r="F1024" s="117" t="s">
        <v>3028</v>
      </c>
      <c r="G1024" s="117" t="s">
        <v>3009</v>
      </c>
      <c r="H1024" s="117" t="s">
        <v>3029</v>
      </c>
      <c r="I1024" s="117">
        <v>1.0</v>
      </c>
      <c r="J1024" s="117">
        <v>1.0</v>
      </c>
      <c r="K1024" s="117" t="str">
        <f t="shared" si="1"/>
        <v>No</v>
      </c>
      <c r="L1024" s="118" t="s">
        <v>116</v>
      </c>
      <c r="M1024" s="119">
        <v>0.25</v>
      </c>
      <c r="N1024" s="120">
        <v>0.0</v>
      </c>
      <c r="O1024" s="121">
        <v>91.32</v>
      </c>
      <c r="P1024" s="117">
        <v>1.0</v>
      </c>
      <c r="Q1024" s="117">
        <f t="shared" si="2"/>
        <v>0</v>
      </c>
      <c r="R1024" s="122">
        <f>+(IF(((M1024*24)-P1024)&lt;0,0,((M1024*24)-P1024)*'Estimación de pérdidas'!$F$72))*N1024</f>
        <v>0</v>
      </c>
      <c r="S1024" s="123" t="s">
        <v>117</v>
      </c>
      <c r="T1024" s="124" t="s">
        <v>118</v>
      </c>
      <c r="U1024" s="124">
        <f t="shared" si="3"/>
        <v>1</v>
      </c>
      <c r="V1024" s="124">
        <v>1.0</v>
      </c>
      <c r="W1024" s="124"/>
      <c r="X1024" s="125"/>
      <c r="Y1024" s="126"/>
      <c r="Z1024" s="125">
        <f t="shared" si="4"/>
        <v>1</v>
      </c>
      <c r="AA1024" s="127" t="str">
        <f t="shared" si="5"/>
        <v>Bajo</v>
      </c>
      <c r="AB1024" s="128">
        <f t="shared" si="6"/>
        <v>2</v>
      </c>
      <c r="AC1024" s="129">
        <f t="shared" si="7"/>
        <v>0.05059644256</v>
      </c>
    </row>
    <row r="1025" ht="14.25" hidden="1" customHeight="1">
      <c r="A1025" s="116" t="s">
        <v>1345</v>
      </c>
      <c r="B1025" s="117" t="s">
        <v>1345</v>
      </c>
      <c r="C1025" s="117" t="s">
        <v>3025</v>
      </c>
      <c r="D1025" s="117" t="s">
        <v>3032</v>
      </c>
      <c r="E1025" s="117" t="s">
        <v>3027</v>
      </c>
      <c r="F1025" s="117" t="s">
        <v>3028</v>
      </c>
      <c r="G1025" s="117" t="s">
        <v>3009</v>
      </c>
      <c r="H1025" s="117" t="s">
        <v>3029</v>
      </c>
      <c r="I1025" s="117">
        <v>1.0</v>
      </c>
      <c r="J1025" s="117">
        <v>1.0</v>
      </c>
      <c r="K1025" s="117" t="str">
        <f t="shared" si="1"/>
        <v>No</v>
      </c>
      <c r="L1025" s="118" t="s">
        <v>116</v>
      </c>
      <c r="M1025" s="119">
        <v>0.25</v>
      </c>
      <c r="N1025" s="120">
        <v>0.0</v>
      </c>
      <c r="O1025" s="121">
        <v>91.32</v>
      </c>
      <c r="P1025" s="117">
        <v>1.0</v>
      </c>
      <c r="Q1025" s="117">
        <f t="shared" si="2"/>
        <v>0</v>
      </c>
      <c r="R1025" s="122">
        <f>+(IF(((M1025*24)-P1025)&lt;0,0,((M1025*24)-P1025)*'Estimación de pérdidas'!$F$72))*N1025</f>
        <v>0</v>
      </c>
      <c r="S1025" s="123" t="s">
        <v>117</v>
      </c>
      <c r="T1025" s="124" t="s">
        <v>118</v>
      </c>
      <c r="U1025" s="124">
        <f t="shared" si="3"/>
        <v>1</v>
      </c>
      <c r="V1025" s="124">
        <v>1.0</v>
      </c>
      <c r="W1025" s="124"/>
      <c r="X1025" s="125"/>
      <c r="Y1025" s="126"/>
      <c r="Z1025" s="125">
        <f t="shared" si="4"/>
        <v>1</v>
      </c>
      <c r="AA1025" s="127" t="str">
        <f t="shared" si="5"/>
        <v>Bajo</v>
      </c>
      <c r="AB1025" s="128">
        <f t="shared" si="6"/>
        <v>2</v>
      </c>
      <c r="AC1025" s="129">
        <f t="shared" si="7"/>
        <v>0.05059644256</v>
      </c>
    </row>
    <row r="1026" ht="14.25" hidden="1" customHeight="1">
      <c r="A1026" s="116" t="s">
        <v>2364</v>
      </c>
      <c r="B1026" s="117" t="s">
        <v>2364</v>
      </c>
      <c r="C1026" s="117" t="s">
        <v>3025</v>
      </c>
      <c r="D1026" s="117" t="s">
        <v>3033</v>
      </c>
      <c r="E1026" s="117" t="s">
        <v>3027</v>
      </c>
      <c r="F1026" s="117" t="s">
        <v>3028</v>
      </c>
      <c r="G1026" s="117" t="s">
        <v>3009</v>
      </c>
      <c r="H1026" s="117" t="s">
        <v>3029</v>
      </c>
      <c r="I1026" s="117">
        <v>1.0</v>
      </c>
      <c r="J1026" s="117">
        <v>1.0</v>
      </c>
      <c r="K1026" s="117" t="str">
        <f t="shared" si="1"/>
        <v>No</v>
      </c>
      <c r="L1026" s="118" t="s">
        <v>116</v>
      </c>
      <c r="M1026" s="119">
        <v>0.25</v>
      </c>
      <c r="N1026" s="120">
        <v>0.0</v>
      </c>
      <c r="O1026" s="121">
        <v>91.32</v>
      </c>
      <c r="P1026" s="117">
        <v>1.0</v>
      </c>
      <c r="Q1026" s="117">
        <f t="shared" si="2"/>
        <v>0</v>
      </c>
      <c r="R1026" s="122">
        <f>+(IF(((M1026*24)-P1026)&lt;0,0,((M1026*24)-P1026)*'Estimación de pérdidas'!$F$72))*N1026</f>
        <v>0</v>
      </c>
      <c r="S1026" s="123" t="s">
        <v>117</v>
      </c>
      <c r="T1026" s="124" t="s">
        <v>118</v>
      </c>
      <c r="U1026" s="124">
        <f t="shared" si="3"/>
        <v>1</v>
      </c>
      <c r="V1026" s="124">
        <v>1.0</v>
      </c>
      <c r="W1026" s="124"/>
      <c r="X1026" s="125"/>
      <c r="Y1026" s="126"/>
      <c r="Z1026" s="125">
        <f t="shared" si="4"/>
        <v>1</v>
      </c>
      <c r="AA1026" s="127" t="str">
        <f t="shared" si="5"/>
        <v>Bajo</v>
      </c>
      <c r="AB1026" s="128">
        <f t="shared" si="6"/>
        <v>2</v>
      </c>
      <c r="AC1026" s="129">
        <f t="shared" si="7"/>
        <v>0.05059644256</v>
      </c>
    </row>
    <row r="1027" ht="14.25" hidden="1" customHeight="1">
      <c r="A1027" s="116" t="s">
        <v>1894</v>
      </c>
      <c r="B1027" s="117" t="s">
        <v>1894</v>
      </c>
      <c r="C1027" s="117" t="s">
        <v>3025</v>
      </c>
      <c r="D1027" s="117" t="s">
        <v>3034</v>
      </c>
      <c r="E1027" s="117" t="s">
        <v>3027</v>
      </c>
      <c r="F1027" s="117" t="s">
        <v>3028</v>
      </c>
      <c r="G1027" s="117" t="s">
        <v>3009</v>
      </c>
      <c r="H1027" s="117" t="s">
        <v>3029</v>
      </c>
      <c r="I1027" s="117">
        <v>1.0</v>
      </c>
      <c r="J1027" s="117">
        <v>1.0</v>
      </c>
      <c r="K1027" s="117" t="str">
        <f t="shared" si="1"/>
        <v>No</v>
      </c>
      <c r="L1027" s="118" t="s">
        <v>116</v>
      </c>
      <c r="M1027" s="119">
        <v>0.25</v>
      </c>
      <c r="N1027" s="120">
        <v>0.0</v>
      </c>
      <c r="O1027" s="121">
        <v>91.32</v>
      </c>
      <c r="P1027" s="117">
        <v>1.0</v>
      </c>
      <c r="Q1027" s="117">
        <f t="shared" si="2"/>
        <v>0</v>
      </c>
      <c r="R1027" s="122">
        <f>+(IF(((M1027*24)-P1027)&lt;0,0,((M1027*24)-P1027)*'Estimación de pérdidas'!$F$72))*N1027</f>
        <v>0</v>
      </c>
      <c r="S1027" s="123" t="s">
        <v>117</v>
      </c>
      <c r="T1027" s="124" t="s">
        <v>118</v>
      </c>
      <c r="U1027" s="124">
        <f t="shared" si="3"/>
        <v>1</v>
      </c>
      <c r="V1027" s="124">
        <v>1.0</v>
      </c>
      <c r="W1027" s="124"/>
      <c r="X1027" s="125"/>
      <c r="Y1027" s="126"/>
      <c r="Z1027" s="125">
        <f t="shared" si="4"/>
        <v>1</v>
      </c>
      <c r="AA1027" s="127" t="str">
        <f t="shared" si="5"/>
        <v>Bajo</v>
      </c>
      <c r="AB1027" s="128">
        <f t="shared" si="6"/>
        <v>2</v>
      </c>
      <c r="AC1027" s="129">
        <f t="shared" si="7"/>
        <v>0.05059644256</v>
      </c>
    </row>
    <row r="1028" ht="14.25" hidden="1" customHeight="1">
      <c r="A1028" s="116" t="s">
        <v>2899</v>
      </c>
      <c r="B1028" s="117" t="s">
        <v>2900</v>
      </c>
      <c r="C1028" s="117" t="s">
        <v>3035</v>
      </c>
      <c r="D1028" s="117" t="s">
        <v>3036</v>
      </c>
      <c r="E1028" s="117" t="s">
        <v>3037</v>
      </c>
      <c r="F1028" s="117" t="s">
        <v>3038</v>
      </c>
      <c r="G1028" s="117" t="s">
        <v>3039</v>
      </c>
      <c r="H1028" s="117" t="s">
        <v>3040</v>
      </c>
      <c r="I1028" s="117">
        <v>1.0</v>
      </c>
      <c r="J1028" s="117">
        <v>1.0</v>
      </c>
      <c r="K1028" s="117" t="str">
        <f t="shared" si="1"/>
        <v>No</v>
      </c>
      <c r="L1028" s="118" t="s">
        <v>116</v>
      </c>
      <c r="M1028" s="119">
        <v>0.25</v>
      </c>
      <c r="N1028" s="120">
        <v>0.0</v>
      </c>
      <c r="O1028" s="121">
        <v>91.32</v>
      </c>
      <c r="P1028" s="117">
        <v>1.0</v>
      </c>
      <c r="Q1028" s="117">
        <f t="shared" si="2"/>
        <v>0</v>
      </c>
      <c r="R1028" s="122">
        <f>+(IF(((M1028*24)-P1028)&lt;0,0,((M1028*24)-P1028)*'Estimación de pérdidas'!$F$72))*N1028</f>
        <v>0</v>
      </c>
      <c r="S1028" s="123" t="s">
        <v>117</v>
      </c>
      <c r="T1028" s="124" t="s">
        <v>132</v>
      </c>
      <c r="U1028" s="124">
        <f t="shared" si="3"/>
        <v>1</v>
      </c>
      <c r="V1028" s="124">
        <v>1.0</v>
      </c>
      <c r="W1028" s="124"/>
      <c r="X1028" s="125"/>
      <c r="Y1028" s="126"/>
      <c r="Z1028" s="125">
        <f t="shared" si="4"/>
        <v>1</v>
      </c>
      <c r="AA1028" s="127" t="str">
        <f t="shared" si="5"/>
        <v>Bajo</v>
      </c>
      <c r="AB1028" s="128">
        <f t="shared" si="6"/>
        <v>1</v>
      </c>
      <c r="AC1028" s="129">
        <f t="shared" si="7"/>
        <v>0.02529822128</v>
      </c>
    </row>
    <row r="1029" ht="14.25" hidden="1" customHeight="1">
      <c r="A1029" s="116" t="s">
        <v>2899</v>
      </c>
      <c r="B1029" s="117" t="s">
        <v>2900</v>
      </c>
      <c r="C1029" s="117" t="s">
        <v>3041</v>
      </c>
      <c r="D1029" s="117" t="s">
        <v>3042</v>
      </c>
      <c r="E1029" s="117" t="s">
        <v>3043</v>
      </c>
      <c r="F1029" s="117" t="s">
        <v>3038</v>
      </c>
      <c r="G1029" s="117" t="s">
        <v>3039</v>
      </c>
      <c r="H1029" s="117" t="s">
        <v>3040</v>
      </c>
      <c r="I1029" s="117">
        <v>1.0</v>
      </c>
      <c r="J1029" s="117">
        <v>1.0</v>
      </c>
      <c r="K1029" s="117" t="str">
        <f t="shared" si="1"/>
        <v>No</v>
      </c>
      <c r="L1029" s="118" t="s">
        <v>116</v>
      </c>
      <c r="M1029" s="119">
        <v>0.25</v>
      </c>
      <c r="N1029" s="120">
        <v>0.0</v>
      </c>
      <c r="O1029" s="121">
        <v>91.32</v>
      </c>
      <c r="P1029" s="117">
        <v>1.0</v>
      </c>
      <c r="Q1029" s="117">
        <f t="shared" si="2"/>
        <v>0</v>
      </c>
      <c r="R1029" s="122">
        <f>+(IF(((M1029*24)-P1029)&lt;0,0,((M1029*24)-P1029)*'Estimación de pérdidas'!$F$72))*N1029</f>
        <v>0</v>
      </c>
      <c r="S1029" s="123" t="s">
        <v>117</v>
      </c>
      <c r="T1029" s="124" t="s">
        <v>132</v>
      </c>
      <c r="U1029" s="124">
        <f t="shared" si="3"/>
        <v>1</v>
      </c>
      <c r="V1029" s="124">
        <v>1.0</v>
      </c>
      <c r="W1029" s="124"/>
      <c r="X1029" s="125"/>
      <c r="Y1029" s="126"/>
      <c r="Z1029" s="125">
        <f t="shared" si="4"/>
        <v>1</v>
      </c>
      <c r="AA1029" s="127" t="str">
        <f t="shared" si="5"/>
        <v>Bajo</v>
      </c>
      <c r="AB1029" s="128">
        <f t="shared" si="6"/>
        <v>1</v>
      </c>
      <c r="AC1029" s="129">
        <f t="shared" si="7"/>
        <v>0.02529822128</v>
      </c>
    </row>
    <row r="1030" ht="14.25" hidden="1" customHeight="1">
      <c r="A1030" s="116" t="s">
        <v>2899</v>
      </c>
      <c r="B1030" s="117" t="s">
        <v>2900</v>
      </c>
      <c r="C1030" s="117" t="s">
        <v>3044</v>
      </c>
      <c r="D1030" s="117" t="s">
        <v>3045</v>
      </c>
      <c r="E1030" s="117" t="s">
        <v>3046</v>
      </c>
      <c r="F1030" s="117" t="s">
        <v>3038</v>
      </c>
      <c r="G1030" s="117" t="s">
        <v>3039</v>
      </c>
      <c r="H1030" s="117" t="s">
        <v>3040</v>
      </c>
      <c r="I1030" s="117">
        <v>1.0</v>
      </c>
      <c r="J1030" s="117">
        <v>1.0</v>
      </c>
      <c r="K1030" s="117" t="str">
        <f t="shared" si="1"/>
        <v>No</v>
      </c>
      <c r="L1030" s="118" t="s">
        <v>116</v>
      </c>
      <c r="M1030" s="119">
        <v>0.25</v>
      </c>
      <c r="N1030" s="120">
        <v>0.0</v>
      </c>
      <c r="O1030" s="121">
        <v>91.32</v>
      </c>
      <c r="P1030" s="117">
        <v>1.0</v>
      </c>
      <c r="Q1030" s="117">
        <f t="shared" si="2"/>
        <v>0</v>
      </c>
      <c r="R1030" s="122">
        <f>+(IF(((M1030*24)-P1030)&lt;0,0,((M1030*24)-P1030)*'Estimación de pérdidas'!$F$72))*N1030</f>
        <v>0</v>
      </c>
      <c r="S1030" s="123" t="s">
        <v>117</v>
      </c>
      <c r="T1030" s="124" t="s">
        <v>132</v>
      </c>
      <c r="U1030" s="124">
        <f t="shared" si="3"/>
        <v>1</v>
      </c>
      <c r="V1030" s="124">
        <v>1.0</v>
      </c>
      <c r="W1030" s="124"/>
      <c r="X1030" s="125"/>
      <c r="Y1030" s="126"/>
      <c r="Z1030" s="125">
        <f t="shared" si="4"/>
        <v>1</v>
      </c>
      <c r="AA1030" s="127" t="str">
        <f t="shared" si="5"/>
        <v>Bajo</v>
      </c>
      <c r="AB1030" s="128">
        <f t="shared" si="6"/>
        <v>1</v>
      </c>
      <c r="AC1030" s="129">
        <f t="shared" si="7"/>
        <v>0.02529822128</v>
      </c>
    </row>
    <row r="1031" ht="14.25" hidden="1" customHeight="1">
      <c r="A1031" s="116" t="s">
        <v>2899</v>
      </c>
      <c r="B1031" s="117" t="s">
        <v>2900</v>
      </c>
      <c r="C1031" s="117" t="s">
        <v>3047</v>
      </c>
      <c r="D1031" s="117" t="s">
        <v>3048</v>
      </c>
      <c r="E1031" s="117" t="s">
        <v>3049</v>
      </c>
      <c r="F1031" s="117" t="s">
        <v>3038</v>
      </c>
      <c r="G1031" s="117" t="s">
        <v>3039</v>
      </c>
      <c r="H1031" s="117" t="s">
        <v>3040</v>
      </c>
      <c r="I1031" s="117">
        <v>1.0</v>
      </c>
      <c r="J1031" s="117">
        <v>1.0</v>
      </c>
      <c r="K1031" s="117" t="str">
        <f t="shared" si="1"/>
        <v>No</v>
      </c>
      <c r="L1031" s="118" t="s">
        <v>116</v>
      </c>
      <c r="M1031" s="119">
        <v>0.25</v>
      </c>
      <c r="N1031" s="120">
        <v>0.0</v>
      </c>
      <c r="O1031" s="121">
        <v>91.32</v>
      </c>
      <c r="P1031" s="117">
        <v>1.0</v>
      </c>
      <c r="Q1031" s="117">
        <f t="shared" si="2"/>
        <v>0</v>
      </c>
      <c r="R1031" s="122">
        <f>+(IF(((M1031*24)-P1031)&lt;0,0,((M1031*24)-P1031)*'Estimación de pérdidas'!$F$72))*N1031</f>
        <v>0</v>
      </c>
      <c r="S1031" s="123" t="s">
        <v>117</v>
      </c>
      <c r="T1031" s="124" t="s">
        <v>132</v>
      </c>
      <c r="U1031" s="124">
        <f t="shared" si="3"/>
        <v>1</v>
      </c>
      <c r="V1031" s="124">
        <v>1.0</v>
      </c>
      <c r="W1031" s="124"/>
      <c r="X1031" s="125"/>
      <c r="Y1031" s="126"/>
      <c r="Z1031" s="125">
        <f t="shared" si="4"/>
        <v>1</v>
      </c>
      <c r="AA1031" s="127" t="str">
        <f t="shared" si="5"/>
        <v>Bajo</v>
      </c>
      <c r="AB1031" s="128">
        <f t="shared" si="6"/>
        <v>1</v>
      </c>
      <c r="AC1031" s="129">
        <f t="shared" si="7"/>
        <v>0.02529822128</v>
      </c>
    </row>
    <row r="1032" ht="14.25" hidden="1" customHeight="1">
      <c r="A1032" s="116" t="s">
        <v>2899</v>
      </c>
      <c r="B1032" s="117" t="s">
        <v>2900</v>
      </c>
      <c r="C1032" s="117" t="s">
        <v>3050</v>
      </c>
      <c r="D1032" s="117" t="s">
        <v>3051</v>
      </c>
      <c r="E1032" s="117" t="s">
        <v>3052</v>
      </c>
      <c r="F1032" s="117" t="s">
        <v>3038</v>
      </c>
      <c r="G1032" s="117" t="s">
        <v>3039</v>
      </c>
      <c r="H1032" s="117" t="s">
        <v>3040</v>
      </c>
      <c r="I1032" s="117">
        <v>1.0</v>
      </c>
      <c r="J1032" s="117">
        <v>1.0</v>
      </c>
      <c r="K1032" s="117" t="str">
        <f t="shared" si="1"/>
        <v>No</v>
      </c>
      <c r="L1032" s="118" t="s">
        <v>116</v>
      </c>
      <c r="M1032" s="119">
        <v>0.25</v>
      </c>
      <c r="N1032" s="120">
        <v>0.0</v>
      </c>
      <c r="O1032" s="121">
        <v>91.32</v>
      </c>
      <c r="P1032" s="117">
        <v>1.0</v>
      </c>
      <c r="Q1032" s="117">
        <f t="shared" si="2"/>
        <v>0</v>
      </c>
      <c r="R1032" s="122">
        <f>+(IF(((M1032*24)-P1032)&lt;0,0,((M1032*24)-P1032)*'Estimación de pérdidas'!$F$72))*N1032</f>
        <v>0</v>
      </c>
      <c r="S1032" s="123" t="s">
        <v>117</v>
      </c>
      <c r="T1032" s="124" t="s">
        <v>132</v>
      </c>
      <c r="U1032" s="124">
        <f t="shared" si="3"/>
        <v>1</v>
      </c>
      <c r="V1032" s="124">
        <v>1.0</v>
      </c>
      <c r="W1032" s="124"/>
      <c r="X1032" s="125"/>
      <c r="Y1032" s="126"/>
      <c r="Z1032" s="125">
        <f t="shared" si="4"/>
        <v>1</v>
      </c>
      <c r="AA1032" s="127" t="str">
        <f t="shared" si="5"/>
        <v>Bajo</v>
      </c>
      <c r="AB1032" s="128">
        <f t="shared" si="6"/>
        <v>1</v>
      </c>
      <c r="AC1032" s="129">
        <f t="shared" si="7"/>
        <v>0.02529822128</v>
      </c>
    </row>
    <row r="1033" ht="14.25" hidden="1" customHeight="1">
      <c r="A1033" s="116" t="s">
        <v>2899</v>
      </c>
      <c r="B1033" s="117" t="s">
        <v>2900</v>
      </c>
      <c r="C1033" s="117" t="s">
        <v>3053</v>
      </c>
      <c r="D1033" s="117" t="s">
        <v>3054</v>
      </c>
      <c r="E1033" s="117" t="s">
        <v>3055</v>
      </c>
      <c r="F1033" s="117" t="s">
        <v>3038</v>
      </c>
      <c r="G1033" s="117" t="s">
        <v>3039</v>
      </c>
      <c r="H1033" s="117" t="s">
        <v>3040</v>
      </c>
      <c r="I1033" s="117">
        <v>1.0</v>
      </c>
      <c r="J1033" s="117">
        <v>1.0</v>
      </c>
      <c r="K1033" s="117" t="str">
        <f t="shared" si="1"/>
        <v>No</v>
      </c>
      <c r="L1033" s="118" t="s">
        <v>116</v>
      </c>
      <c r="M1033" s="119">
        <v>0.25</v>
      </c>
      <c r="N1033" s="120">
        <v>0.0</v>
      </c>
      <c r="O1033" s="121">
        <v>91.32</v>
      </c>
      <c r="P1033" s="117">
        <v>1.0</v>
      </c>
      <c r="Q1033" s="117">
        <f t="shared" si="2"/>
        <v>0</v>
      </c>
      <c r="R1033" s="122">
        <f>+(IF(((M1033*24)-P1033)&lt;0,0,((M1033*24)-P1033)*'Estimación de pérdidas'!$F$72))*N1033</f>
        <v>0</v>
      </c>
      <c r="S1033" s="123" t="s">
        <v>117</v>
      </c>
      <c r="T1033" s="124" t="s">
        <v>132</v>
      </c>
      <c r="U1033" s="124">
        <f t="shared" si="3"/>
        <v>1</v>
      </c>
      <c r="V1033" s="124">
        <v>1.0</v>
      </c>
      <c r="W1033" s="124"/>
      <c r="X1033" s="125"/>
      <c r="Y1033" s="126"/>
      <c r="Z1033" s="125">
        <f t="shared" si="4"/>
        <v>1</v>
      </c>
      <c r="AA1033" s="127" t="str">
        <f t="shared" si="5"/>
        <v>Bajo</v>
      </c>
      <c r="AB1033" s="128">
        <f t="shared" si="6"/>
        <v>1</v>
      </c>
      <c r="AC1033" s="129">
        <f t="shared" si="7"/>
        <v>0.02529822128</v>
      </c>
    </row>
    <row r="1034" ht="14.25" hidden="1" customHeight="1">
      <c r="A1034" s="116" t="s">
        <v>2899</v>
      </c>
      <c r="B1034" s="117" t="s">
        <v>2900</v>
      </c>
      <c r="C1034" s="117" t="s">
        <v>3056</v>
      </c>
      <c r="D1034" s="117" t="s">
        <v>3057</v>
      </c>
      <c r="E1034" s="117" t="s">
        <v>3058</v>
      </c>
      <c r="F1034" s="117" t="s">
        <v>3038</v>
      </c>
      <c r="G1034" s="117" t="s">
        <v>3039</v>
      </c>
      <c r="H1034" s="117" t="s">
        <v>3040</v>
      </c>
      <c r="I1034" s="117">
        <v>1.0</v>
      </c>
      <c r="J1034" s="117">
        <v>1.0</v>
      </c>
      <c r="K1034" s="117" t="str">
        <f t="shared" si="1"/>
        <v>No</v>
      </c>
      <c r="L1034" s="118" t="s">
        <v>116</v>
      </c>
      <c r="M1034" s="119">
        <v>0.25</v>
      </c>
      <c r="N1034" s="120">
        <v>0.0</v>
      </c>
      <c r="O1034" s="121">
        <v>91.32</v>
      </c>
      <c r="P1034" s="117">
        <v>1.0</v>
      </c>
      <c r="Q1034" s="117">
        <f t="shared" si="2"/>
        <v>0</v>
      </c>
      <c r="R1034" s="122">
        <f>+(IF(((M1034*24)-P1034)&lt;0,0,((M1034*24)-P1034)*'Estimación de pérdidas'!$F$72))*N1034</f>
        <v>0</v>
      </c>
      <c r="S1034" s="123" t="s">
        <v>117</v>
      </c>
      <c r="T1034" s="124" t="s">
        <v>132</v>
      </c>
      <c r="U1034" s="124">
        <f t="shared" si="3"/>
        <v>1</v>
      </c>
      <c r="V1034" s="124">
        <v>1.0</v>
      </c>
      <c r="W1034" s="124"/>
      <c r="X1034" s="125"/>
      <c r="Y1034" s="126"/>
      <c r="Z1034" s="125">
        <f t="shared" si="4"/>
        <v>1</v>
      </c>
      <c r="AA1034" s="127" t="str">
        <f t="shared" si="5"/>
        <v>Bajo</v>
      </c>
      <c r="AB1034" s="128">
        <f t="shared" si="6"/>
        <v>1</v>
      </c>
      <c r="AC1034" s="129">
        <f t="shared" si="7"/>
        <v>0.02529822128</v>
      </c>
    </row>
    <row r="1035" ht="14.25" hidden="1" customHeight="1">
      <c r="A1035" s="116" t="s">
        <v>2899</v>
      </c>
      <c r="B1035" s="117" t="s">
        <v>2900</v>
      </c>
      <c r="C1035" s="117" t="s">
        <v>3059</v>
      </c>
      <c r="D1035" s="117" t="s">
        <v>3060</v>
      </c>
      <c r="E1035" s="117" t="s">
        <v>3061</v>
      </c>
      <c r="F1035" s="117" t="s">
        <v>3038</v>
      </c>
      <c r="G1035" s="117" t="s">
        <v>3039</v>
      </c>
      <c r="H1035" s="117" t="s">
        <v>3062</v>
      </c>
      <c r="I1035" s="117">
        <v>1.0</v>
      </c>
      <c r="J1035" s="117">
        <v>1.0</v>
      </c>
      <c r="K1035" s="117" t="str">
        <f t="shared" si="1"/>
        <v>No</v>
      </c>
      <c r="L1035" s="118" t="s">
        <v>116</v>
      </c>
      <c r="M1035" s="119">
        <v>0.25</v>
      </c>
      <c r="N1035" s="120">
        <v>0.0</v>
      </c>
      <c r="O1035" s="121">
        <v>91.32</v>
      </c>
      <c r="P1035" s="117">
        <v>1.0</v>
      </c>
      <c r="Q1035" s="117">
        <f t="shared" si="2"/>
        <v>0</v>
      </c>
      <c r="R1035" s="122">
        <f>+(IF(((M1035*24)-P1035)&lt;0,0,((M1035*24)-P1035)*'Estimación de pérdidas'!$F$72))*N1035</f>
        <v>0</v>
      </c>
      <c r="S1035" s="123" t="s">
        <v>117</v>
      </c>
      <c r="T1035" s="124" t="s">
        <v>132</v>
      </c>
      <c r="U1035" s="124">
        <f t="shared" si="3"/>
        <v>1</v>
      </c>
      <c r="V1035" s="124">
        <v>1.0</v>
      </c>
      <c r="W1035" s="124"/>
      <c r="X1035" s="125"/>
      <c r="Y1035" s="126"/>
      <c r="Z1035" s="125">
        <f t="shared" si="4"/>
        <v>1</v>
      </c>
      <c r="AA1035" s="127" t="str">
        <f t="shared" si="5"/>
        <v>Bajo</v>
      </c>
      <c r="AB1035" s="128">
        <f t="shared" si="6"/>
        <v>1</v>
      </c>
      <c r="AC1035" s="129">
        <f t="shared" si="7"/>
        <v>0.02529822128</v>
      </c>
    </row>
    <row r="1036" ht="14.25" hidden="1" customHeight="1">
      <c r="A1036" s="116" t="s">
        <v>2899</v>
      </c>
      <c r="B1036" s="117" t="s">
        <v>2900</v>
      </c>
      <c r="C1036" s="117" t="s">
        <v>3063</v>
      </c>
      <c r="D1036" s="117" t="s">
        <v>3064</v>
      </c>
      <c r="E1036" s="117" t="s">
        <v>3065</v>
      </c>
      <c r="F1036" s="117" t="s">
        <v>3038</v>
      </c>
      <c r="G1036" s="117" t="s">
        <v>3039</v>
      </c>
      <c r="H1036" s="117" t="s">
        <v>3062</v>
      </c>
      <c r="I1036" s="117">
        <v>1.0</v>
      </c>
      <c r="J1036" s="117">
        <v>1.0</v>
      </c>
      <c r="K1036" s="117" t="str">
        <f t="shared" si="1"/>
        <v>No</v>
      </c>
      <c r="L1036" s="118" t="s">
        <v>116</v>
      </c>
      <c r="M1036" s="119">
        <v>0.25</v>
      </c>
      <c r="N1036" s="120">
        <v>0.0</v>
      </c>
      <c r="O1036" s="121">
        <v>91.32</v>
      </c>
      <c r="P1036" s="117">
        <v>1.0</v>
      </c>
      <c r="Q1036" s="117">
        <f t="shared" si="2"/>
        <v>0</v>
      </c>
      <c r="R1036" s="122">
        <f>+(IF(((M1036*24)-P1036)&lt;0,0,((M1036*24)-P1036)*'Estimación de pérdidas'!$F$72))*N1036</f>
        <v>0</v>
      </c>
      <c r="S1036" s="123" t="s">
        <v>117</v>
      </c>
      <c r="T1036" s="124" t="s">
        <v>132</v>
      </c>
      <c r="U1036" s="124">
        <f t="shared" si="3"/>
        <v>1</v>
      </c>
      <c r="V1036" s="124">
        <v>1.0</v>
      </c>
      <c r="W1036" s="124"/>
      <c r="X1036" s="125"/>
      <c r="Y1036" s="126"/>
      <c r="Z1036" s="125">
        <f t="shared" si="4"/>
        <v>1</v>
      </c>
      <c r="AA1036" s="127" t="str">
        <f t="shared" si="5"/>
        <v>Bajo</v>
      </c>
      <c r="AB1036" s="128">
        <f t="shared" si="6"/>
        <v>1</v>
      </c>
      <c r="AC1036" s="129">
        <f t="shared" si="7"/>
        <v>0.02529822128</v>
      </c>
    </row>
    <row r="1037" ht="14.25" hidden="1" customHeight="1">
      <c r="A1037" s="116" t="s">
        <v>2899</v>
      </c>
      <c r="B1037" s="117" t="e">
        <v>#N/A</v>
      </c>
      <c r="C1037" s="117" t="s">
        <v>3066</v>
      </c>
      <c r="D1037" s="117" t="s">
        <v>3067</v>
      </c>
      <c r="E1037" s="117" t="s">
        <v>3066</v>
      </c>
      <c r="F1037" s="117" t="s">
        <v>3068</v>
      </c>
      <c r="G1037" s="117" t="s">
        <v>3069</v>
      </c>
      <c r="H1037" s="117" t="s">
        <v>3070</v>
      </c>
      <c r="I1037" s="117">
        <v>1.0</v>
      </c>
      <c r="J1037" s="117">
        <v>1.0</v>
      </c>
      <c r="K1037" s="117" t="str">
        <f t="shared" si="1"/>
        <v>No</v>
      </c>
      <c r="L1037" s="118" t="s">
        <v>116</v>
      </c>
      <c r="M1037" s="119">
        <v>0.25</v>
      </c>
      <c r="N1037" s="120">
        <v>0.0</v>
      </c>
      <c r="O1037" s="121">
        <v>91.32</v>
      </c>
      <c r="P1037" s="117">
        <v>1.0</v>
      </c>
      <c r="Q1037" s="117">
        <f t="shared" si="2"/>
        <v>0</v>
      </c>
      <c r="R1037" s="122">
        <f>+(IF(((M1037*24)-P1037)&lt;0,0,((M1037*24)-P1037)*'Estimación de pérdidas'!$F$72))*N1037</f>
        <v>0</v>
      </c>
      <c r="S1037" s="123" t="s">
        <v>117</v>
      </c>
      <c r="T1037" s="124" t="s">
        <v>132</v>
      </c>
      <c r="U1037" s="124">
        <f t="shared" si="3"/>
        <v>1</v>
      </c>
      <c r="V1037" s="124">
        <v>1.0</v>
      </c>
      <c r="W1037" s="124"/>
      <c r="X1037" s="125"/>
      <c r="Y1037" s="126"/>
      <c r="Z1037" s="125">
        <f t="shared" si="4"/>
        <v>1</v>
      </c>
      <c r="AA1037" s="127" t="str">
        <f t="shared" si="5"/>
        <v>Bajo</v>
      </c>
      <c r="AB1037" s="128">
        <f t="shared" si="6"/>
        <v>1</v>
      </c>
      <c r="AC1037" s="129">
        <f t="shared" si="7"/>
        <v>0.02529822128</v>
      </c>
    </row>
    <row r="1038" ht="14.25" hidden="1" customHeight="1">
      <c r="A1038" s="116" t="s">
        <v>2899</v>
      </c>
      <c r="B1038" s="117" t="s">
        <v>2900</v>
      </c>
      <c r="C1038" s="117" t="s">
        <v>2907</v>
      </c>
      <c r="D1038" s="117" t="s">
        <v>3071</v>
      </c>
      <c r="E1038" s="117" t="s">
        <v>2907</v>
      </c>
      <c r="F1038" s="117" t="s">
        <v>2909</v>
      </c>
      <c r="G1038" s="117" t="s">
        <v>2910</v>
      </c>
      <c r="H1038" s="117" t="s">
        <v>2911</v>
      </c>
      <c r="I1038" s="117">
        <v>2.0</v>
      </c>
      <c r="J1038" s="117">
        <v>1.0</v>
      </c>
      <c r="K1038" s="117" t="str">
        <f t="shared" si="1"/>
        <v>Si</v>
      </c>
      <c r="L1038" s="118" t="s">
        <v>287</v>
      </c>
      <c r="M1038" s="119">
        <v>0.125</v>
      </c>
      <c r="N1038" s="120">
        <v>0.0</v>
      </c>
      <c r="O1038" s="121">
        <v>91.32</v>
      </c>
      <c r="P1038" s="117">
        <v>1.0</v>
      </c>
      <c r="Q1038" s="117">
        <f t="shared" si="2"/>
        <v>0</v>
      </c>
      <c r="R1038" s="122">
        <f>+(IF(((M1038*24)-P1038)&lt;0,0,((M1038*24)-P1038)*'Estimación de pérdidas'!$F$72))*N1038</f>
        <v>0</v>
      </c>
      <c r="S1038" s="123" t="s">
        <v>117</v>
      </c>
      <c r="T1038" s="124" t="s">
        <v>118</v>
      </c>
      <c r="U1038" s="124">
        <f t="shared" si="3"/>
        <v>1</v>
      </c>
      <c r="V1038" s="124">
        <v>1.0</v>
      </c>
      <c r="W1038" s="124"/>
      <c r="X1038" s="125"/>
      <c r="Y1038" s="126"/>
      <c r="Z1038" s="125">
        <f t="shared" si="4"/>
        <v>1</v>
      </c>
      <c r="AA1038" s="127" t="str">
        <f t="shared" si="5"/>
        <v>Bajo</v>
      </c>
      <c r="AB1038" s="128">
        <f t="shared" si="6"/>
        <v>2</v>
      </c>
      <c r="AC1038" s="129">
        <f t="shared" si="7"/>
        <v>0.05059644256</v>
      </c>
    </row>
    <row r="1039" ht="14.25" hidden="1" customHeight="1">
      <c r="A1039" s="116" t="s">
        <v>2899</v>
      </c>
      <c r="B1039" s="117" t="s">
        <v>2900</v>
      </c>
      <c r="C1039" s="117" t="s">
        <v>2912</v>
      </c>
      <c r="D1039" s="117" t="s">
        <v>3072</v>
      </c>
      <c r="E1039" s="117" t="s">
        <v>2912</v>
      </c>
      <c r="F1039" s="117" t="s">
        <v>2909</v>
      </c>
      <c r="G1039" s="117" t="s">
        <v>2910</v>
      </c>
      <c r="H1039" s="117" t="s">
        <v>2911</v>
      </c>
      <c r="I1039" s="117">
        <v>2.0</v>
      </c>
      <c r="J1039" s="117">
        <v>1.0</v>
      </c>
      <c r="K1039" s="117" t="str">
        <f t="shared" si="1"/>
        <v>Si</v>
      </c>
      <c r="L1039" s="118" t="s">
        <v>287</v>
      </c>
      <c r="M1039" s="119">
        <v>0.125</v>
      </c>
      <c r="N1039" s="120">
        <v>0.0</v>
      </c>
      <c r="O1039" s="121">
        <v>91.32</v>
      </c>
      <c r="P1039" s="117">
        <v>1.0</v>
      </c>
      <c r="Q1039" s="117">
        <f t="shared" si="2"/>
        <v>0</v>
      </c>
      <c r="R1039" s="122">
        <f>+(IF(((M1039*24)-P1039)&lt;0,0,((M1039*24)-P1039)*'Estimación de pérdidas'!$F$72))*N1039</f>
        <v>0</v>
      </c>
      <c r="S1039" s="123" t="s">
        <v>117</v>
      </c>
      <c r="T1039" s="124" t="s">
        <v>118</v>
      </c>
      <c r="U1039" s="124">
        <f t="shared" si="3"/>
        <v>1</v>
      </c>
      <c r="V1039" s="124">
        <v>1.0</v>
      </c>
      <c r="W1039" s="124"/>
      <c r="X1039" s="125"/>
      <c r="Y1039" s="126"/>
      <c r="Z1039" s="125">
        <f t="shared" si="4"/>
        <v>1</v>
      </c>
      <c r="AA1039" s="127" t="str">
        <f t="shared" si="5"/>
        <v>Bajo</v>
      </c>
      <c r="AB1039" s="128">
        <f t="shared" si="6"/>
        <v>2</v>
      </c>
      <c r="AC1039" s="129">
        <f t="shared" si="7"/>
        <v>0.05059644256</v>
      </c>
    </row>
    <row r="1040" ht="14.25" hidden="1" customHeight="1">
      <c r="A1040" s="116" t="s">
        <v>2899</v>
      </c>
      <c r="B1040" s="117" t="s">
        <v>2900</v>
      </c>
      <c r="C1040" s="117" t="s">
        <v>3073</v>
      </c>
      <c r="D1040" s="117" t="s">
        <v>3074</v>
      </c>
      <c r="E1040" s="117" t="s">
        <v>3073</v>
      </c>
      <c r="F1040" s="117" t="s">
        <v>3075</v>
      </c>
      <c r="G1040" s="117" t="s">
        <v>3076</v>
      </c>
      <c r="H1040" s="117" t="s">
        <v>3077</v>
      </c>
      <c r="I1040" s="117">
        <v>2.0</v>
      </c>
      <c r="J1040" s="117">
        <v>1.0</v>
      </c>
      <c r="K1040" s="117" t="str">
        <f t="shared" si="1"/>
        <v>Si</v>
      </c>
      <c r="L1040" s="118" t="s">
        <v>287</v>
      </c>
      <c r="M1040" s="119">
        <v>0.3333333333333333</v>
      </c>
      <c r="N1040" s="120">
        <v>0.0</v>
      </c>
      <c r="O1040" s="121">
        <v>91.32</v>
      </c>
      <c r="P1040" s="117">
        <v>1.0</v>
      </c>
      <c r="Q1040" s="117">
        <f t="shared" si="2"/>
        <v>0</v>
      </c>
      <c r="R1040" s="122">
        <f>+(IF(((M1040*24)-P1040)&lt;0,0,((M1040*24)-P1040)*'Estimación de pérdidas'!$F$72))*N1040</f>
        <v>0</v>
      </c>
      <c r="S1040" s="123" t="s">
        <v>117</v>
      </c>
      <c r="T1040" s="124" t="s">
        <v>118</v>
      </c>
      <c r="U1040" s="124">
        <f t="shared" si="3"/>
        <v>1</v>
      </c>
      <c r="V1040" s="124">
        <v>2.0</v>
      </c>
      <c r="W1040" s="124"/>
      <c r="X1040" s="125"/>
      <c r="Y1040" s="126"/>
      <c r="Z1040" s="125">
        <f t="shared" si="4"/>
        <v>2</v>
      </c>
      <c r="AA1040" s="127" t="str">
        <f t="shared" si="5"/>
        <v>Bajo</v>
      </c>
      <c r="AB1040" s="128">
        <f t="shared" si="6"/>
        <v>5</v>
      </c>
      <c r="AC1040" s="129">
        <f t="shared" si="7"/>
        <v>0.08</v>
      </c>
    </row>
    <row r="1041" ht="14.25" hidden="1" customHeight="1">
      <c r="A1041" s="116" t="s">
        <v>2899</v>
      </c>
      <c r="B1041" s="117" t="s">
        <v>2900</v>
      </c>
      <c r="C1041" s="117" t="s">
        <v>3078</v>
      </c>
      <c r="D1041" s="117" t="s">
        <v>3079</v>
      </c>
      <c r="E1041" s="117" t="s">
        <v>3078</v>
      </c>
      <c r="F1041" s="117" t="s">
        <v>3075</v>
      </c>
      <c r="G1041" s="117" t="s">
        <v>3076</v>
      </c>
      <c r="H1041" s="117" t="s">
        <v>3077</v>
      </c>
      <c r="I1041" s="117">
        <v>2.0</v>
      </c>
      <c r="J1041" s="117">
        <v>1.0</v>
      </c>
      <c r="K1041" s="117" t="str">
        <f t="shared" si="1"/>
        <v>Si</v>
      </c>
      <c r="L1041" s="118" t="s">
        <v>287</v>
      </c>
      <c r="M1041" s="119">
        <v>0.3333333333333333</v>
      </c>
      <c r="N1041" s="120">
        <v>0.0</v>
      </c>
      <c r="O1041" s="121">
        <v>91.32</v>
      </c>
      <c r="P1041" s="117">
        <v>1.0</v>
      </c>
      <c r="Q1041" s="117">
        <f t="shared" si="2"/>
        <v>0</v>
      </c>
      <c r="R1041" s="122">
        <f>+(IF(((M1041*24)-P1041)&lt;0,0,((M1041*24)-P1041)*'Estimación de pérdidas'!$F$72))*N1041</f>
        <v>0</v>
      </c>
      <c r="S1041" s="123" t="s">
        <v>117</v>
      </c>
      <c r="T1041" s="124" t="s">
        <v>118</v>
      </c>
      <c r="U1041" s="124">
        <f t="shared" si="3"/>
        <v>1</v>
      </c>
      <c r="V1041" s="124">
        <v>2.0</v>
      </c>
      <c r="W1041" s="124"/>
      <c r="X1041" s="125"/>
      <c r="Y1041" s="126"/>
      <c r="Z1041" s="125">
        <f t="shared" si="4"/>
        <v>2</v>
      </c>
      <c r="AA1041" s="127" t="str">
        <f t="shared" si="5"/>
        <v>Bajo</v>
      </c>
      <c r="AB1041" s="128">
        <f t="shared" si="6"/>
        <v>5</v>
      </c>
      <c r="AC1041" s="129">
        <f t="shared" si="7"/>
        <v>0.08</v>
      </c>
    </row>
    <row r="1042" ht="14.25" hidden="1" customHeight="1">
      <c r="A1042" s="116" t="s">
        <v>2899</v>
      </c>
      <c r="B1042" s="117" t="s">
        <v>2900</v>
      </c>
      <c r="C1042" s="117" t="s">
        <v>3080</v>
      </c>
      <c r="D1042" s="117" t="s">
        <v>3081</v>
      </c>
      <c r="E1042" s="117" t="s">
        <v>3080</v>
      </c>
      <c r="F1042" s="117" t="s">
        <v>3075</v>
      </c>
      <c r="G1042" s="117" t="s">
        <v>3076</v>
      </c>
      <c r="H1042" s="117" t="s">
        <v>3077</v>
      </c>
      <c r="I1042" s="117">
        <v>2.0</v>
      </c>
      <c r="J1042" s="117">
        <v>1.0</v>
      </c>
      <c r="K1042" s="117" t="str">
        <f t="shared" si="1"/>
        <v>Si</v>
      </c>
      <c r="L1042" s="118" t="s">
        <v>287</v>
      </c>
      <c r="M1042" s="119">
        <v>0.3333333333333333</v>
      </c>
      <c r="N1042" s="120">
        <v>0.0</v>
      </c>
      <c r="O1042" s="121">
        <v>91.32</v>
      </c>
      <c r="P1042" s="117">
        <v>1.0</v>
      </c>
      <c r="Q1042" s="117">
        <f t="shared" si="2"/>
        <v>0</v>
      </c>
      <c r="R1042" s="122">
        <f>+(IF(((M1042*24)-P1042)&lt;0,0,((M1042*24)-P1042)*'Estimación de pérdidas'!$F$72))*N1042</f>
        <v>0</v>
      </c>
      <c r="S1042" s="123" t="s">
        <v>117</v>
      </c>
      <c r="T1042" s="124" t="s">
        <v>118</v>
      </c>
      <c r="U1042" s="124">
        <f t="shared" si="3"/>
        <v>1</v>
      </c>
      <c r="V1042" s="124">
        <v>2.0</v>
      </c>
      <c r="W1042" s="124"/>
      <c r="X1042" s="125"/>
      <c r="Y1042" s="126"/>
      <c r="Z1042" s="125">
        <f t="shared" si="4"/>
        <v>2</v>
      </c>
      <c r="AA1042" s="127" t="str">
        <f t="shared" si="5"/>
        <v>Bajo</v>
      </c>
      <c r="AB1042" s="128">
        <f t="shared" si="6"/>
        <v>5</v>
      </c>
      <c r="AC1042" s="129">
        <f t="shared" si="7"/>
        <v>0.08</v>
      </c>
    </row>
    <row r="1043" ht="14.25" hidden="1" customHeight="1">
      <c r="A1043" s="116" t="s">
        <v>2899</v>
      </c>
      <c r="B1043" s="117" t="s">
        <v>2900</v>
      </c>
      <c r="C1043" s="117" t="s">
        <v>3082</v>
      </c>
      <c r="D1043" s="117" t="s">
        <v>3083</v>
      </c>
      <c r="E1043" s="117" t="s">
        <v>3082</v>
      </c>
      <c r="F1043" s="117" t="s">
        <v>3075</v>
      </c>
      <c r="G1043" s="117" t="s">
        <v>3076</v>
      </c>
      <c r="H1043" s="117" t="s">
        <v>3077</v>
      </c>
      <c r="I1043" s="117">
        <v>2.0</v>
      </c>
      <c r="J1043" s="117">
        <v>1.0</v>
      </c>
      <c r="K1043" s="117" t="str">
        <f t="shared" si="1"/>
        <v>Si</v>
      </c>
      <c r="L1043" s="118" t="s">
        <v>287</v>
      </c>
      <c r="M1043" s="119">
        <v>0.3333333333333333</v>
      </c>
      <c r="N1043" s="120">
        <v>0.0</v>
      </c>
      <c r="O1043" s="121">
        <v>91.32</v>
      </c>
      <c r="P1043" s="117">
        <v>1.0</v>
      </c>
      <c r="Q1043" s="117">
        <f t="shared" si="2"/>
        <v>0</v>
      </c>
      <c r="R1043" s="122">
        <f>+(IF(((M1043*24)-P1043)&lt;0,0,((M1043*24)-P1043)*'Estimación de pérdidas'!$F$72))*N1043</f>
        <v>0</v>
      </c>
      <c r="S1043" s="123" t="s">
        <v>117</v>
      </c>
      <c r="T1043" s="124" t="s">
        <v>118</v>
      </c>
      <c r="U1043" s="124">
        <f t="shared" si="3"/>
        <v>1</v>
      </c>
      <c r="V1043" s="124">
        <v>2.0</v>
      </c>
      <c r="W1043" s="124"/>
      <c r="X1043" s="125"/>
      <c r="Y1043" s="126"/>
      <c r="Z1043" s="125">
        <f t="shared" si="4"/>
        <v>2</v>
      </c>
      <c r="AA1043" s="127" t="str">
        <f t="shared" si="5"/>
        <v>Bajo</v>
      </c>
      <c r="AB1043" s="128">
        <f t="shared" si="6"/>
        <v>5</v>
      </c>
      <c r="AC1043" s="129">
        <f t="shared" si="7"/>
        <v>0.08</v>
      </c>
    </row>
    <row r="1044" ht="14.25" hidden="1" customHeight="1">
      <c r="A1044" s="116" t="s">
        <v>2899</v>
      </c>
      <c r="B1044" s="117" t="s">
        <v>2900</v>
      </c>
      <c r="C1044" s="117" t="s">
        <v>3084</v>
      </c>
      <c r="D1044" s="117" t="s">
        <v>3085</v>
      </c>
      <c r="E1044" s="117" t="s">
        <v>3084</v>
      </c>
      <c r="F1044" s="117" t="s">
        <v>3086</v>
      </c>
      <c r="G1044" s="117" t="s">
        <v>3087</v>
      </c>
      <c r="H1044" s="117" t="s">
        <v>3088</v>
      </c>
      <c r="I1044" s="117">
        <v>1.0</v>
      </c>
      <c r="J1044" s="117">
        <v>1.0</v>
      </c>
      <c r="K1044" s="117" t="str">
        <f t="shared" si="1"/>
        <v>No</v>
      </c>
      <c r="L1044" s="118" t="s">
        <v>116</v>
      </c>
      <c r="M1044" s="119">
        <v>0.3333333333333333</v>
      </c>
      <c r="N1044" s="120">
        <v>0.0</v>
      </c>
      <c r="O1044" s="121">
        <v>91.32</v>
      </c>
      <c r="P1044" s="117">
        <v>1.0</v>
      </c>
      <c r="Q1044" s="117">
        <f t="shared" si="2"/>
        <v>0</v>
      </c>
      <c r="R1044" s="122">
        <f>+(IF(((M1044*24)-P1044)&lt;0,0,((M1044*24)-P1044)*'Estimación de pérdidas'!$F$72))*N1044</f>
        <v>0</v>
      </c>
      <c r="S1044" s="123" t="s">
        <v>117</v>
      </c>
      <c r="T1044" s="124" t="s">
        <v>119</v>
      </c>
      <c r="U1044" s="124">
        <f t="shared" si="3"/>
        <v>1</v>
      </c>
      <c r="V1044" s="124">
        <v>1.0</v>
      </c>
      <c r="W1044" s="124"/>
      <c r="X1044" s="125"/>
      <c r="Y1044" s="126"/>
      <c r="Z1044" s="125">
        <f t="shared" si="4"/>
        <v>1</v>
      </c>
      <c r="AA1044" s="127" t="str">
        <f t="shared" si="5"/>
        <v>Bajo</v>
      </c>
      <c r="AB1044" s="128">
        <f t="shared" si="6"/>
        <v>4</v>
      </c>
      <c r="AC1044" s="129">
        <f t="shared" si="7"/>
        <v>0.07589466384</v>
      </c>
    </row>
    <row r="1045" ht="14.25" hidden="1" customHeight="1">
      <c r="A1045" s="116" t="s">
        <v>2899</v>
      </c>
      <c r="B1045" s="117" t="s">
        <v>2900</v>
      </c>
      <c r="C1045" s="117" t="s">
        <v>3089</v>
      </c>
      <c r="D1045" s="117" t="s">
        <v>3090</v>
      </c>
      <c r="E1045" s="117" t="s">
        <v>3089</v>
      </c>
      <c r="F1045" s="117" t="s">
        <v>3086</v>
      </c>
      <c r="G1045" s="117" t="s">
        <v>3087</v>
      </c>
      <c r="H1045" s="117" t="s">
        <v>3088</v>
      </c>
      <c r="I1045" s="117">
        <v>1.0</v>
      </c>
      <c r="J1045" s="117">
        <v>1.0</v>
      </c>
      <c r="K1045" s="117" t="str">
        <f t="shared" si="1"/>
        <v>No</v>
      </c>
      <c r="L1045" s="118" t="s">
        <v>116</v>
      </c>
      <c r="M1045" s="119">
        <v>0.3333333333333333</v>
      </c>
      <c r="N1045" s="120">
        <v>0.0</v>
      </c>
      <c r="O1045" s="121">
        <v>91.32</v>
      </c>
      <c r="P1045" s="117">
        <v>1.0</v>
      </c>
      <c r="Q1045" s="117">
        <f t="shared" si="2"/>
        <v>0</v>
      </c>
      <c r="R1045" s="122">
        <f>+(IF(((M1045*24)-P1045)&lt;0,0,((M1045*24)-P1045)*'Estimación de pérdidas'!$F$72))*N1045</f>
        <v>0</v>
      </c>
      <c r="S1045" s="123" t="s">
        <v>117</v>
      </c>
      <c r="T1045" s="124" t="s">
        <v>119</v>
      </c>
      <c r="U1045" s="124">
        <f t="shared" si="3"/>
        <v>1</v>
      </c>
      <c r="V1045" s="124">
        <v>1.0</v>
      </c>
      <c r="W1045" s="124"/>
      <c r="X1045" s="125"/>
      <c r="Y1045" s="126"/>
      <c r="Z1045" s="125">
        <f t="shared" si="4"/>
        <v>1</v>
      </c>
      <c r="AA1045" s="127" t="str">
        <f t="shared" si="5"/>
        <v>Bajo</v>
      </c>
      <c r="AB1045" s="128">
        <f t="shared" si="6"/>
        <v>4</v>
      </c>
      <c r="AC1045" s="129">
        <f t="shared" si="7"/>
        <v>0.07589466384</v>
      </c>
    </row>
    <row r="1046" ht="14.25" hidden="1" customHeight="1">
      <c r="A1046" s="116" t="s">
        <v>847</v>
      </c>
      <c r="B1046" s="117" t="s">
        <v>1539</v>
      </c>
      <c r="C1046" s="117" t="s">
        <v>3091</v>
      </c>
      <c r="D1046" s="117" t="s">
        <v>3092</v>
      </c>
      <c r="E1046" s="117" t="s">
        <v>3091</v>
      </c>
      <c r="F1046" s="117" t="s">
        <v>3093</v>
      </c>
      <c r="G1046" s="117" t="s">
        <v>1903</v>
      </c>
      <c r="H1046" s="117" t="s">
        <v>1904</v>
      </c>
      <c r="I1046" s="117">
        <v>1.0</v>
      </c>
      <c r="J1046" s="117">
        <v>1.0</v>
      </c>
      <c r="K1046" s="117" t="str">
        <f t="shared" si="1"/>
        <v>No</v>
      </c>
      <c r="L1046" s="118" t="s">
        <v>116</v>
      </c>
      <c r="M1046" s="119">
        <v>0.75</v>
      </c>
      <c r="N1046" s="120">
        <v>1.0</v>
      </c>
      <c r="O1046" s="121">
        <v>91.32</v>
      </c>
      <c r="P1046" s="117">
        <v>12.0</v>
      </c>
      <c r="Q1046" s="117">
        <f t="shared" si="2"/>
        <v>6</v>
      </c>
      <c r="R1046" s="122">
        <f>+(IF(((M1046*24)-P1046)&lt;0,0,((M1046*24)-P1046)*'Estimación de pérdidas'!$F$72))*N1046</f>
        <v>346068.4495</v>
      </c>
      <c r="S1046" s="123" t="s">
        <v>117</v>
      </c>
      <c r="T1046" s="124" t="s">
        <v>119</v>
      </c>
      <c r="U1046" s="124">
        <f t="shared" si="3"/>
        <v>3</v>
      </c>
      <c r="V1046" s="124">
        <v>2.0</v>
      </c>
      <c r="W1046" s="124"/>
      <c r="X1046" s="125"/>
      <c r="Y1046" s="126"/>
      <c r="Z1046" s="125">
        <f t="shared" si="4"/>
        <v>3</v>
      </c>
      <c r="AA1046" s="127" t="str">
        <f t="shared" si="5"/>
        <v>Moderado</v>
      </c>
      <c r="AB1046" s="128">
        <f t="shared" si="6"/>
        <v>13</v>
      </c>
      <c r="AC1046" s="129">
        <f t="shared" si="7"/>
        <v>0.193494186</v>
      </c>
      <c r="AD1046" s="131"/>
    </row>
    <row r="1047" ht="14.25" hidden="1" customHeight="1">
      <c r="A1047" s="116" t="s">
        <v>847</v>
      </c>
      <c r="B1047" s="117" t="s">
        <v>1539</v>
      </c>
      <c r="C1047" s="117" t="s">
        <v>3094</v>
      </c>
      <c r="D1047" s="117" t="s">
        <v>3095</v>
      </c>
      <c r="E1047" s="117" t="s">
        <v>3091</v>
      </c>
      <c r="F1047" s="117" t="s">
        <v>3093</v>
      </c>
      <c r="G1047" s="117" t="s">
        <v>1903</v>
      </c>
      <c r="H1047" s="117" t="s">
        <v>1904</v>
      </c>
      <c r="I1047" s="117">
        <v>1.0</v>
      </c>
      <c r="J1047" s="117">
        <v>1.0</v>
      </c>
      <c r="K1047" s="117" t="str">
        <f t="shared" si="1"/>
        <v>No</v>
      </c>
      <c r="L1047" s="118" t="s">
        <v>116</v>
      </c>
      <c r="M1047" s="119">
        <v>0.75</v>
      </c>
      <c r="N1047" s="120">
        <v>1.0</v>
      </c>
      <c r="O1047" s="121">
        <v>91.32</v>
      </c>
      <c r="P1047" s="117">
        <v>12.0</v>
      </c>
      <c r="Q1047" s="117">
        <f t="shared" si="2"/>
        <v>6</v>
      </c>
      <c r="R1047" s="122">
        <f>+(IF(((M1047*24)-P1047)&lt;0,0,((M1047*24)-P1047)*'Estimación de pérdidas'!$F$72))*N1047</f>
        <v>346068.4495</v>
      </c>
      <c r="S1047" s="123" t="s">
        <v>117</v>
      </c>
      <c r="T1047" s="124" t="s">
        <v>119</v>
      </c>
      <c r="U1047" s="124">
        <f t="shared" si="3"/>
        <v>3</v>
      </c>
      <c r="V1047" s="124">
        <v>2.0</v>
      </c>
      <c r="W1047" s="124"/>
      <c r="X1047" s="125"/>
      <c r="Y1047" s="126"/>
      <c r="Z1047" s="125">
        <f t="shared" si="4"/>
        <v>3</v>
      </c>
      <c r="AA1047" s="127" t="str">
        <f t="shared" si="5"/>
        <v>Moderado</v>
      </c>
      <c r="AB1047" s="128">
        <f t="shared" si="6"/>
        <v>13</v>
      </c>
      <c r="AC1047" s="129">
        <f t="shared" si="7"/>
        <v>0.193494186</v>
      </c>
      <c r="AD1047" s="131"/>
    </row>
    <row r="1048" ht="14.25" hidden="1" customHeight="1">
      <c r="A1048" s="116" t="s">
        <v>847</v>
      </c>
      <c r="B1048" s="117" t="s">
        <v>1539</v>
      </c>
      <c r="C1048" s="117" t="s">
        <v>3091</v>
      </c>
      <c r="D1048" s="117" t="s">
        <v>3096</v>
      </c>
      <c r="E1048" s="117" t="s">
        <v>3091</v>
      </c>
      <c r="F1048" s="117" t="s">
        <v>3093</v>
      </c>
      <c r="G1048" s="117" t="s">
        <v>1903</v>
      </c>
      <c r="H1048" s="117" t="s">
        <v>1904</v>
      </c>
      <c r="I1048" s="117">
        <v>1.0</v>
      </c>
      <c r="J1048" s="117">
        <v>1.0</v>
      </c>
      <c r="K1048" s="117" t="str">
        <f t="shared" si="1"/>
        <v>No</v>
      </c>
      <c r="L1048" s="118" t="s">
        <v>116</v>
      </c>
      <c r="M1048" s="119">
        <v>0.75</v>
      </c>
      <c r="N1048" s="120">
        <v>1.0</v>
      </c>
      <c r="O1048" s="121">
        <v>91.32</v>
      </c>
      <c r="P1048" s="117">
        <v>12.0</v>
      </c>
      <c r="Q1048" s="117">
        <f t="shared" si="2"/>
        <v>6</v>
      </c>
      <c r="R1048" s="122">
        <f>+(IF(((M1048*24)-P1048)&lt;0,0,((M1048*24)-P1048)*'Estimación de pérdidas'!$F$72))*N1048</f>
        <v>346068.4495</v>
      </c>
      <c r="S1048" s="123" t="s">
        <v>117</v>
      </c>
      <c r="T1048" s="124" t="s">
        <v>119</v>
      </c>
      <c r="U1048" s="124">
        <f t="shared" si="3"/>
        <v>3</v>
      </c>
      <c r="V1048" s="124">
        <v>2.0</v>
      </c>
      <c r="W1048" s="124"/>
      <c r="X1048" s="125"/>
      <c r="Y1048" s="126"/>
      <c r="Z1048" s="125">
        <f t="shared" si="4"/>
        <v>3</v>
      </c>
      <c r="AA1048" s="127" t="str">
        <f t="shared" si="5"/>
        <v>Moderado</v>
      </c>
      <c r="AB1048" s="128">
        <f t="shared" si="6"/>
        <v>13</v>
      </c>
      <c r="AC1048" s="129">
        <f t="shared" si="7"/>
        <v>0.193494186</v>
      </c>
      <c r="AD1048" s="131"/>
    </row>
    <row r="1049" ht="14.25" hidden="1" customHeight="1">
      <c r="A1049" s="116" t="s">
        <v>108</v>
      </c>
      <c r="B1049" s="117" t="s">
        <v>109</v>
      </c>
      <c r="C1049" s="117" t="s">
        <v>3097</v>
      </c>
      <c r="D1049" s="117" t="s">
        <v>3098</v>
      </c>
      <c r="E1049" s="117" t="s">
        <v>3099</v>
      </c>
      <c r="F1049" s="117" t="s">
        <v>3100</v>
      </c>
      <c r="G1049" s="117" t="s">
        <v>3101</v>
      </c>
      <c r="H1049" s="117" t="s">
        <v>3102</v>
      </c>
      <c r="I1049" s="117">
        <v>1.0</v>
      </c>
      <c r="J1049" s="117">
        <v>1.0</v>
      </c>
      <c r="K1049" s="117" t="str">
        <f t="shared" si="1"/>
        <v>No</v>
      </c>
      <c r="L1049" s="118" t="s">
        <v>116</v>
      </c>
      <c r="M1049" s="119">
        <v>0.3333333333333333</v>
      </c>
      <c r="N1049" s="120">
        <v>0.0</v>
      </c>
      <c r="O1049" s="121">
        <v>70.0</v>
      </c>
      <c r="P1049" s="117">
        <v>10.0</v>
      </c>
      <c r="Q1049" s="117">
        <f t="shared" si="2"/>
        <v>0</v>
      </c>
      <c r="R1049" s="122">
        <f>+(IF(((M1049*24)-P1049)&lt;0,0,((M1049*24)-P1049)*'Estimación de pérdidas'!$F$72))*N1049</f>
        <v>0</v>
      </c>
      <c r="S1049" s="123" t="s">
        <v>117</v>
      </c>
      <c r="T1049" s="124" t="s">
        <v>118</v>
      </c>
      <c r="U1049" s="124">
        <f t="shared" si="3"/>
        <v>1</v>
      </c>
      <c r="V1049" s="124">
        <v>1.0</v>
      </c>
      <c r="W1049" s="124"/>
      <c r="X1049" s="125"/>
      <c r="Y1049" s="126"/>
      <c r="Z1049" s="125">
        <f t="shared" si="4"/>
        <v>1</v>
      </c>
      <c r="AA1049" s="127" t="str">
        <f t="shared" si="5"/>
        <v>Bajo</v>
      </c>
      <c r="AB1049" s="128">
        <f t="shared" si="6"/>
        <v>2</v>
      </c>
      <c r="AC1049" s="129">
        <f t="shared" si="7"/>
        <v>0.05059644256</v>
      </c>
    </row>
    <row r="1050" ht="14.25" hidden="1" customHeight="1">
      <c r="A1050" s="116" t="s">
        <v>221</v>
      </c>
      <c r="B1050" s="117" t="s">
        <v>222</v>
      </c>
      <c r="C1050" s="117" t="s">
        <v>3103</v>
      </c>
      <c r="D1050" s="117" t="s">
        <v>3104</v>
      </c>
      <c r="E1050" s="117" t="s">
        <v>3105</v>
      </c>
      <c r="F1050" s="117" t="s">
        <v>3106</v>
      </c>
      <c r="G1050" s="117" t="s">
        <v>2136</v>
      </c>
      <c r="H1050" s="117" t="s">
        <v>2137</v>
      </c>
      <c r="I1050" s="117">
        <v>1.0</v>
      </c>
      <c r="J1050" s="117">
        <v>1.0</v>
      </c>
      <c r="K1050" s="117" t="str">
        <f t="shared" si="1"/>
        <v>No</v>
      </c>
      <c r="L1050" s="118" t="s">
        <v>116</v>
      </c>
      <c r="M1050" s="119">
        <v>0.3333333333333333</v>
      </c>
      <c r="N1050" s="120">
        <v>0.0</v>
      </c>
      <c r="O1050" s="121"/>
      <c r="P1050" s="117">
        <v>0.0</v>
      </c>
      <c r="Q1050" s="117">
        <f t="shared" si="2"/>
        <v>0</v>
      </c>
      <c r="R1050" s="122">
        <f>+(IF(((M1050*24)-P1050)&lt;0,0,((M1050*24)-P1050)*'Estimación de pérdidas'!$F$72))*N1050</f>
        <v>0</v>
      </c>
      <c r="S1050" s="123" t="s">
        <v>117</v>
      </c>
      <c r="T1050" s="124" t="s">
        <v>118</v>
      </c>
      <c r="U1050" s="124">
        <f t="shared" si="3"/>
        <v>1</v>
      </c>
      <c r="V1050" s="124">
        <v>1.0</v>
      </c>
      <c r="W1050" s="124"/>
      <c r="X1050" s="125"/>
      <c r="Y1050" s="126"/>
      <c r="Z1050" s="125">
        <f t="shared" si="4"/>
        <v>1</v>
      </c>
      <c r="AA1050" s="127" t="str">
        <f t="shared" si="5"/>
        <v>Bajo</v>
      </c>
      <c r="AB1050" s="128">
        <f t="shared" si="6"/>
        <v>2</v>
      </c>
      <c r="AC1050" s="129">
        <f t="shared" si="7"/>
        <v>0.05059644256</v>
      </c>
    </row>
    <row r="1051" ht="14.25" hidden="1" customHeight="1">
      <c r="A1051" s="116" t="s">
        <v>221</v>
      </c>
      <c r="B1051" s="117" t="s">
        <v>222</v>
      </c>
      <c r="C1051" s="117" t="s">
        <v>3103</v>
      </c>
      <c r="D1051" s="117" t="s">
        <v>3107</v>
      </c>
      <c r="E1051" s="117" t="s">
        <v>3105</v>
      </c>
      <c r="F1051" s="117" t="s">
        <v>3106</v>
      </c>
      <c r="G1051" s="117" t="s">
        <v>2136</v>
      </c>
      <c r="H1051" s="117" t="s">
        <v>2137</v>
      </c>
      <c r="I1051" s="117">
        <v>1.0</v>
      </c>
      <c r="J1051" s="117">
        <v>1.0</v>
      </c>
      <c r="K1051" s="117" t="str">
        <f t="shared" si="1"/>
        <v>No</v>
      </c>
      <c r="L1051" s="118" t="s">
        <v>116</v>
      </c>
      <c r="M1051" s="119">
        <v>0.3333333333333333</v>
      </c>
      <c r="N1051" s="120">
        <v>0.0</v>
      </c>
      <c r="O1051" s="121"/>
      <c r="P1051" s="117">
        <v>0.0</v>
      </c>
      <c r="Q1051" s="117">
        <f t="shared" si="2"/>
        <v>0</v>
      </c>
      <c r="R1051" s="122">
        <f>+(IF(((M1051*24)-P1051)&lt;0,0,((M1051*24)-P1051)*'Estimación de pérdidas'!$F$72))*N1051</f>
        <v>0</v>
      </c>
      <c r="S1051" s="123" t="s">
        <v>117</v>
      </c>
      <c r="T1051" s="124" t="s">
        <v>118</v>
      </c>
      <c r="U1051" s="124">
        <f t="shared" si="3"/>
        <v>1</v>
      </c>
      <c r="V1051" s="124">
        <v>1.0</v>
      </c>
      <c r="W1051" s="124"/>
      <c r="X1051" s="125"/>
      <c r="Y1051" s="126"/>
      <c r="Z1051" s="125">
        <f t="shared" si="4"/>
        <v>1</v>
      </c>
      <c r="AA1051" s="127" t="str">
        <f t="shared" si="5"/>
        <v>Bajo</v>
      </c>
      <c r="AB1051" s="128">
        <f t="shared" si="6"/>
        <v>2</v>
      </c>
      <c r="AC1051" s="129">
        <f t="shared" si="7"/>
        <v>0.05059644256</v>
      </c>
    </row>
    <row r="1052" ht="14.25" hidden="1" customHeight="1">
      <c r="A1052" s="116" t="s">
        <v>300</v>
      </c>
      <c r="B1052" s="117" t="s">
        <v>301</v>
      </c>
      <c r="C1052" s="117" t="s">
        <v>3108</v>
      </c>
      <c r="D1052" s="117" t="s">
        <v>3109</v>
      </c>
      <c r="E1052" s="117" t="s">
        <v>3110</v>
      </c>
      <c r="F1052" s="117" t="s">
        <v>3111</v>
      </c>
      <c r="G1052" s="117" t="s">
        <v>551</v>
      </c>
      <c r="H1052" s="117" t="s">
        <v>1364</v>
      </c>
      <c r="I1052" s="117">
        <v>1.0</v>
      </c>
      <c r="J1052" s="117">
        <v>1.0</v>
      </c>
      <c r="K1052" s="117" t="str">
        <f t="shared" si="1"/>
        <v>No</v>
      </c>
      <c r="L1052" s="118" t="s">
        <v>116</v>
      </c>
      <c r="M1052" s="119">
        <v>0.16666666666666666</v>
      </c>
      <c r="N1052" s="120">
        <v>0.0</v>
      </c>
      <c r="O1052" s="121"/>
      <c r="P1052" s="117">
        <v>0.0</v>
      </c>
      <c r="Q1052" s="117">
        <f t="shared" si="2"/>
        <v>0</v>
      </c>
      <c r="R1052" s="122">
        <f>+(IF(((M1052*24)-P1052)&lt;0,0,((M1052*24)-P1052)*'Estimación de pérdidas'!$F$72))*N1052</f>
        <v>0</v>
      </c>
      <c r="S1052" s="123" t="s">
        <v>117</v>
      </c>
      <c r="T1052" s="124" t="s">
        <v>118</v>
      </c>
      <c r="U1052" s="124">
        <f t="shared" si="3"/>
        <v>1</v>
      </c>
      <c r="V1052" s="124">
        <v>1.0</v>
      </c>
      <c r="W1052" s="124"/>
      <c r="X1052" s="125"/>
      <c r="Y1052" s="126"/>
      <c r="Z1052" s="125">
        <f t="shared" si="4"/>
        <v>1</v>
      </c>
      <c r="AA1052" s="127" t="str">
        <f t="shared" si="5"/>
        <v>Bajo</v>
      </c>
      <c r="AB1052" s="128">
        <f t="shared" si="6"/>
        <v>2</v>
      </c>
      <c r="AC1052" s="129">
        <f t="shared" si="7"/>
        <v>0.05059644256</v>
      </c>
    </row>
    <row r="1053" ht="14.25" hidden="1" customHeight="1">
      <c r="A1053" s="116" t="s">
        <v>300</v>
      </c>
      <c r="B1053" s="117" t="s">
        <v>301</v>
      </c>
      <c r="C1053" s="117" t="s">
        <v>3112</v>
      </c>
      <c r="D1053" s="117" t="s">
        <v>3113</v>
      </c>
      <c r="E1053" s="117" t="s">
        <v>3114</v>
      </c>
      <c r="F1053" s="117" t="s">
        <v>3115</v>
      </c>
      <c r="G1053" s="117" t="s">
        <v>3116</v>
      </c>
      <c r="H1053" s="117" t="s">
        <v>3117</v>
      </c>
      <c r="I1053" s="117">
        <v>1.0</v>
      </c>
      <c r="J1053" s="117">
        <v>1.0</v>
      </c>
      <c r="K1053" s="117" t="str">
        <f t="shared" si="1"/>
        <v>No</v>
      </c>
      <c r="L1053" s="118" t="s">
        <v>116</v>
      </c>
      <c r="M1053" s="119">
        <v>0.3333333333333333</v>
      </c>
      <c r="N1053" s="120">
        <v>0.0</v>
      </c>
      <c r="O1053" s="121"/>
      <c r="P1053" s="117">
        <v>0.0</v>
      </c>
      <c r="Q1053" s="117">
        <f t="shared" si="2"/>
        <v>0</v>
      </c>
      <c r="R1053" s="122">
        <f>+(IF(((M1053*24)-P1053)&lt;0,0,((M1053*24)-P1053)*'Estimación de pérdidas'!$F$72))*N1053</f>
        <v>0</v>
      </c>
      <c r="S1053" s="123" t="s">
        <v>117</v>
      </c>
      <c r="T1053" s="124" t="s">
        <v>132</v>
      </c>
      <c r="U1053" s="124">
        <f t="shared" si="3"/>
        <v>1</v>
      </c>
      <c r="V1053" s="124">
        <v>1.0</v>
      </c>
      <c r="W1053" s="124"/>
      <c r="X1053" s="125"/>
      <c r="Y1053" s="126"/>
      <c r="Z1053" s="125">
        <f t="shared" si="4"/>
        <v>1</v>
      </c>
      <c r="AA1053" s="127" t="str">
        <f t="shared" si="5"/>
        <v>Bajo</v>
      </c>
      <c r="AB1053" s="128">
        <f t="shared" si="6"/>
        <v>1</v>
      </c>
      <c r="AC1053" s="129">
        <f t="shared" si="7"/>
        <v>0.02529822128</v>
      </c>
    </row>
    <row r="1054" ht="14.25" hidden="1" customHeight="1">
      <c r="A1054" s="116" t="s">
        <v>300</v>
      </c>
      <c r="B1054" s="117" t="s">
        <v>2115</v>
      </c>
      <c r="C1054" s="117" t="s">
        <v>3118</v>
      </c>
      <c r="D1054" s="117" t="s">
        <v>3119</v>
      </c>
      <c r="E1054" s="117" t="s">
        <v>3118</v>
      </c>
      <c r="F1054" s="117" t="s">
        <v>3120</v>
      </c>
      <c r="G1054" s="117" t="s">
        <v>2136</v>
      </c>
      <c r="H1054" s="117" t="s">
        <v>2137</v>
      </c>
      <c r="I1054" s="117">
        <v>1.0</v>
      </c>
      <c r="J1054" s="117">
        <v>1.0</v>
      </c>
      <c r="K1054" s="117" t="str">
        <f t="shared" si="1"/>
        <v>No</v>
      </c>
      <c r="L1054" s="118" t="s">
        <v>116</v>
      </c>
      <c r="M1054" s="119">
        <v>0.3333333333333333</v>
      </c>
      <c r="N1054" s="120">
        <v>0.0</v>
      </c>
      <c r="O1054" s="121"/>
      <c r="P1054" s="117">
        <v>0.0</v>
      </c>
      <c r="Q1054" s="117">
        <f t="shared" si="2"/>
        <v>0</v>
      </c>
      <c r="R1054" s="122">
        <f>+(IF(((M1054*24)-P1054)&lt;0,0,((M1054*24)-P1054)*'Estimación de pérdidas'!$F$72))*N1054</f>
        <v>0</v>
      </c>
      <c r="S1054" s="123" t="s">
        <v>117</v>
      </c>
      <c r="T1054" s="124" t="s">
        <v>118</v>
      </c>
      <c r="U1054" s="124">
        <f t="shared" si="3"/>
        <v>1</v>
      </c>
      <c r="V1054" s="124">
        <v>1.0</v>
      </c>
      <c r="W1054" s="124"/>
      <c r="X1054" s="125"/>
      <c r="Y1054" s="126"/>
      <c r="Z1054" s="125">
        <f t="shared" si="4"/>
        <v>1</v>
      </c>
      <c r="AA1054" s="127" t="str">
        <f t="shared" si="5"/>
        <v>Bajo</v>
      </c>
      <c r="AB1054" s="128">
        <f t="shared" si="6"/>
        <v>2</v>
      </c>
      <c r="AC1054" s="129">
        <f t="shared" si="7"/>
        <v>0.05059644256</v>
      </c>
    </row>
    <row r="1055" ht="14.25" hidden="1" customHeight="1">
      <c r="A1055" s="116" t="s">
        <v>300</v>
      </c>
      <c r="B1055" s="117" t="s">
        <v>2115</v>
      </c>
      <c r="C1055" s="117" t="s">
        <v>3121</v>
      </c>
      <c r="D1055" s="117" t="s">
        <v>3122</v>
      </c>
      <c r="E1055" s="117" t="s">
        <v>3123</v>
      </c>
      <c r="F1055" s="117" t="s">
        <v>3124</v>
      </c>
      <c r="G1055" s="117" t="s">
        <v>2428</v>
      </c>
      <c r="H1055" s="117" t="s">
        <v>2429</v>
      </c>
      <c r="I1055" s="117">
        <v>1.0</v>
      </c>
      <c r="J1055" s="117">
        <v>1.0</v>
      </c>
      <c r="K1055" s="117" t="str">
        <f t="shared" si="1"/>
        <v>No</v>
      </c>
      <c r="L1055" s="118" t="s">
        <v>116</v>
      </c>
      <c r="M1055" s="119">
        <v>0.25</v>
      </c>
      <c r="N1055" s="120">
        <v>0.0</v>
      </c>
      <c r="O1055" s="121">
        <v>91.32</v>
      </c>
      <c r="P1055" s="117">
        <v>1.0</v>
      </c>
      <c r="Q1055" s="117">
        <f t="shared" si="2"/>
        <v>0</v>
      </c>
      <c r="R1055" s="122">
        <f>+(IF(((M1055*24)-P1055)&lt;0,0,((M1055*24)-P1055)*'Estimación de pérdidas'!$F$72))*N1055</f>
        <v>0</v>
      </c>
      <c r="S1055" s="123" t="s">
        <v>117</v>
      </c>
      <c r="T1055" s="124" t="s">
        <v>118</v>
      </c>
      <c r="U1055" s="124">
        <f t="shared" si="3"/>
        <v>1</v>
      </c>
      <c r="V1055" s="124">
        <v>1.0</v>
      </c>
      <c r="W1055" s="124"/>
      <c r="X1055" s="125"/>
      <c r="Y1055" s="126"/>
      <c r="Z1055" s="125">
        <f t="shared" si="4"/>
        <v>1</v>
      </c>
      <c r="AA1055" s="127" t="str">
        <f t="shared" si="5"/>
        <v>Bajo</v>
      </c>
      <c r="AB1055" s="128">
        <f t="shared" si="6"/>
        <v>2</v>
      </c>
      <c r="AC1055" s="129">
        <f t="shared" si="7"/>
        <v>0.05059644256</v>
      </c>
    </row>
    <row r="1056" ht="14.25" hidden="1" customHeight="1">
      <c r="A1056" s="116" t="s">
        <v>480</v>
      </c>
      <c r="B1056" s="117" t="s">
        <v>481</v>
      </c>
      <c r="C1056" s="117" t="s">
        <v>3125</v>
      </c>
      <c r="D1056" s="117" t="s">
        <v>3126</v>
      </c>
      <c r="E1056" s="117" t="s">
        <v>3127</v>
      </c>
      <c r="F1056" s="117" t="s">
        <v>3128</v>
      </c>
      <c r="G1056" s="117" t="s">
        <v>551</v>
      </c>
      <c r="H1056" s="117" t="s">
        <v>1364</v>
      </c>
      <c r="I1056" s="117">
        <v>1.0</v>
      </c>
      <c r="J1056" s="117">
        <v>1.0</v>
      </c>
      <c r="K1056" s="117" t="str">
        <f t="shared" si="1"/>
        <v>No</v>
      </c>
      <c r="L1056" s="118" t="s">
        <v>116</v>
      </c>
      <c r="M1056" s="119">
        <v>0.16666666666666666</v>
      </c>
      <c r="N1056" s="120">
        <v>0.0</v>
      </c>
      <c r="O1056" s="121"/>
      <c r="P1056" s="117">
        <v>0.0</v>
      </c>
      <c r="Q1056" s="117">
        <f t="shared" si="2"/>
        <v>0</v>
      </c>
      <c r="R1056" s="122">
        <f>+(IF(((M1056*24)-P1056)&lt;0,0,((M1056*24)-P1056)*'Estimación de pérdidas'!$F$72))*N1056</f>
        <v>0</v>
      </c>
      <c r="S1056" s="123" t="s">
        <v>117</v>
      </c>
      <c r="T1056" s="124" t="s">
        <v>118</v>
      </c>
      <c r="U1056" s="124">
        <f t="shared" si="3"/>
        <v>1</v>
      </c>
      <c r="V1056" s="124">
        <v>1.0</v>
      </c>
      <c r="W1056" s="124"/>
      <c r="X1056" s="125"/>
      <c r="Y1056" s="126"/>
      <c r="Z1056" s="125">
        <f t="shared" si="4"/>
        <v>1</v>
      </c>
      <c r="AA1056" s="127" t="str">
        <f t="shared" si="5"/>
        <v>Bajo</v>
      </c>
      <c r="AB1056" s="128">
        <f t="shared" si="6"/>
        <v>2</v>
      </c>
      <c r="AC1056" s="129">
        <f t="shared" si="7"/>
        <v>0.05059644256</v>
      </c>
    </row>
    <row r="1057" ht="14.25" hidden="1" customHeight="1">
      <c r="A1057" s="116" t="s">
        <v>480</v>
      </c>
      <c r="B1057" s="117" t="s">
        <v>481</v>
      </c>
      <c r="C1057" s="117" t="s">
        <v>3129</v>
      </c>
      <c r="D1057" s="117" t="s">
        <v>3130</v>
      </c>
      <c r="E1057" s="117" t="s">
        <v>3131</v>
      </c>
      <c r="F1057" s="117" t="s">
        <v>3132</v>
      </c>
      <c r="G1057" s="117" t="s">
        <v>551</v>
      </c>
      <c r="H1057" s="117" t="s">
        <v>1364</v>
      </c>
      <c r="I1057" s="117">
        <v>1.0</v>
      </c>
      <c r="J1057" s="117">
        <v>1.0</v>
      </c>
      <c r="K1057" s="117" t="str">
        <f t="shared" si="1"/>
        <v>No</v>
      </c>
      <c r="L1057" s="118" t="s">
        <v>116</v>
      </c>
      <c r="M1057" s="119">
        <v>0.16666666666666666</v>
      </c>
      <c r="N1057" s="120">
        <v>0.0</v>
      </c>
      <c r="O1057" s="121"/>
      <c r="P1057" s="117">
        <v>0.0</v>
      </c>
      <c r="Q1057" s="117">
        <f t="shared" si="2"/>
        <v>0</v>
      </c>
      <c r="R1057" s="122">
        <f>+(IF(((M1057*24)-P1057)&lt;0,0,((M1057*24)-P1057)*'Estimación de pérdidas'!$F$72))*N1057</f>
        <v>0</v>
      </c>
      <c r="S1057" s="123" t="s">
        <v>117</v>
      </c>
      <c r="T1057" s="124" t="s">
        <v>118</v>
      </c>
      <c r="U1057" s="124">
        <f t="shared" si="3"/>
        <v>1</v>
      </c>
      <c r="V1057" s="124">
        <v>1.0</v>
      </c>
      <c r="W1057" s="124"/>
      <c r="X1057" s="125"/>
      <c r="Y1057" s="126"/>
      <c r="Z1057" s="125">
        <f t="shared" si="4"/>
        <v>1</v>
      </c>
      <c r="AA1057" s="127" t="str">
        <f t="shared" si="5"/>
        <v>Bajo</v>
      </c>
      <c r="AB1057" s="128">
        <f t="shared" si="6"/>
        <v>2</v>
      </c>
      <c r="AC1057" s="129">
        <f t="shared" si="7"/>
        <v>0.05059644256</v>
      </c>
    </row>
    <row r="1058" ht="14.25" hidden="1" customHeight="1">
      <c r="A1058" s="116" t="s">
        <v>480</v>
      </c>
      <c r="B1058" s="117" t="s">
        <v>481</v>
      </c>
      <c r="C1058" s="117" t="s">
        <v>3133</v>
      </c>
      <c r="D1058" s="117" t="s">
        <v>3134</v>
      </c>
      <c r="E1058" s="117" t="s">
        <v>3135</v>
      </c>
      <c r="F1058" s="117" t="s">
        <v>3136</v>
      </c>
      <c r="G1058" s="117" t="s">
        <v>205</v>
      </c>
      <c r="H1058" s="117" t="s">
        <v>3137</v>
      </c>
      <c r="I1058" s="117">
        <v>1.0</v>
      </c>
      <c r="J1058" s="117">
        <v>1.0</v>
      </c>
      <c r="K1058" s="117" t="str">
        <f t="shared" si="1"/>
        <v>No</v>
      </c>
      <c r="L1058" s="118" t="s">
        <v>116</v>
      </c>
      <c r="M1058" s="119">
        <v>0.25</v>
      </c>
      <c r="N1058" s="120">
        <v>0.0</v>
      </c>
      <c r="O1058" s="121"/>
      <c r="P1058" s="117">
        <v>0.0</v>
      </c>
      <c r="Q1058" s="117">
        <f t="shared" si="2"/>
        <v>0</v>
      </c>
      <c r="R1058" s="122">
        <f>+(IF(((M1058*24)-P1058)&lt;0,0,((M1058*24)-P1058)*'Estimación de pérdidas'!$F$72))*N1058</f>
        <v>0</v>
      </c>
      <c r="S1058" s="123" t="s">
        <v>117</v>
      </c>
      <c r="T1058" s="124" t="s">
        <v>106</v>
      </c>
      <c r="U1058" s="124">
        <f t="shared" si="3"/>
        <v>1</v>
      </c>
      <c r="V1058" s="124">
        <v>1.0</v>
      </c>
      <c r="W1058" s="124"/>
      <c r="X1058" s="125"/>
      <c r="Y1058" s="126"/>
      <c r="Z1058" s="125">
        <f t="shared" si="4"/>
        <v>1</v>
      </c>
      <c r="AA1058" s="127" t="str">
        <f t="shared" si="5"/>
        <v>Bajo</v>
      </c>
      <c r="AB1058" s="128">
        <f t="shared" si="6"/>
        <v>7</v>
      </c>
      <c r="AC1058" s="129">
        <f t="shared" si="7"/>
        <v>0.1011928851</v>
      </c>
    </row>
    <row r="1059" ht="14.25" hidden="1" customHeight="1">
      <c r="A1059" s="116" t="s">
        <v>539</v>
      </c>
      <c r="B1059" s="117" t="s">
        <v>575</v>
      </c>
      <c r="C1059" s="117" t="s">
        <v>3138</v>
      </c>
      <c r="D1059" s="117" t="s">
        <v>3139</v>
      </c>
      <c r="E1059" s="117" t="s">
        <v>3138</v>
      </c>
      <c r="F1059" s="117" t="s">
        <v>3140</v>
      </c>
      <c r="G1059" s="117" t="s">
        <v>551</v>
      </c>
      <c r="H1059" s="117" t="s">
        <v>3141</v>
      </c>
      <c r="I1059" s="117">
        <v>1.0</v>
      </c>
      <c r="J1059" s="117">
        <v>1.0</v>
      </c>
      <c r="K1059" s="117" t="str">
        <f t="shared" si="1"/>
        <v>No</v>
      </c>
      <c r="L1059" s="118" t="s">
        <v>116</v>
      </c>
      <c r="M1059" s="119">
        <v>0.3333333333333333</v>
      </c>
      <c r="N1059" s="120">
        <v>1.0</v>
      </c>
      <c r="O1059" s="121">
        <v>12.5</v>
      </c>
      <c r="P1059" s="117">
        <v>18.902299605781863</v>
      </c>
      <c r="Q1059" s="117">
        <f t="shared" si="2"/>
        <v>0</v>
      </c>
      <c r="R1059" s="122">
        <f>+(IF(((M1059*24)-P1059)&lt;0,0,((M1059*24)-P1059)*'Estimación de pérdidas'!$F$72))*N1059</f>
        <v>0</v>
      </c>
      <c r="S1059" s="123" t="s">
        <v>117</v>
      </c>
      <c r="T1059" s="124" t="s">
        <v>118</v>
      </c>
      <c r="U1059" s="124">
        <f t="shared" si="3"/>
        <v>1</v>
      </c>
      <c r="V1059" s="124">
        <v>1.0</v>
      </c>
      <c r="W1059" s="124"/>
      <c r="X1059" s="125"/>
      <c r="Y1059" s="126"/>
      <c r="Z1059" s="125">
        <f t="shared" si="4"/>
        <v>1</v>
      </c>
      <c r="AA1059" s="127" t="str">
        <f t="shared" si="5"/>
        <v>Bajo</v>
      </c>
      <c r="AB1059" s="128">
        <f t="shared" si="6"/>
        <v>2</v>
      </c>
      <c r="AC1059" s="129">
        <f t="shared" si="7"/>
        <v>0.05059644256</v>
      </c>
    </row>
    <row r="1060" ht="14.25" hidden="1" customHeight="1">
      <c r="A1060" s="116" t="s">
        <v>927</v>
      </c>
      <c r="B1060" s="117" t="s">
        <v>1037</v>
      </c>
      <c r="C1060" s="117" t="s">
        <v>3142</v>
      </c>
      <c r="D1060" s="117" t="s">
        <v>3143</v>
      </c>
      <c r="E1060" s="117" t="s">
        <v>3144</v>
      </c>
      <c r="F1060" s="117" t="s">
        <v>3145</v>
      </c>
      <c r="G1060" s="117" t="s">
        <v>3146</v>
      </c>
      <c r="H1060" s="117" t="s">
        <v>1072</v>
      </c>
      <c r="I1060" s="117">
        <v>1.0</v>
      </c>
      <c r="J1060" s="117">
        <v>1.0</v>
      </c>
      <c r="K1060" s="117" t="str">
        <f t="shared" si="1"/>
        <v>No</v>
      </c>
      <c r="L1060" s="118" t="s">
        <v>116</v>
      </c>
      <c r="M1060" s="119">
        <v>0.5</v>
      </c>
      <c r="N1060" s="120">
        <v>1.0</v>
      </c>
      <c r="O1060" s="121">
        <v>91.32</v>
      </c>
      <c r="P1060" s="117">
        <v>12.0</v>
      </c>
      <c r="Q1060" s="117">
        <f t="shared" si="2"/>
        <v>0</v>
      </c>
      <c r="R1060" s="122">
        <f>+(IF(((M1060*24)-P1060)&lt;0,0,((M1060*24)-P1060)*'Estimación de pérdidas'!$F$72))*N1060</f>
        <v>0</v>
      </c>
      <c r="S1060" s="123" t="s">
        <v>272</v>
      </c>
      <c r="T1060" s="124" t="s">
        <v>119</v>
      </c>
      <c r="U1060" s="124">
        <f t="shared" si="3"/>
        <v>1</v>
      </c>
      <c r="V1060" s="124">
        <v>1.0</v>
      </c>
      <c r="W1060" s="124"/>
      <c r="X1060" s="125">
        <v>2.0</v>
      </c>
      <c r="Y1060" s="126"/>
      <c r="Z1060" s="125">
        <f t="shared" si="4"/>
        <v>2</v>
      </c>
      <c r="AA1060" s="127" t="str">
        <f t="shared" si="5"/>
        <v>Moderado</v>
      </c>
      <c r="AB1060" s="128">
        <f t="shared" si="6"/>
        <v>8</v>
      </c>
      <c r="AC1060" s="129">
        <f t="shared" si="7"/>
        <v>0.1314534138</v>
      </c>
      <c r="AD1060" s="131"/>
    </row>
    <row r="1061" ht="14.25" hidden="1" customHeight="1">
      <c r="A1061" s="116" t="s">
        <v>927</v>
      </c>
      <c r="B1061" s="117" t="s">
        <v>1037</v>
      </c>
      <c r="C1061" s="117" t="s">
        <v>3147</v>
      </c>
      <c r="D1061" s="117" t="s">
        <v>3148</v>
      </c>
      <c r="E1061" s="117" t="s">
        <v>3149</v>
      </c>
      <c r="F1061" s="117" t="s">
        <v>3150</v>
      </c>
      <c r="G1061" s="117" t="s">
        <v>1191</v>
      </c>
      <c r="H1061" s="117" t="s">
        <v>3151</v>
      </c>
      <c r="I1061" s="117">
        <v>1.0</v>
      </c>
      <c r="J1061" s="117">
        <v>1.0</v>
      </c>
      <c r="K1061" s="117" t="str">
        <f t="shared" si="1"/>
        <v>No</v>
      </c>
      <c r="L1061" s="118" t="s">
        <v>116</v>
      </c>
      <c r="M1061" s="119">
        <v>0.5</v>
      </c>
      <c r="N1061" s="120">
        <v>1.0</v>
      </c>
      <c r="O1061" s="121">
        <v>45.50041666666667</v>
      </c>
      <c r="P1061" s="117">
        <v>12.0</v>
      </c>
      <c r="Q1061" s="117">
        <f t="shared" si="2"/>
        <v>0</v>
      </c>
      <c r="R1061" s="122">
        <f>+(IF(((M1061*24)-P1061)&lt;0,0,((M1061*24)-P1061)*'Estimación de pérdidas'!$F$72))*N1061</f>
        <v>0</v>
      </c>
      <c r="S1061" s="123" t="s">
        <v>272</v>
      </c>
      <c r="T1061" s="124" t="s">
        <v>132</v>
      </c>
      <c r="U1061" s="124">
        <f t="shared" si="3"/>
        <v>1</v>
      </c>
      <c r="V1061" s="124">
        <v>1.0</v>
      </c>
      <c r="W1061" s="124"/>
      <c r="X1061" s="125">
        <v>2.0</v>
      </c>
      <c r="Y1061" s="126"/>
      <c r="Z1061" s="125">
        <f t="shared" si="4"/>
        <v>2</v>
      </c>
      <c r="AA1061" s="127" t="str">
        <f t="shared" si="5"/>
        <v>Bajo</v>
      </c>
      <c r="AB1061" s="128">
        <f t="shared" si="6"/>
        <v>3</v>
      </c>
      <c r="AC1061" s="129">
        <f t="shared" si="7"/>
        <v>0.0438178046</v>
      </c>
    </row>
    <row r="1062" ht="14.25" hidden="1" customHeight="1">
      <c r="A1062" s="116" t="s">
        <v>1145</v>
      </c>
      <c r="B1062" s="117" t="s">
        <v>1145</v>
      </c>
      <c r="C1062" s="117" t="s">
        <v>3152</v>
      </c>
      <c r="D1062" s="117" t="s">
        <v>3153</v>
      </c>
      <c r="E1062" s="117" t="s">
        <v>3154</v>
      </c>
      <c r="F1062" s="117" t="s">
        <v>3155</v>
      </c>
      <c r="G1062" s="117" t="s">
        <v>551</v>
      </c>
      <c r="H1062" s="117" t="s">
        <v>552</v>
      </c>
      <c r="I1062" s="117">
        <v>1.0</v>
      </c>
      <c r="J1062" s="117">
        <v>1.0</v>
      </c>
      <c r="K1062" s="117" t="str">
        <f t="shared" si="1"/>
        <v>No</v>
      </c>
      <c r="L1062" s="118" t="s">
        <v>116</v>
      </c>
      <c r="M1062" s="119">
        <v>0.16666666666666666</v>
      </c>
      <c r="N1062" s="120">
        <v>0.5</v>
      </c>
      <c r="O1062" s="121">
        <v>91.32</v>
      </c>
      <c r="P1062" s="117">
        <v>1.0</v>
      </c>
      <c r="Q1062" s="117">
        <f t="shared" si="2"/>
        <v>1.5</v>
      </c>
      <c r="R1062" s="122">
        <f>+(IF(((M1062*24)-P1062)&lt;0,0,((M1062*24)-P1062)*'Estimación de pérdidas'!$F$72))*N1062</f>
        <v>86517.11237</v>
      </c>
      <c r="S1062" s="123" t="s">
        <v>117</v>
      </c>
      <c r="T1062" s="124" t="s">
        <v>118</v>
      </c>
      <c r="U1062" s="124">
        <f t="shared" si="3"/>
        <v>2</v>
      </c>
      <c r="V1062" s="124">
        <v>1.0</v>
      </c>
      <c r="W1062" s="124"/>
      <c r="X1062" s="125"/>
      <c r="Y1062" s="126"/>
      <c r="Z1062" s="125">
        <f t="shared" si="4"/>
        <v>2</v>
      </c>
      <c r="AA1062" s="127" t="str">
        <f t="shared" si="5"/>
        <v>Bajo</v>
      </c>
      <c r="AB1062" s="128">
        <f t="shared" si="6"/>
        <v>5</v>
      </c>
      <c r="AC1062" s="129">
        <f t="shared" si="7"/>
        <v>0.08</v>
      </c>
    </row>
    <row r="1063" ht="14.25" hidden="1" customHeight="1">
      <c r="A1063" s="116" t="s">
        <v>1145</v>
      </c>
      <c r="B1063" s="117" t="s">
        <v>1145</v>
      </c>
      <c r="C1063" s="117" t="s">
        <v>3152</v>
      </c>
      <c r="D1063" s="117" t="s">
        <v>3156</v>
      </c>
      <c r="E1063" s="117" t="s">
        <v>3154</v>
      </c>
      <c r="F1063" s="117" t="s">
        <v>3155</v>
      </c>
      <c r="G1063" s="117" t="s">
        <v>551</v>
      </c>
      <c r="H1063" s="117" t="s">
        <v>552</v>
      </c>
      <c r="I1063" s="117">
        <v>1.0</v>
      </c>
      <c r="J1063" s="117">
        <v>1.0</v>
      </c>
      <c r="K1063" s="117" t="str">
        <f t="shared" si="1"/>
        <v>No</v>
      </c>
      <c r="L1063" s="118" t="s">
        <v>116</v>
      </c>
      <c r="M1063" s="119">
        <v>0.16666666666666666</v>
      </c>
      <c r="N1063" s="120">
        <v>0.5</v>
      </c>
      <c r="O1063" s="121">
        <v>91.32</v>
      </c>
      <c r="P1063" s="117">
        <v>1.0</v>
      </c>
      <c r="Q1063" s="117">
        <f t="shared" si="2"/>
        <v>1.5</v>
      </c>
      <c r="R1063" s="122">
        <f>+(IF(((M1063*24)-P1063)&lt;0,0,((M1063*24)-P1063)*'Estimación de pérdidas'!$F$72))*N1063</f>
        <v>86517.11237</v>
      </c>
      <c r="S1063" s="123" t="s">
        <v>117</v>
      </c>
      <c r="T1063" s="124" t="s">
        <v>118</v>
      </c>
      <c r="U1063" s="124">
        <f t="shared" si="3"/>
        <v>2</v>
      </c>
      <c r="V1063" s="124">
        <v>1.0</v>
      </c>
      <c r="W1063" s="124"/>
      <c r="X1063" s="125"/>
      <c r="Y1063" s="126"/>
      <c r="Z1063" s="125">
        <f t="shared" si="4"/>
        <v>2</v>
      </c>
      <c r="AA1063" s="127" t="str">
        <f t="shared" si="5"/>
        <v>Bajo</v>
      </c>
      <c r="AB1063" s="128">
        <f t="shared" si="6"/>
        <v>5</v>
      </c>
      <c r="AC1063" s="129">
        <f t="shared" si="7"/>
        <v>0.08</v>
      </c>
    </row>
    <row r="1064" ht="14.25" hidden="1" customHeight="1">
      <c r="A1064" s="116" t="s">
        <v>1145</v>
      </c>
      <c r="B1064" s="117" t="s">
        <v>1145</v>
      </c>
      <c r="C1064" s="117" t="s">
        <v>3157</v>
      </c>
      <c r="D1064" s="117" t="s">
        <v>3158</v>
      </c>
      <c r="E1064" s="117" t="s">
        <v>3159</v>
      </c>
      <c r="F1064" s="117" t="s">
        <v>3160</v>
      </c>
      <c r="G1064" s="117" t="s">
        <v>1232</v>
      </c>
      <c r="H1064" s="117" t="s">
        <v>1233</v>
      </c>
      <c r="I1064" s="117">
        <v>1.0</v>
      </c>
      <c r="J1064" s="117">
        <v>1.0</v>
      </c>
      <c r="K1064" s="117" t="str">
        <f t="shared" si="1"/>
        <v>No</v>
      </c>
      <c r="L1064" s="118" t="s">
        <v>116</v>
      </c>
      <c r="M1064" s="119">
        <v>0.25</v>
      </c>
      <c r="N1064" s="120">
        <v>0.5</v>
      </c>
      <c r="O1064" s="121">
        <v>91.32</v>
      </c>
      <c r="P1064" s="117">
        <v>1.0</v>
      </c>
      <c r="Q1064" s="117">
        <f t="shared" si="2"/>
        <v>2.5</v>
      </c>
      <c r="R1064" s="122">
        <f>+(IF(((M1064*24)-P1064)&lt;0,0,((M1064*24)-P1064)*'Estimación de pérdidas'!$F$72))*N1064</f>
        <v>144195.1873</v>
      </c>
      <c r="S1064" s="123" t="s">
        <v>272</v>
      </c>
      <c r="T1064" s="124" t="s">
        <v>119</v>
      </c>
      <c r="U1064" s="124">
        <f t="shared" si="3"/>
        <v>2</v>
      </c>
      <c r="V1064" s="124">
        <v>1.0</v>
      </c>
      <c r="W1064" s="124"/>
      <c r="X1064" s="125">
        <v>1.0</v>
      </c>
      <c r="Y1064" s="126"/>
      <c r="Z1064" s="125">
        <f t="shared" si="4"/>
        <v>2</v>
      </c>
      <c r="AA1064" s="127" t="str">
        <f t="shared" si="5"/>
        <v>Moderado</v>
      </c>
      <c r="AB1064" s="128">
        <f t="shared" si="6"/>
        <v>8</v>
      </c>
      <c r="AC1064" s="129">
        <f t="shared" si="7"/>
        <v>0.1314534138</v>
      </c>
      <c r="AD1064" s="131"/>
    </row>
    <row r="1065" ht="14.25" hidden="1" customHeight="1">
      <c r="A1065" s="116" t="s">
        <v>1145</v>
      </c>
      <c r="B1065" s="117" t="s">
        <v>1145</v>
      </c>
      <c r="C1065" s="117" t="s">
        <v>3157</v>
      </c>
      <c r="D1065" s="117" t="s">
        <v>3161</v>
      </c>
      <c r="E1065" s="117" t="s">
        <v>3159</v>
      </c>
      <c r="F1065" s="117" t="s">
        <v>3162</v>
      </c>
      <c r="G1065" s="117" t="s">
        <v>1232</v>
      </c>
      <c r="H1065" s="117" t="s">
        <v>1233</v>
      </c>
      <c r="I1065" s="117">
        <v>1.0</v>
      </c>
      <c r="J1065" s="117">
        <v>1.0</v>
      </c>
      <c r="K1065" s="117" t="str">
        <f t="shared" si="1"/>
        <v>No</v>
      </c>
      <c r="L1065" s="118" t="s">
        <v>116</v>
      </c>
      <c r="M1065" s="119">
        <v>0.25</v>
      </c>
      <c r="N1065" s="120">
        <v>0.5</v>
      </c>
      <c r="O1065" s="121">
        <v>91.32</v>
      </c>
      <c r="P1065" s="117">
        <v>1.0</v>
      </c>
      <c r="Q1065" s="117">
        <f t="shared" si="2"/>
        <v>2.5</v>
      </c>
      <c r="R1065" s="122">
        <f>+(IF(((M1065*24)-P1065)&lt;0,0,((M1065*24)-P1065)*'Estimación de pérdidas'!$F$72))*N1065</f>
        <v>144195.1873</v>
      </c>
      <c r="S1065" s="123" t="s">
        <v>272</v>
      </c>
      <c r="T1065" s="124" t="s">
        <v>119</v>
      </c>
      <c r="U1065" s="124">
        <f t="shared" si="3"/>
        <v>2</v>
      </c>
      <c r="V1065" s="124">
        <v>1.0</v>
      </c>
      <c r="W1065" s="124"/>
      <c r="X1065" s="125">
        <v>1.0</v>
      </c>
      <c r="Y1065" s="126"/>
      <c r="Z1065" s="125">
        <f t="shared" si="4"/>
        <v>2</v>
      </c>
      <c r="AA1065" s="127" t="str">
        <f t="shared" si="5"/>
        <v>Moderado</v>
      </c>
      <c r="AB1065" s="128">
        <f t="shared" si="6"/>
        <v>8</v>
      </c>
      <c r="AC1065" s="129">
        <f t="shared" si="7"/>
        <v>0.1314534138</v>
      </c>
      <c r="AD1065" s="131"/>
    </row>
    <row r="1066" ht="14.25" hidden="1" customHeight="1">
      <c r="A1066" s="116" t="s">
        <v>1345</v>
      </c>
      <c r="B1066" s="117" t="s">
        <v>1414</v>
      </c>
      <c r="C1066" s="117" t="s">
        <v>3125</v>
      </c>
      <c r="D1066" s="117" t="s">
        <v>3163</v>
      </c>
      <c r="E1066" s="117" t="s">
        <v>3125</v>
      </c>
      <c r="F1066" s="117" t="s">
        <v>3164</v>
      </c>
      <c r="G1066" s="117" t="s">
        <v>551</v>
      </c>
      <c r="H1066" s="117" t="s">
        <v>1364</v>
      </c>
      <c r="I1066" s="117">
        <v>1.0</v>
      </c>
      <c r="J1066" s="117">
        <v>1.0</v>
      </c>
      <c r="K1066" s="117" t="str">
        <f t="shared" si="1"/>
        <v>No</v>
      </c>
      <c r="L1066" s="118" t="s">
        <v>116</v>
      </c>
      <c r="M1066" s="119">
        <v>0.16666666666666666</v>
      </c>
      <c r="N1066" s="120">
        <v>0.0</v>
      </c>
      <c r="O1066" s="121"/>
      <c r="P1066" s="117">
        <v>0.0</v>
      </c>
      <c r="Q1066" s="117">
        <f t="shared" si="2"/>
        <v>0</v>
      </c>
      <c r="R1066" s="122">
        <f>+(IF(((M1066*24)-P1066)&lt;0,0,((M1066*24)-P1066)*'Estimación de pérdidas'!$F$72))*N1066</f>
        <v>0</v>
      </c>
      <c r="S1066" s="123" t="s">
        <v>117</v>
      </c>
      <c r="T1066" s="124" t="s">
        <v>118</v>
      </c>
      <c r="U1066" s="124">
        <f t="shared" si="3"/>
        <v>1</v>
      </c>
      <c r="V1066" s="124">
        <v>1.0</v>
      </c>
      <c r="W1066" s="124"/>
      <c r="X1066" s="125"/>
      <c r="Y1066" s="126"/>
      <c r="Z1066" s="125">
        <f t="shared" si="4"/>
        <v>1</v>
      </c>
      <c r="AA1066" s="127" t="str">
        <f t="shared" si="5"/>
        <v>Bajo</v>
      </c>
      <c r="AB1066" s="128">
        <f t="shared" si="6"/>
        <v>2</v>
      </c>
      <c r="AC1066" s="129">
        <f t="shared" si="7"/>
        <v>0.05059644256</v>
      </c>
    </row>
    <row r="1067" ht="14.25" hidden="1" customHeight="1">
      <c r="A1067" s="116" t="s">
        <v>1345</v>
      </c>
      <c r="B1067" s="117" t="s">
        <v>1414</v>
      </c>
      <c r="C1067" s="117" t="s">
        <v>3129</v>
      </c>
      <c r="D1067" s="117" t="s">
        <v>3165</v>
      </c>
      <c r="E1067" s="117" t="s">
        <v>3129</v>
      </c>
      <c r="F1067" s="117" t="s">
        <v>3166</v>
      </c>
      <c r="G1067" s="117" t="s">
        <v>551</v>
      </c>
      <c r="H1067" s="117" t="s">
        <v>1364</v>
      </c>
      <c r="I1067" s="117">
        <v>1.0</v>
      </c>
      <c r="J1067" s="117">
        <v>1.0</v>
      </c>
      <c r="K1067" s="117" t="str">
        <f t="shared" si="1"/>
        <v>No</v>
      </c>
      <c r="L1067" s="118" t="s">
        <v>116</v>
      </c>
      <c r="M1067" s="119">
        <v>0.16666666666666666</v>
      </c>
      <c r="N1067" s="120">
        <v>0.0</v>
      </c>
      <c r="O1067" s="121"/>
      <c r="P1067" s="117">
        <v>0.0</v>
      </c>
      <c r="Q1067" s="117">
        <f t="shared" si="2"/>
        <v>0</v>
      </c>
      <c r="R1067" s="122">
        <f>+(IF(((M1067*24)-P1067)&lt;0,0,((M1067*24)-P1067)*'Estimación de pérdidas'!$F$72))*N1067</f>
        <v>0</v>
      </c>
      <c r="S1067" s="123" t="s">
        <v>117</v>
      </c>
      <c r="T1067" s="124" t="s">
        <v>118</v>
      </c>
      <c r="U1067" s="124">
        <f t="shared" si="3"/>
        <v>1</v>
      </c>
      <c r="V1067" s="124">
        <v>1.0</v>
      </c>
      <c r="W1067" s="124"/>
      <c r="X1067" s="125"/>
      <c r="Y1067" s="126"/>
      <c r="Z1067" s="125">
        <f t="shared" si="4"/>
        <v>1</v>
      </c>
      <c r="AA1067" s="127" t="str">
        <f t="shared" si="5"/>
        <v>Bajo</v>
      </c>
      <c r="AB1067" s="128">
        <f t="shared" si="6"/>
        <v>2</v>
      </c>
      <c r="AC1067" s="129">
        <f t="shared" si="7"/>
        <v>0.05059644256</v>
      </c>
    </row>
    <row r="1068" ht="14.25" hidden="1" customHeight="1">
      <c r="A1068" s="116" t="s">
        <v>1345</v>
      </c>
      <c r="B1068" s="117" t="s">
        <v>1414</v>
      </c>
      <c r="C1068" s="117" t="s">
        <v>3167</v>
      </c>
      <c r="D1068" s="117" t="s">
        <v>3168</v>
      </c>
      <c r="E1068" s="117" t="s">
        <v>3169</v>
      </c>
      <c r="F1068" s="117" t="s">
        <v>3170</v>
      </c>
      <c r="G1068" s="117" t="s">
        <v>270</v>
      </c>
      <c r="H1068" s="117" t="s">
        <v>1186</v>
      </c>
      <c r="I1068" s="117">
        <v>1.0</v>
      </c>
      <c r="J1068" s="117">
        <v>1.0</v>
      </c>
      <c r="K1068" s="117" t="str">
        <f t="shared" si="1"/>
        <v>No</v>
      </c>
      <c r="L1068" s="118" t="s">
        <v>116</v>
      </c>
      <c r="M1068" s="119">
        <v>0.3333333333333333</v>
      </c>
      <c r="N1068" s="120">
        <v>0.0</v>
      </c>
      <c r="O1068" s="121">
        <v>91.32</v>
      </c>
      <c r="P1068" s="117">
        <v>1.0</v>
      </c>
      <c r="Q1068" s="117">
        <f t="shared" si="2"/>
        <v>0</v>
      </c>
      <c r="R1068" s="122">
        <f>+(IF(((M1068*24)-P1068)&lt;0,0,((M1068*24)-P1068)*'Estimación de pérdidas'!$F$72))*N1068</f>
        <v>0</v>
      </c>
      <c r="S1068" s="123" t="s">
        <v>272</v>
      </c>
      <c r="T1068" s="124" t="s">
        <v>119</v>
      </c>
      <c r="U1068" s="124">
        <f t="shared" si="3"/>
        <v>1</v>
      </c>
      <c r="V1068" s="124">
        <v>1.0</v>
      </c>
      <c r="W1068" s="124"/>
      <c r="X1068" s="125">
        <v>1.0</v>
      </c>
      <c r="Y1068" s="126"/>
      <c r="Z1068" s="125">
        <f t="shared" si="4"/>
        <v>1</v>
      </c>
      <c r="AA1068" s="127" t="str">
        <f t="shared" si="5"/>
        <v>Bajo</v>
      </c>
      <c r="AB1068" s="128">
        <f t="shared" si="6"/>
        <v>4</v>
      </c>
      <c r="AC1068" s="129">
        <f t="shared" si="7"/>
        <v>0.09295160031</v>
      </c>
    </row>
    <row r="1069" ht="14.25" hidden="1" customHeight="1">
      <c r="A1069" s="116" t="s">
        <v>1345</v>
      </c>
      <c r="B1069" s="117" t="s">
        <v>1414</v>
      </c>
      <c r="C1069" s="117" t="s">
        <v>3118</v>
      </c>
      <c r="D1069" s="117" t="s">
        <v>3171</v>
      </c>
      <c r="E1069" s="117" t="s">
        <v>3118</v>
      </c>
      <c r="F1069" s="117" t="s">
        <v>3120</v>
      </c>
      <c r="G1069" s="117" t="s">
        <v>2136</v>
      </c>
      <c r="H1069" s="117" t="s">
        <v>2137</v>
      </c>
      <c r="I1069" s="117">
        <v>1.0</v>
      </c>
      <c r="J1069" s="117">
        <v>1.0</v>
      </c>
      <c r="K1069" s="117" t="str">
        <f t="shared" si="1"/>
        <v>No</v>
      </c>
      <c r="L1069" s="118" t="s">
        <v>116</v>
      </c>
      <c r="M1069" s="119">
        <v>0.3333333333333333</v>
      </c>
      <c r="N1069" s="120">
        <v>0.0</v>
      </c>
      <c r="O1069" s="121"/>
      <c r="P1069" s="117">
        <v>0.0</v>
      </c>
      <c r="Q1069" s="117">
        <f t="shared" si="2"/>
        <v>0</v>
      </c>
      <c r="R1069" s="122">
        <f>+(IF(((M1069*24)-P1069)&lt;0,0,((M1069*24)-P1069)*'Estimación de pérdidas'!$F$72))*N1069</f>
        <v>0</v>
      </c>
      <c r="S1069" s="123" t="s">
        <v>117</v>
      </c>
      <c r="T1069" s="124" t="s">
        <v>118</v>
      </c>
      <c r="U1069" s="124">
        <f t="shared" si="3"/>
        <v>1</v>
      </c>
      <c r="V1069" s="124">
        <v>1.0</v>
      </c>
      <c r="W1069" s="124"/>
      <c r="X1069" s="125"/>
      <c r="Y1069" s="126"/>
      <c r="Z1069" s="125">
        <f t="shared" si="4"/>
        <v>1</v>
      </c>
      <c r="AA1069" s="127" t="str">
        <f t="shared" si="5"/>
        <v>Bajo</v>
      </c>
      <c r="AB1069" s="128">
        <f t="shared" si="6"/>
        <v>2</v>
      </c>
      <c r="AC1069" s="129">
        <f t="shared" si="7"/>
        <v>0.05059644256</v>
      </c>
    </row>
    <row r="1070" ht="14.25" hidden="1" customHeight="1">
      <c r="A1070" s="116" t="s">
        <v>1345</v>
      </c>
      <c r="B1070" s="117" t="s">
        <v>1414</v>
      </c>
      <c r="C1070" s="117" t="s">
        <v>3118</v>
      </c>
      <c r="D1070" s="117" t="s">
        <v>3172</v>
      </c>
      <c r="E1070" s="117" t="s">
        <v>3118</v>
      </c>
      <c r="F1070" s="117" t="s">
        <v>3120</v>
      </c>
      <c r="G1070" s="117" t="s">
        <v>2136</v>
      </c>
      <c r="H1070" s="117" t="s">
        <v>2137</v>
      </c>
      <c r="I1070" s="117">
        <v>1.0</v>
      </c>
      <c r="J1070" s="117">
        <v>1.0</v>
      </c>
      <c r="K1070" s="117" t="str">
        <f t="shared" si="1"/>
        <v>No</v>
      </c>
      <c r="L1070" s="118" t="s">
        <v>116</v>
      </c>
      <c r="M1070" s="119">
        <v>0.3333333333333333</v>
      </c>
      <c r="N1070" s="120">
        <v>0.0</v>
      </c>
      <c r="O1070" s="121"/>
      <c r="P1070" s="117">
        <v>0.0</v>
      </c>
      <c r="Q1070" s="117">
        <f t="shared" si="2"/>
        <v>0</v>
      </c>
      <c r="R1070" s="122">
        <f>+(IF(((M1070*24)-P1070)&lt;0,0,((M1070*24)-P1070)*'Estimación de pérdidas'!$F$72))*N1070</f>
        <v>0</v>
      </c>
      <c r="S1070" s="123" t="s">
        <v>117</v>
      </c>
      <c r="T1070" s="124" t="s">
        <v>118</v>
      </c>
      <c r="U1070" s="124">
        <f t="shared" si="3"/>
        <v>1</v>
      </c>
      <c r="V1070" s="124">
        <v>1.0</v>
      </c>
      <c r="W1070" s="124"/>
      <c r="X1070" s="125"/>
      <c r="Y1070" s="126"/>
      <c r="Z1070" s="125">
        <f t="shared" si="4"/>
        <v>1</v>
      </c>
      <c r="AA1070" s="127" t="str">
        <f t="shared" si="5"/>
        <v>Bajo</v>
      </c>
      <c r="AB1070" s="128">
        <f t="shared" si="6"/>
        <v>2</v>
      </c>
      <c r="AC1070" s="129">
        <f t="shared" si="7"/>
        <v>0.05059644256</v>
      </c>
    </row>
    <row r="1071" ht="14.25" hidden="1" customHeight="1">
      <c r="A1071" s="116" t="s">
        <v>847</v>
      </c>
      <c r="B1071" s="117" t="s">
        <v>847</v>
      </c>
      <c r="C1071" s="117" t="s">
        <v>3173</v>
      </c>
      <c r="D1071" s="117" t="s">
        <v>3174</v>
      </c>
      <c r="E1071" s="117" t="s">
        <v>3175</v>
      </c>
      <c r="F1071" s="117" t="s">
        <v>3176</v>
      </c>
      <c r="G1071" s="117" t="s">
        <v>270</v>
      </c>
      <c r="H1071" s="117" t="s">
        <v>1186</v>
      </c>
      <c r="I1071" s="117">
        <v>1.0</v>
      </c>
      <c r="J1071" s="117">
        <v>1.0</v>
      </c>
      <c r="K1071" s="117" t="str">
        <f t="shared" si="1"/>
        <v>No</v>
      </c>
      <c r="L1071" s="118" t="s">
        <v>116</v>
      </c>
      <c r="M1071" s="119">
        <v>0.3333333333333333</v>
      </c>
      <c r="N1071" s="120">
        <v>0.0</v>
      </c>
      <c r="O1071" s="121">
        <v>91.32</v>
      </c>
      <c r="P1071" s="117">
        <v>1.0</v>
      </c>
      <c r="Q1071" s="117">
        <f t="shared" si="2"/>
        <v>0</v>
      </c>
      <c r="R1071" s="122">
        <f>+(IF(((M1071*24)-P1071)&lt;0,0,((M1071*24)-P1071)*'Estimación de pérdidas'!$F$72))*N1071</f>
        <v>0</v>
      </c>
      <c r="S1071" s="123" t="s">
        <v>272</v>
      </c>
      <c r="T1071" s="124" t="s">
        <v>119</v>
      </c>
      <c r="U1071" s="124">
        <f t="shared" si="3"/>
        <v>1</v>
      </c>
      <c r="V1071" s="124">
        <v>1.0</v>
      </c>
      <c r="W1071" s="124"/>
      <c r="X1071" s="125">
        <v>1.0</v>
      </c>
      <c r="Y1071" s="126"/>
      <c r="Z1071" s="125">
        <f t="shared" si="4"/>
        <v>1</v>
      </c>
      <c r="AA1071" s="127" t="str">
        <f t="shared" si="5"/>
        <v>Bajo</v>
      </c>
      <c r="AB1071" s="128">
        <f t="shared" si="6"/>
        <v>4</v>
      </c>
      <c r="AC1071" s="129">
        <f t="shared" si="7"/>
        <v>0.09295160031</v>
      </c>
    </row>
    <row r="1072" ht="14.25" hidden="1" customHeight="1">
      <c r="A1072" s="116" t="s">
        <v>847</v>
      </c>
      <c r="B1072" s="117" t="s">
        <v>847</v>
      </c>
      <c r="C1072" s="117" t="s">
        <v>3173</v>
      </c>
      <c r="D1072" s="117" t="s">
        <v>3177</v>
      </c>
      <c r="E1072" s="117" t="s">
        <v>3175</v>
      </c>
      <c r="F1072" s="117" t="s">
        <v>3176</v>
      </c>
      <c r="G1072" s="117" t="s">
        <v>270</v>
      </c>
      <c r="H1072" s="117" t="s">
        <v>1186</v>
      </c>
      <c r="I1072" s="117">
        <v>1.0</v>
      </c>
      <c r="J1072" s="117">
        <v>1.0</v>
      </c>
      <c r="K1072" s="117" t="str">
        <f t="shared" si="1"/>
        <v>No</v>
      </c>
      <c r="L1072" s="118" t="s">
        <v>116</v>
      </c>
      <c r="M1072" s="119">
        <v>0.3333333333333333</v>
      </c>
      <c r="N1072" s="120">
        <v>0.0</v>
      </c>
      <c r="O1072" s="121">
        <v>91.32</v>
      </c>
      <c r="P1072" s="117">
        <v>1.0</v>
      </c>
      <c r="Q1072" s="117">
        <f t="shared" si="2"/>
        <v>0</v>
      </c>
      <c r="R1072" s="122">
        <f>+(IF(((M1072*24)-P1072)&lt;0,0,((M1072*24)-P1072)*'Estimación de pérdidas'!$F$72))*N1072</f>
        <v>0</v>
      </c>
      <c r="S1072" s="123" t="s">
        <v>272</v>
      </c>
      <c r="T1072" s="124" t="s">
        <v>119</v>
      </c>
      <c r="U1072" s="124">
        <f t="shared" si="3"/>
        <v>1</v>
      </c>
      <c r="V1072" s="124">
        <v>1.0</v>
      </c>
      <c r="W1072" s="124"/>
      <c r="X1072" s="125">
        <v>1.0</v>
      </c>
      <c r="Y1072" s="126"/>
      <c r="Z1072" s="125">
        <f t="shared" si="4"/>
        <v>1</v>
      </c>
      <c r="AA1072" s="127" t="str">
        <f t="shared" si="5"/>
        <v>Bajo</v>
      </c>
      <c r="AB1072" s="128">
        <f t="shared" si="6"/>
        <v>4</v>
      </c>
      <c r="AC1072" s="129">
        <f t="shared" si="7"/>
        <v>0.09295160031</v>
      </c>
    </row>
    <row r="1073" ht="14.25" hidden="1" customHeight="1">
      <c r="A1073" s="116" t="s">
        <v>847</v>
      </c>
      <c r="B1073" s="117" t="s">
        <v>847</v>
      </c>
      <c r="C1073" s="117" t="s">
        <v>3173</v>
      </c>
      <c r="D1073" s="117" t="s">
        <v>3178</v>
      </c>
      <c r="E1073" s="117" t="s">
        <v>3175</v>
      </c>
      <c r="F1073" s="117" t="s">
        <v>3176</v>
      </c>
      <c r="G1073" s="117" t="s">
        <v>270</v>
      </c>
      <c r="H1073" s="117" t="s">
        <v>1186</v>
      </c>
      <c r="I1073" s="117">
        <v>1.0</v>
      </c>
      <c r="J1073" s="117">
        <v>1.0</v>
      </c>
      <c r="K1073" s="117" t="str">
        <f t="shared" si="1"/>
        <v>No</v>
      </c>
      <c r="L1073" s="118" t="s">
        <v>116</v>
      </c>
      <c r="M1073" s="119">
        <v>0.3333333333333333</v>
      </c>
      <c r="N1073" s="120">
        <v>0.0</v>
      </c>
      <c r="O1073" s="121">
        <v>91.32</v>
      </c>
      <c r="P1073" s="117">
        <v>1.0</v>
      </c>
      <c r="Q1073" s="117">
        <f t="shared" si="2"/>
        <v>0</v>
      </c>
      <c r="R1073" s="122">
        <f>+(IF(((M1073*24)-P1073)&lt;0,0,((M1073*24)-P1073)*'Estimación de pérdidas'!$F$72))*N1073</f>
        <v>0</v>
      </c>
      <c r="S1073" s="123" t="s">
        <v>272</v>
      </c>
      <c r="T1073" s="124" t="s">
        <v>119</v>
      </c>
      <c r="U1073" s="124">
        <f t="shared" si="3"/>
        <v>1</v>
      </c>
      <c r="V1073" s="124">
        <v>1.0</v>
      </c>
      <c r="W1073" s="124"/>
      <c r="X1073" s="125">
        <v>1.0</v>
      </c>
      <c r="Y1073" s="126"/>
      <c r="Z1073" s="125">
        <f t="shared" si="4"/>
        <v>1</v>
      </c>
      <c r="AA1073" s="127" t="str">
        <f t="shared" si="5"/>
        <v>Bajo</v>
      </c>
      <c r="AB1073" s="128">
        <f t="shared" si="6"/>
        <v>4</v>
      </c>
      <c r="AC1073" s="129">
        <f t="shared" si="7"/>
        <v>0.09295160031</v>
      </c>
    </row>
    <row r="1074" ht="14.25" hidden="1" customHeight="1">
      <c r="A1074" s="116" t="s">
        <v>847</v>
      </c>
      <c r="B1074" s="117" t="s">
        <v>1602</v>
      </c>
      <c r="C1074" s="117" t="s">
        <v>3179</v>
      </c>
      <c r="D1074" s="117" t="s">
        <v>3180</v>
      </c>
      <c r="E1074" s="117" t="s">
        <v>3181</v>
      </c>
      <c r="F1074" s="117" t="s">
        <v>3182</v>
      </c>
      <c r="G1074" s="117" t="s">
        <v>270</v>
      </c>
      <c r="H1074" s="117" t="s">
        <v>1186</v>
      </c>
      <c r="I1074" s="117">
        <v>1.0</v>
      </c>
      <c r="J1074" s="117">
        <v>1.0</v>
      </c>
      <c r="K1074" s="117" t="str">
        <f t="shared" si="1"/>
        <v>No</v>
      </c>
      <c r="L1074" s="118" t="s">
        <v>116</v>
      </c>
      <c r="M1074" s="119">
        <v>0.3333333333333333</v>
      </c>
      <c r="N1074" s="120">
        <v>0.0</v>
      </c>
      <c r="O1074" s="121">
        <v>91.32</v>
      </c>
      <c r="P1074" s="117">
        <v>1.0</v>
      </c>
      <c r="Q1074" s="117">
        <f t="shared" si="2"/>
        <v>0</v>
      </c>
      <c r="R1074" s="122">
        <f>+(IF(((M1074*24)-P1074)&lt;0,0,((M1074*24)-P1074)*'Estimación de pérdidas'!$F$72))*N1074</f>
        <v>0</v>
      </c>
      <c r="S1074" s="123" t="s">
        <v>272</v>
      </c>
      <c r="T1074" s="124" t="s">
        <v>119</v>
      </c>
      <c r="U1074" s="124">
        <f t="shared" si="3"/>
        <v>1</v>
      </c>
      <c r="V1074" s="124">
        <v>1.0</v>
      </c>
      <c r="W1074" s="124"/>
      <c r="X1074" s="125">
        <v>1.0</v>
      </c>
      <c r="Y1074" s="126"/>
      <c r="Z1074" s="125">
        <f t="shared" si="4"/>
        <v>1</v>
      </c>
      <c r="AA1074" s="127" t="str">
        <f t="shared" si="5"/>
        <v>Bajo</v>
      </c>
      <c r="AB1074" s="128">
        <f t="shared" si="6"/>
        <v>4</v>
      </c>
      <c r="AC1074" s="129">
        <f t="shared" si="7"/>
        <v>0.09295160031</v>
      </c>
    </row>
    <row r="1075" ht="14.25" hidden="1" customHeight="1">
      <c r="A1075" s="116" t="s">
        <v>847</v>
      </c>
      <c r="B1075" s="117" t="s">
        <v>1602</v>
      </c>
      <c r="C1075" s="117" t="s">
        <v>3183</v>
      </c>
      <c r="D1075" s="117" t="s">
        <v>3184</v>
      </c>
      <c r="E1075" s="117" t="s">
        <v>3185</v>
      </c>
      <c r="F1075" s="117" t="s">
        <v>3186</v>
      </c>
      <c r="G1075" s="117" t="s">
        <v>270</v>
      </c>
      <c r="H1075" s="117" t="s">
        <v>1186</v>
      </c>
      <c r="I1075" s="117">
        <v>1.0</v>
      </c>
      <c r="J1075" s="117">
        <v>1.0</v>
      </c>
      <c r="K1075" s="117" t="str">
        <f t="shared" si="1"/>
        <v>No</v>
      </c>
      <c r="L1075" s="118" t="s">
        <v>116</v>
      </c>
      <c r="M1075" s="119">
        <v>0.3333333333333333</v>
      </c>
      <c r="N1075" s="120">
        <v>0.0</v>
      </c>
      <c r="O1075" s="121">
        <v>91.32</v>
      </c>
      <c r="P1075" s="117">
        <v>1.0</v>
      </c>
      <c r="Q1075" s="117">
        <f t="shared" si="2"/>
        <v>0</v>
      </c>
      <c r="R1075" s="122">
        <f>+(IF(((M1075*24)-P1075)&lt;0,0,((M1075*24)-P1075)*'Estimación de pérdidas'!$F$72))*N1075</f>
        <v>0</v>
      </c>
      <c r="S1075" s="123" t="s">
        <v>272</v>
      </c>
      <c r="T1075" s="124" t="s">
        <v>119</v>
      </c>
      <c r="U1075" s="124">
        <f t="shared" si="3"/>
        <v>1</v>
      </c>
      <c r="V1075" s="124">
        <v>1.0</v>
      </c>
      <c r="W1075" s="124"/>
      <c r="X1075" s="125">
        <v>1.0</v>
      </c>
      <c r="Y1075" s="126"/>
      <c r="Z1075" s="125">
        <f t="shared" si="4"/>
        <v>1</v>
      </c>
      <c r="AA1075" s="127" t="str">
        <f t="shared" si="5"/>
        <v>Bajo</v>
      </c>
      <c r="AB1075" s="128">
        <f t="shared" si="6"/>
        <v>4</v>
      </c>
      <c r="AC1075" s="129">
        <f t="shared" si="7"/>
        <v>0.09295160031</v>
      </c>
    </row>
    <row r="1076" ht="14.25" hidden="1" customHeight="1">
      <c r="A1076" s="116" t="s">
        <v>847</v>
      </c>
      <c r="B1076" s="117" t="s">
        <v>1602</v>
      </c>
      <c r="C1076" s="117" t="s">
        <v>3183</v>
      </c>
      <c r="D1076" s="117" t="s">
        <v>3187</v>
      </c>
      <c r="E1076" s="117" t="s">
        <v>3185</v>
      </c>
      <c r="F1076" s="117" t="s">
        <v>3186</v>
      </c>
      <c r="G1076" s="117" t="s">
        <v>270</v>
      </c>
      <c r="H1076" s="117" t="s">
        <v>1186</v>
      </c>
      <c r="I1076" s="117">
        <v>1.0</v>
      </c>
      <c r="J1076" s="117">
        <v>1.0</v>
      </c>
      <c r="K1076" s="117" t="str">
        <f t="shared" si="1"/>
        <v>No</v>
      </c>
      <c r="L1076" s="118" t="s">
        <v>116</v>
      </c>
      <c r="M1076" s="119">
        <v>0.3333333333333333</v>
      </c>
      <c r="N1076" s="120">
        <v>0.0</v>
      </c>
      <c r="O1076" s="121">
        <v>91.32</v>
      </c>
      <c r="P1076" s="117">
        <v>1.0</v>
      </c>
      <c r="Q1076" s="117">
        <f t="shared" si="2"/>
        <v>0</v>
      </c>
      <c r="R1076" s="122">
        <f>+(IF(((M1076*24)-P1076)&lt;0,0,((M1076*24)-P1076)*'Estimación de pérdidas'!$F$72))*N1076</f>
        <v>0</v>
      </c>
      <c r="S1076" s="123" t="s">
        <v>272</v>
      </c>
      <c r="T1076" s="124" t="s">
        <v>119</v>
      </c>
      <c r="U1076" s="124">
        <f t="shared" si="3"/>
        <v>1</v>
      </c>
      <c r="V1076" s="124">
        <v>1.0</v>
      </c>
      <c r="W1076" s="124"/>
      <c r="X1076" s="125">
        <v>1.0</v>
      </c>
      <c r="Y1076" s="126"/>
      <c r="Z1076" s="125">
        <f t="shared" si="4"/>
        <v>1</v>
      </c>
      <c r="AA1076" s="127" t="str">
        <f t="shared" si="5"/>
        <v>Bajo</v>
      </c>
      <c r="AB1076" s="128">
        <f t="shared" si="6"/>
        <v>4</v>
      </c>
      <c r="AC1076" s="129">
        <f t="shared" si="7"/>
        <v>0.09295160031</v>
      </c>
    </row>
    <row r="1077" ht="14.25" hidden="1" customHeight="1">
      <c r="A1077" s="116" t="s">
        <v>847</v>
      </c>
      <c r="B1077" s="117" t="s">
        <v>1724</v>
      </c>
      <c r="C1077" s="117" t="s">
        <v>3188</v>
      </c>
      <c r="D1077" s="117" t="s">
        <v>3189</v>
      </c>
      <c r="E1077" s="117" t="s">
        <v>3190</v>
      </c>
      <c r="F1077" s="117" t="s">
        <v>3191</v>
      </c>
      <c r="G1077" s="117" t="s">
        <v>615</v>
      </c>
      <c r="H1077" s="117" t="s">
        <v>616</v>
      </c>
      <c r="I1077" s="117">
        <v>1.0</v>
      </c>
      <c r="J1077" s="117">
        <v>1.0</v>
      </c>
      <c r="K1077" s="117" t="str">
        <f t="shared" si="1"/>
        <v>No</v>
      </c>
      <c r="L1077" s="118" t="s">
        <v>116</v>
      </c>
      <c r="M1077" s="119">
        <v>0.3333333333333333</v>
      </c>
      <c r="N1077" s="120">
        <v>1.0</v>
      </c>
      <c r="O1077" s="121">
        <v>21.0</v>
      </c>
      <c r="P1077" s="117">
        <v>36.0</v>
      </c>
      <c r="Q1077" s="117">
        <f t="shared" si="2"/>
        <v>0</v>
      </c>
      <c r="R1077" s="122">
        <f>+(IF(((M1077*24)-P1077)&lt;0,0,((M1077*24)-P1077)*'Estimación de pérdidas'!$F$72))*N1077</f>
        <v>0</v>
      </c>
      <c r="S1077" s="123" t="s">
        <v>272</v>
      </c>
      <c r="T1077" s="124" t="s">
        <v>119</v>
      </c>
      <c r="U1077" s="124">
        <f t="shared" si="3"/>
        <v>1</v>
      </c>
      <c r="V1077" s="124">
        <v>1.0</v>
      </c>
      <c r="W1077" s="124"/>
      <c r="X1077" s="125">
        <v>2.0</v>
      </c>
      <c r="Y1077" s="126"/>
      <c r="Z1077" s="125">
        <f t="shared" si="4"/>
        <v>2</v>
      </c>
      <c r="AA1077" s="127" t="str">
        <f t="shared" si="5"/>
        <v>Moderado</v>
      </c>
      <c r="AB1077" s="128">
        <f t="shared" si="6"/>
        <v>8</v>
      </c>
      <c r="AC1077" s="129">
        <f t="shared" si="7"/>
        <v>0.1314534138</v>
      </c>
      <c r="AD1077" s="131"/>
    </row>
    <row r="1078" ht="14.25" hidden="1" customHeight="1">
      <c r="A1078" s="116" t="s">
        <v>847</v>
      </c>
      <c r="B1078" s="117" t="s">
        <v>1724</v>
      </c>
      <c r="C1078" s="117" t="s">
        <v>3192</v>
      </c>
      <c r="D1078" s="117" t="s">
        <v>3193</v>
      </c>
      <c r="E1078" s="117" t="s">
        <v>3194</v>
      </c>
      <c r="F1078" s="117" t="s">
        <v>3192</v>
      </c>
      <c r="G1078" s="117" t="s">
        <v>615</v>
      </c>
      <c r="H1078" s="117" t="s">
        <v>616</v>
      </c>
      <c r="I1078" s="117">
        <v>1.0</v>
      </c>
      <c r="J1078" s="117">
        <v>1.0</v>
      </c>
      <c r="K1078" s="117" t="str">
        <f t="shared" si="1"/>
        <v>No</v>
      </c>
      <c r="L1078" s="118" t="s">
        <v>116</v>
      </c>
      <c r="M1078" s="119">
        <v>0.3333333333333333</v>
      </c>
      <c r="N1078" s="120">
        <v>1.0</v>
      </c>
      <c r="O1078" s="121">
        <v>33.0</v>
      </c>
      <c r="P1078" s="117">
        <v>12.0</v>
      </c>
      <c r="Q1078" s="117">
        <f t="shared" si="2"/>
        <v>0</v>
      </c>
      <c r="R1078" s="122">
        <f>+(IF(((M1078*24)-P1078)&lt;0,0,((M1078*24)-P1078)*'Estimación de pérdidas'!$F$72))*N1078</f>
        <v>0</v>
      </c>
      <c r="S1078" s="123" t="s">
        <v>272</v>
      </c>
      <c r="T1078" s="124" t="s">
        <v>119</v>
      </c>
      <c r="U1078" s="124">
        <f t="shared" si="3"/>
        <v>1</v>
      </c>
      <c r="V1078" s="124">
        <v>1.0</v>
      </c>
      <c r="W1078" s="124"/>
      <c r="X1078" s="125">
        <v>2.0</v>
      </c>
      <c r="Y1078" s="126"/>
      <c r="Z1078" s="125">
        <f t="shared" si="4"/>
        <v>2</v>
      </c>
      <c r="AA1078" s="127" t="str">
        <f t="shared" si="5"/>
        <v>Moderado</v>
      </c>
      <c r="AB1078" s="128">
        <f t="shared" si="6"/>
        <v>8</v>
      </c>
      <c r="AC1078" s="129">
        <f t="shared" si="7"/>
        <v>0.1314534138</v>
      </c>
      <c r="AD1078" s="131"/>
    </row>
    <row r="1079" ht="14.25" hidden="1" customHeight="1">
      <c r="A1079" s="116" t="s">
        <v>847</v>
      </c>
      <c r="B1079" s="117" t="s">
        <v>1724</v>
      </c>
      <c r="C1079" s="117" t="s">
        <v>3195</v>
      </c>
      <c r="D1079" s="117" t="s">
        <v>3196</v>
      </c>
      <c r="E1079" s="117" t="s">
        <v>3195</v>
      </c>
      <c r="F1079" s="117" t="s">
        <v>3197</v>
      </c>
      <c r="G1079" s="117" t="s">
        <v>270</v>
      </c>
      <c r="H1079" s="117" t="s">
        <v>1186</v>
      </c>
      <c r="I1079" s="117">
        <v>1.0</v>
      </c>
      <c r="J1079" s="117">
        <v>1.0</v>
      </c>
      <c r="K1079" s="117" t="str">
        <f t="shared" si="1"/>
        <v>No</v>
      </c>
      <c r="L1079" s="118" t="s">
        <v>116</v>
      </c>
      <c r="M1079" s="119">
        <v>0.3333333333333333</v>
      </c>
      <c r="N1079" s="120">
        <v>0.0</v>
      </c>
      <c r="O1079" s="121">
        <v>91.32</v>
      </c>
      <c r="P1079" s="117">
        <v>1.0</v>
      </c>
      <c r="Q1079" s="117">
        <f t="shared" si="2"/>
        <v>0</v>
      </c>
      <c r="R1079" s="122">
        <f>+(IF(((M1079*24)-P1079)&lt;0,0,((M1079*24)-P1079)*'Estimación de pérdidas'!$F$72))*N1079</f>
        <v>0</v>
      </c>
      <c r="S1079" s="123" t="s">
        <v>272</v>
      </c>
      <c r="T1079" s="124" t="s">
        <v>119</v>
      </c>
      <c r="U1079" s="124">
        <f t="shared" si="3"/>
        <v>1</v>
      </c>
      <c r="V1079" s="124">
        <v>1.0</v>
      </c>
      <c r="W1079" s="124"/>
      <c r="X1079" s="125">
        <v>2.0</v>
      </c>
      <c r="Y1079" s="126"/>
      <c r="Z1079" s="125">
        <f t="shared" si="4"/>
        <v>2</v>
      </c>
      <c r="AA1079" s="127" t="str">
        <f t="shared" si="5"/>
        <v>Moderado</v>
      </c>
      <c r="AB1079" s="128">
        <f t="shared" si="6"/>
        <v>8</v>
      </c>
      <c r="AC1079" s="129">
        <f t="shared" si="7"/>
        <v>0.1314534138</v>
      </c>
      <c r="AD1079" s="131"/>
    </row>
    <row r="1080" ht="14.25" hidden="1" customHeight="1">
      <c r="A1080" s="116" t="s">
        <v>847</v>
      </c>
      <c r="B1080" s="117" t="s">
        <v>1724</v>
      </c>
      <c r="C1080" s="117" t="s">
        <v>3198</v>
      </c>
      <c r="D1080" s="117" t="s">
        <v>3199</v>
      </c>
      <c r="E1080" s="117" t="s">
        <v>3200</v>
      </c>
      <c r="F1080" s="117" t="s">
        <v>3201</v>
      </c>
      <c r="G1080" s="117" t="s">
        <v>205</v>
      </c>
      <c r="H1080" s="117" t="s">
        <v>491</v>
      </c>
      <c r="I1080" s="117">
        <v>1.0</v>
      </c>
      <c r="J1080" s="117">
        <v>1.0</v>
      </c>
      <c r="K1080" s="117" t="str">
        <f t="shared" si="1"/>
        <v>No</v>
      </c>
      <c r="L1080" s="118" t="s">
        <v>116</v>
      </c>
      <c r="M1080" s="119">
        <v>0.33</v>
      </c>
      <c r="N1080" s="120">
        <v>0.0</v>
      </c>
      <c r="O1080" s="121"/>
      <c r="P1080" s="117">
        <v>0.0</v>
      </c>
      <c r="Q1080" s="117">
        <f t="shared" si="2"/>
        <v>0</v>
      </c>
      <c r="R1080" s="122">
        <f>+(IF(((M1080*24)-P1080)&lt;0,0,((M1080*24)-P1080)*'Estimación de pérdidas'!$F$72))*N1080</f>
        <v>0</v>
      </c>
      <c r="S1080" s="123" t="s">
        <v>117</v>
      </c>
      <c r="T1080" s="124" t="s">
        <v>119</v>
      </c>
      <c r="U1080" s="124">
        <f t="shared" si="3"/>
        <v>1</v>
      </c>
      <c r="V1080" s="124">
        <v>1.0</v>
      </c>
      <c r="W1080" s="124"/>
      <c r="X1080" s="125"/>
      <c r="Y1080" s="126"/>
      <c r="Z1080" s="125">
        <f t="shared" si="4"/>
        <v>1</v>
      </c>
      <c r="AA1080" s="127" t="str">
        <f t="shared" si="5"/>
        <v>Bajo</v>
      </c>
      <c r="AB1080" s="128">
        <f t="shared" si="6"/>
        <v>4</v>
      </c>
      <c r="AC1080" s="129">
        <f t="shared" si="7"/>
        <v>0.07589466384</v>
      </c>
    </row>
    <row r="1081" ht="14.25" hidden="1" customHeight="1">
      <c r="A1081" s="116" t="s">
        <v>1881</v>
      </c>
      <c r="B1081" s="117" t="s">
        <v>1881</v>
      </c>
      <c r="C1081" s="117" t="s">
        <v>2569</v>
      </c>
      <c r="D1081" s="117" t="s">
        <v>3202</v>
      </c>
      <c r="E1081" s="117" t="s">
        <v>3203</v>
      </c>
      <c r="F1081" s="117" t="s">
        <v>1907</v>
      </c>
      <c r="G1081" s="117" t="s">
        <v>197</v>
      </c>
      <c r="H1081" s="117" t="s">
        <v>1548</v>
      </c>
      <c r="I1081" s="117">
        <v>3.0</v>
      </c>
      <c r="J1081" s="117">
        <v>2.0</v>
      </c>
      <c r="K1081" s="117" t="str">
        <f t="shared" si="1"/>
        <v>Si</v>
      </c>
      <c r="L1081" s="118" t="s">
        <v>287</v>
      </c>
      <c r="M1081" s="119">
        <v>1.0</v>
      </c>
      <c r="N1081" s="120">
        <v>0.0</v>
      </c>
      <c r="O1081" s="121">
        <v>91.32</v>
      </c>
      <c r="P1081" s="117">
        <v>1.0</v>
      </c>
      <c r="Q1081" s="117">
        <f t="shared" si="2"/>
        <v>0</v>
      </c>
      <c r="R1081" s="122">
        <f>+(IF(((M1081*24)-P1081)&lt;0,0,((M1081*24)-P1081)*'Estimación de pérdidas'!$F$72))*N1081</f>
        <v>0</v>
      </c>
      <c r="S1081" s="123" t="s">
        <v>117</v>
      </c>
      <c r="T1081" s="124" t="s">
        <v>119</v>
      </c>
      <c r="U1081" s="124">
        <f t="shared" si="3"/>
        <v>1</v>
      </c>
      <c r="V1081" s="124">
        <v>2.0</v>
      </c>
      <c r="W1081" s="124"/>
      <c r="X1081" s="125"/>
      <c r="Y1081" s="126"/>
      <c r="Z1081" s="125">
        <f t="shared" si="4"/>
        <v>2</v>
      </c>
      <c r="AA1081" s="127" t="str">
        <f t="shared" si="5"/>
        <v>Moderado</v>
      </c>
      <c r="AB1081" s="128">
        <f t="shared" si="6"/>
        <v>8</v>
      </c>
      <c r="AC1081" s="129">
        <f t="shared" si="7"/>
        <v>0.12</v>
      </c>
      <c r="AD1081" s="131"/>
    </row>
    <row r="1082" ht="14.25" hidden="1" customHeight="1">
      <c r="A1082" s="116" t="s">
        <v>3204</v>
      </c>
      <c r="B1082" s="117" t="s">
        <v>3204</v>
      </c>
      <c r="C1082" s="117" t="s">
        <v>2569</v>
      </c>
      <c r="D1082" s="117" t="s">
        <v>3205</v>
      </c>
      <c r="E1082" s="117" t="s">
        <v>3203</v>
      </c>
      <c r="F1082" s="117" t="s">
        <v>3206</v>
      </c>
      <c r="G1082" s="117" t="s">
        <v>197</v>
      </c>
      <c r="H1082" s="117" t="s">
        <v>3207</v>
      </c>
      <c r="I1082" s="117">
        <v>1.0</v>
      </c>
      <c r="J1082" s="117">
        <v>1.0</v>
      </c>
      <c r="K1082" s="117" t="str">
        <f t="shared" si="1"/>
        <v>No</v>
      </c>
      <c r="L1082" s="118" t="s">
        <v>116</v>
      </c>
      <c r="M1082" s="119">
        <v>0.5</v>
      </c>
      <c r="N1082" s="120">
        <v>0.0</v>
      </c>
      <c r="O1082" s="121">
        <v>91.32</v>
      </c>
      <c r="P1082" s="117">
        <v>1.0</v>
      </c>
      <c r="Q1082" s="117">
        <f t="shared" si="2"/>
        <v>0</v>
      </c>
      <c r="R1082" s="122">
        <f>+(IF(((M1082*24)-P1082)&lt;0,0,((M1082*24)-P1082)*'Estimación de pérdidas'!$F$72))*N1082</f>
        <v>0</v>
      </c>
      <c r="S1082" s="123" t="s">
        <v>117</v>
      </c>
      <c r="T1082" s="124" t="s">
        <v>119</v>
      </c>
      <c r="U1082" s="124">
        <f t="shared" si="3"/>
        <v>1</v>
      </c>
      <c r="V1082" s="124">
        <v>1.0</v>
      </c>
      <c r="W1082" s="124"/>
      <c r="X1082" s="125"/>
      <c r="Y1082" s="126"/>
      <c r="Z1082" s="125">
        <f t="shared" si="4"/>
        <v>1</v>
      </c>
      <c r="AA1082" s="127" t="str">
        <f t="shared" si="5"/>
        <v>Bajo</v>
      </c>
      <c r="AB1082" s="128">
        <f t="shared" si="6"/>
        <v>4</v>
      </c>
      <c r="AC1082" s="129">
        <f t="shared" si="7"/>
        <v>0.07589466384</v>
      </c>
    </row>
    <row r="1083" ht="14.25" hidden="1" customHeight="1">
      <c r="A1083" s="116" t="s">
        <v>3204</v>
      </c>
      <c r="B1083" s="117" t="s">
        <v>3204</v>
      </c>
      <c r="C1083" s="117" t="s">
        <v>3208</v>
      </c>
      <c r="D1083" s="117" t="s">
        <v>3209</v>
      </c>
      <c r="E1083" s="117" t="s">
        <v>3210</v>
      </c>
      <c r="F1083" s="117" t="s">
        <v>3211</v>
      </c>
      <c r="G1083" s="117" t="s">
        <v>270</v>
      </c>
      <c r="H1083" s="117" t="s">
        <v>1186</v>
      </c>
      <c r="I1083" s="117">
        <v>1.0</v>
      </c>
      <c r="J1083" s="117">
        <v>1.0</v>
      </c>
      <c r="K1083" s="117" t="str">
        <f t="shared" si="1"/>
        <v>No</v>
      </c>
      <c r="L1083" s="118" t="s">
        <v>116</v>
      </c>
      <c r="M1083" s="119">
        <v>0.3333333333333333</v>
      </c>
      <c r="N1083" s="120">
        <v>0.0</v>
      </c>
      <c r="O1083" s="121">
        <v>91.32</v>
      </c>
      <c r="P1083" s="117">
        <v>1.0</v>
      </c>
      <c r="Q1083" s="117">
        <f t="shared" si="2"/>
        <v>0</v>
      </c>
      <c r="R1083" s="122">
        <f>+(IF(((M1083*24)-P1083)&lt;0,0,((M1083*24)-P1083)*'Estimación de pérdidas'!$F$72))*N1083</f>
        <v>0</v>
      </c>
      <c r="S1083" s="123" t="s">
        <v>272</v>
      </c>
      <c r="T1083" s="124" t="s">
        <v>119</v>
      </c>
      <c r="U1083" s="124">
        <f t="shared" si="3"/>
        <v>1</v>
      </c>
      <c r="V1083" s="124">
        <v>1.0</v>
      </c>
      <c r="W1083" s="124"/>
      <c r="X1083" s="125">
        <v>1.0</v>
      </c>
      <c r="Y1083" s="126"/>
      <c r="Z1083" s="125">
        <f t="shared" si="4"/>
        <v>1</v>
      </c>
      <c r="AA1083" s="127" t="str">
        <f t="shared" si="5"/>
        <v>Bajo</v>
      </c>
      <c r="AB1083" s="128">
        <f t="shared" si="6"/>
        <v>4</v>
      </c>
      <c r="AC1083" s="129">
        <f t="shared" si="7"/>
        <v>0.09295160031</v>
      </c>
    </row>
    <row r="1084" ht="14.25" hidden="1" customHeight="1">
      <c r="A1084" s="116" t="s">
        <v>1927</v>
      </c>
      <c r="B1084" s="117" t="s">
        <v>1927</v>
      </c>
      <c r="C1084" s="117" t="s">
        <v>3212</v>
      </c>
      <c r="D1084" s="117" t="s">
        <v>3213</v>
      </c>
      <c r="E1084" s="117" t="s">
        <v>3214</v>
      </c>
      <c r="F1084" s="117" t="s">
        <v>3215</v>
      </c>
      <c r="G1084" s="117" t="s">
        <v>270</v>
      </c>
      <c r="H1084" s="117" t="s">
        <v>1186</v>
      </c>
      <c r="I1084" s="117">
        <v>1.0</v>
      </c>
      <c r="J1084" s="117">
        <v>1.0</v>
      </c>
      <c r="K1084" s="117" t="str">
        <f t="shared" si="1"/>
        <v>No</v>
      </c>
      <c r="L1084" s="118" t="s">
        <v>116</v>
      </c>
      <c r="M1084" s="119">
        <v>0.3333333333333333</v>
      </c>
      <c r="N1084" s="120">
        <v>0.0</v>
      </c>
      <c r="O1084" s="121">
        <v>91.32</v>
      </c>
      <c r="P1084" s="117">
        <v>1.0</v>
      </c>
      <c r="Q1084" s="117">
        <f t="shared" si="2"/>
        <v>0</v>
      </c>
      <c r="R1084" s="122">
        <f>+(IF(((M1084*24)-P1084)&lt;0,0,((M1084*24)-P1084)*'Estimación de pérdidas'!$F$72))*N1084</f>
        <v>0</v>
      </c>
      <c r="S1084" s="123" t="s">
        <v>272</v>
      </c>
      <c r="T1084" s="124" t="s">
        <v>119</v>
      </c>
      <c r="U1084" s="124">
        <f t="shared" si="3"/>
        <v>1</v>
      </c>
      <c r="V1084" s="124">
        <v>1.0</v>
      </c>
      <c r="W1084" s="124"/>
      <c r="X1084" s="125">
        <v>1.0</v>
      </c>
      <c r="Y1084" s="126"/>
      <c r="Z1084" s="125">
        <f t="shared" si="4"/>
        <v>1</v>
      </c>
      <c r="AA1084" s="127" t="str">
        <f t="shared" si="5"/>
        <v>Bajo</v>
      </c>
      <c r="AB1084" s="128">
        <f t="shared" si="6"/>
        <v>4</v>
      </c>
      <c r="AC1084" s="129">
        <f t="shared" si="7"/>
        <v>0.09295160031</v>
      </c>
    </row>
    <row r="1085" ht="14.25" hidden="1" customHeight="1">
      <c r="A1085" s="116" t="s">
        <v>1927</v>
      </c>
      <c r="B1085" s="117" t="s">
        <v>1927</v>
      </c>
      <c r="C1085" s="117" t="s">
        <v>3212</v>
      </c>
      <c r="D1085" s="117" t="s">
        <v>3216</v>
      </c>
      <c r="E1085" s="117" t="s">
        <v>3214</v>
      </c>
      <c r="F1085" s="117" t="s">
        <v>3215</v>
      </c>
      <c r="G1085" s="117" t="s">
        <v>270</v>
      </c>
      <c r="H1085" s="117" t="s">
        <v>1186</v>
      </c>
      <c r="I1085" s="117">
        <v>1.0</v>
      </c>
      <c r="J1085" s="117">
        <v>1.0</v>
      </c>
      <c r="K1085" s="117" t="str">
        <f t="shared" si="1"/>
        <v>No</v>
      </c>
      <c r="L1085" s="118" t="s">
        <v>116</v>
      </c>
      <c r="M1085" s="119">
        <v>0.3333333333333333</v>
      </c>
      <c r="N1085" s="120">
        <v>0.0</v>
      </c>
      <c r="O1085" s="121">
        <v>91.32</v>
      </c>
      <c r="P1085" s="117">
        <v>1.0</v>
      </c>
      <c r="Q1085" s="117">
        <f t="shared" si="2"/>
        <v>0</v>
      </c>
      <c r="R1085" s="122">
        <f>+(IF(((M1085*24)-P1085)&lt;0,0,((M1085*24)-P1085)*'Estimación de pérdidas'!$F$72))*N1085</f>
        <v>0</v>
      </c>
      <c r="S1085" s="123" t="s">
        <v>272</v>
      </c>
      <c r="T1085" s="124" t="s">
        <v>119</v>
      </c>
      <c r="U1085" s="124">
        <f t="shared" si="3"/>
        <v>1</v>
      </c>
      <c r="V1085" s="124">
        <v>1.0</v>
      </c>
      <c r="W1085" s="124"/>
      <c r="X1085" s="125">
        <v>1.0</v>
      </c>
      <c r="Y1085" s="126"/>
      <c r="Z1085" s="125">
        <f t="shared" si="4"/>
        <v>1</v>
      </c>
      <c r="AA1085" s="127" t="str">
        <f t="shared" si="5"/>
        <v>Bajo</v>
      </c>
      <c r="AB1085" s="128">
        <f t="shared" si="6"/>
        <v>4</v>
      </c>
      <c r="AC1085" s="129">
        <f t="shared" si="7"/>
        <v>0.09295160031</v>
      </c>
    </row>
    <row r="1086" ht="14.25" hidden="1" customHeight="1">
      <c r="A1086" s="116" t="s">
        <v>2479</v>
      </c>
      <c r="B1086" s="117" t="s">
        <v>2479</v>
      </c>
      <c r="C1086" s="117" t="s">
        <v>3217</v>
      </c>
      <c r="D1086" s="117" t="s">
        <v>3218</v>
      </c>
      <c r="E1086" s="117" t="s">
        <v>3219</v>
      </c>
      <c r="F1086" s="117" t="s">
        <v>3220</v>
      </c>
      <c r="G1086" s="117" t="s">
        <v>270</v>
      </c>
      <c r="H1086" s="117" t="s">
        <v>1186</v>
      </c>
      <c r="I1086" s="117">
        <v>1.0</v>
      </c>
      <c r="J1086" s="117">
        <v>1.0</v>
      </c>
      <c r="K1086" s="117" t="str">
        <f t="shared" si="1"/>
        <v>No</v>
      </c>
      <c r="L1086" s="118" t="s">
        <v>116</v>
      </c>
      <c r="M1086" s="119">
        <v>0.3333333333333333</v>
      </c>
      <c r="N1086" s="120">
        <v>0.0</v>
      </c>
      <c r="O1086" s="121">
        <v>91.32</v>
      </c>
      <c r="P1086" s="117">
        <v>1.0</v>
      </c>
      <c r="Q1086" s="117">
        <f t="shared" si="2"/>
        <v>0</v>
      </c>
      <c r="R1086" s="122">
        <f>+(IF(((M1086*24)-P1086)&lt;0,0,((M1086*24)-P1086)*'Estimación de pérdidas'!$F$72))*N1086</f>
        <v>0</v>
      </c>
      <c r="S1086" s="123" t="s">
        <v>272</v>
      </c>
      <c r="T1086" s="124" t="s">
        <v>119</v>
      </c>
      <c r="U1086" s="124">
        <f t="shared" si="3"/>
        <v>1</v>
      </c>
      <c r="V1086" s="124">
        <v>1.0</v>
      </c>
      <c r="W1086" s="124"/>
      <c r="X1086" s="125">
        <v>1.0</v>
      </c>
      <c r="Y1086" s="126"/>
      <c r="Z1086" s="125">
        <f t="shared" si="4"/>
        <v>1</v>
      </c>
      <c r="AA1086" s="127" t="str">
        <f t="shared" si="5"/>
        <v>Bajo</v>
      </c>
      <c r="AB1086" s="128">
        <f t="shared" si="6"/>
        <v>4</v>
      </c>
      <c r="AC1086" s="129">
        <f t="shared" si="7"/>
        <v>0.09295160031</v>
      </c>
    </row>
    <row r="1087" ht="14.25" hidden="1" customHeight="1">
      <c r="A1087" s="116" t="s">
        <v>2899</v>
      </c>
      <c r="B1087" s="117" t="s">
        <v>2900</v>
      </c>
      <c r="C1087" s="117" t="s">
        <v>2031</v>
      </c>
      <c r="D1087" s="117" t="s">
        <v>3221</v>
      </c>
      <c r="E1087" s="117" t="s">
        <v>2031</v>
      </c>
      <c r="F1087" s="117" t="s">
        <v>3222</v>
      </c>
      <c r="G1087" s="117" t="s">
        <v>1973</v>
      </c>
      <c r="H1087" s="117" t="s">
        <v>2920</v>
      </c>
      <c r="I1087" s="117">
        <v>1.0</v>
      </c>
      <c r="J1087" s="117">
        <v>1.0</v>
      </c>
      <c r="K1087" s="117" t="str">
        <f t="shared" si="1"/>
        <v>No</v>
      </c>
      <c r="L1087" s="118" t="s">
        <v>116</v>
      </c>
      <c r="M1087" s="119">
        <v>0.5</v>
      </c>
      <c r="N1087" s="120">
        <v>1.0</v>
      </c>
      <c r="O1087" s="121">
        <v>91.32</v>
      </c>
      <c r="P1087" s="117">
        <v>1.0</v>
      </c>
      <c r="Q1087" s="117">
        <f t="shared" si="2"/>
        <v>11</v>
      </c>
      <c r="R1087" s="122">
        <f>+(IF(((M1087*24)-P1087)&lt;0,0,((M1087*24)-P1087)*'Estimación de pérdidas'!$F$72))*N1087</f>
        <v>634458.8241</v>
      </c>
      <c r="S1087" s="123" t="s">
        <v>117</v>
      </c>
      <c r="T1087" s="124" t="s">
        <v>118</v>
      </c>
      <c r="U1087" s="124">
        <f t="shared" si="3"/>
        <v>4</v>
      </c>
      <c r="V1087" s="124">
        <v>2.0</v>
      </c>
      <c r="W1087" s="124"/>
      <c r="X1087" s="125"/>
      <c r="Y1087" s="126"/>
      <c r="Z1087" s="125">
        <f t="shared" si="4"/>
        <v>4</v>
      </c>
      <c r="AA1087" s="127" t="str">
        <f t="shared" si="5"/>
        <v>Moderado</v>
      </c>
      <c r="AB1087" s="128">
        <f t="shared" si="6"/>
        <v>14</v>
      </c>
      <c r="AC1087" s="129">
        <f t="shared" si="7"/>
        <v>0.16</v>
      </c>
      <c r="AD1087" s="130"/>
    </row>
    <row r="1088" ht="14.25" hidden="1" customHeight="1">
      <c r="A1088" s="116" t="s">
        <v>1969</v>
      </c>
      <c r="B1088" s="117" t="s">
        <v>1969</v>
      </c>
      <c r="C1088" s="117" t="s">
        <v>3223</v>
      </c>
      <c r="D1088" s="117" t="s">
        <v>3224</v>
      </c>
      <c r="E1088" s="117" t="s">
        <v>3225</v>
      </c>
      <c r="F1088" s="117" t="s">
        <v>3226</v>
      </c>
      <c r="G1088" s="117" t="s">
        <v>205</v>
      </c>
      <c r="H1088" s="117" t="s">
        <v>491</v>
      </c>
      <c r="I1088" s="117">
        <v>1.0</v>
      </c>
      <c r="J1088" s="117">
        <v>1.0</v>
      </c>
      <c r="K1088" s="117" t="str">
        <f t="shared" si="1"/>
        <v>No</v>
      </c>
      <c r="L1088" s="118" t="s">
        <v>116</v>
      </c>
      <c r="M1088" s="119">
        <v>0.5</v>
      </c>
      <c r="N1088" s="120">
        <v>0.0</v>
      </c>
      <c r="O1088" s="121">
        <v>91.33375000000001</v>
      </c>
      <c r="P1088" s="117">
        <v>1.0</v>
      </c>
      <c r="Q1088" s="117">
        <f t="shared" si="2"/>
        <v>0</v>
      </c>
      <c r="R1088" s="122">
        <f>+(IF(((M1088*24)-P1088)&lt;0,0,((M1088*24)-P1088)*'Estimación de pérdidas'!$F$72))*N1088</f>
        <v>0</v>
      </c>
      <c r="S1088" s="123" t="s">
        <v>117</v>
      </c>
      <c r="T1088" s="124" t="s">
        <v>106</v>
      </c>
      <c r="U1088" s="124">
        <f t="shared" si="3"/>
        <v>1</v>
      </c>
      <c r="V1088" s="124">
        <v>1.0</v>
      </c>
      <c r="W1088" s="124"/>
      <c r="X1088" s="125"/>
      <c r="Y1088" s="126"/>
      <c r="Z1088" s="125">
        <f t="shared" si="4"/>
        <v>1</v>
      </c>
      <c r="AA1088" s="127" t="str">
        <f t="shared" si="5"/>
        <v>Bajo</v>
      </c>
      <c r="AB1088" s="128">
        <f t="shared" si="6"/>
        <v>7</v>
      </c>
      <c r="AC1088" s="129">
        <f t="shared" si="7"/>
        <v>0.1011928851</v>
      </c>
    </row>
    <row r="1089" ht="14.25" hidden="1" customHeight="1">
      <c r="A1089" s="116" t="s">
        <v>1969</v>
      </c>
      <c r="B1089" s="117" t="s">
        <v>1969</v>
      </c>
      <c r="C1089" s="117" t="s">
        <v>3227</v>
      </c>
      <c r="D1089" s="117" t="s">
        <v>3228</v>
      </c>
      <c r="E1089" s="117" t="s">
        <v>3229</v>
      </c>
      <c r="F1089" s="117" t="s">
        <v>3230</v>
      </c>
      <c r="G1089" s="117" t="s">
        <v>205</v>
      </c>
      <c r="H1089" s="117" t="s">
        <v>491</v>
      </c>
      <c r="I1089" s="117">
        <v>1.0</v>
      </c>
      <c r="J1089" s="117">
        <v>1.0</v>
      </c>
      <c r="K1089" s="117" t="str">
        <f t="shared" si="1"/>
        <v>No</v>
      </c>
      <c r="L1089" s="118" t="s">
        <v>116</v>
      </c>
      <c r="M1089" s="119">
        <v>0.5</v>
      </c>
      <c r="N1089" s="120">
        <v>0.0</v>
      </c>
      <c r="O1089" s="121">
        <v>91.33375000000001</v>
      </c>
      <c r="P1089" s="117">
        <v>1.0</v>
      </c>
      <c r="Q1089" s="117">
        <f t="shared" si="2"/>
        <v>0</v>
      </c>
      <c r="R1089" s="122">
        <f>+(IF(((M1089*24)-P1089)&lt;0,0,((M1089*24)-P1089)*'Estimación de pérdidas'!$F$72))*N1089</f>
        <v>0</v>
      </c>
      <c r="S1089" s="123" t="s">
        <v>117</v>
      </c>
      <c r="T1089" s="124" t="s">
        <v>106</v>
      </c>
      <c r="U1089" s="124">
        <f t="shared" si="3"/>
        <v>1</v>
      </c>
      <c r="V1089" s="124">
        <v>1.0</v>
      </c>
      <c r="W1089" s="124"/>
      <c r="X1089" s="125"/>
      <c r="Y1089" s="126"/>
      <c r="Z1089" s="125">
        <f t="shared" si="4"/>
        <v>1</v>
      </c>
      <c r="AA1089" s="127" t="str">
        <f t="shared" si="5"/>
        <v>Bajo</v>
      </c>
      <c r="AB1089" s="128">
        <f t="shared" si="6"/>
        <v>7</v>
      </c>
      <c r="AC1089" s="129">
        <f t="shared" si="7"/>
        <v>0.1011928851</v>
      </c>
    </row>
    <row r="1090" ht="14.25" hidden="1" customHeight="1">
      <c r="A1090" s="116" t="s">
        <v>1969</v>
      </c>
      <c r="B1090" s="117" t="s">
        <v>1969</v>
      </c>
      <c r="C1090" s="117" t="s">
        <v>3231</v>
      </c>
      <c r="D1090" s="117" t="s">
        <v>3232</v>
      </c>
      <c r="E1090" s="117" t="s">
        <v>3233</v>
      </c>
      <c r="F1090" s="117" t="s">
        <v>3234</v>
      </c>
      <c r="G1090" s="117" t="s">
        <v>205</v>
      </c>
      <c r="H1090" s="117" t="s">
        <v>491</v>
      </c>
      <c r="I1090" s="117">
        <v>1.0</v>
      </c>
      <c r="J1090" s="117">
        <v>1.0</v>
      </c>
      <c r="K1090" s="117" t="str">
        <f t="shared" si="1"/>
        <v>No</v>
      </c>
      <c r="L1090" s="118" t="s">
        <v>116</v>
      </c>
      <c r="M1090" s="119">
        <v>0.5</v>
      </c>
      <c r="N1090" s="120">
        <v>0.0</v>
      </c>
      <c r="O1090" s="121">
        <v>91.33375000000001</v>
      </c>
      <c r="P1090" s="117">
        <v>1.0</v>
      </c>
      <c r="Q1090" s="117">
        <f t="shared" si="2"/>
        <v>0</v>
      </c>
      <c r="R1090" s="122">
        <f>+(IF(((M1090*24)-P1090)&lt;0,0,((M1090*24)-P1090)*'Estimación de pérdidas'!$F$72))*N1090</f>
        <v>0</v>
      </c>
      <c r="S1090" s="123" t="s">
        <v>117</v>
      </c>
      <c r="T1090" s="124" t="s">
        <v>106</v>
      </c>
      <c r="U1090" s="124">
        <f t="shared" si="3"/>
        <v>1</v>
      </c>
      <c r="V1090" s="124">
        <v>1.0</v>
      </c>
      <c r="W1090" s="124"/>
      <c r="X1090" s="125"/>
      <c r="Y1090" s="126"/>
      <c r="Z1090" s="125">
        <f t="shared" si="4"/>
        <v>1</v>
      </c>
      <c r="AA1090" s="127" t="str">
        <f t="shared" si="5"/>
        <v>Bajo</v>
      </c>
      <c r="AB1090" s="128">
        <f t="shared" si="6"/>
        <v>7</v>
      </c>
      <c r="AC1090" s="129">
        <f t="shared" si="7"/>
        <v>0.1011928851</v>
      </c>
    </row>
    <row r="1091" ht="14.25" hidden="1" customHeight="1">
      <c r="A1091" s="116" t="s">
        <v>1969</v>
      </c>
      <c r="B1091" s="117" t="s">
        <v>1969</v>
      </c>
      <c r="C1091" s="117" t="s">
        <v>3235</v>
      </c>
      <c r="D1091" s="117" t="s">
        <v>3236</v>
      </c>
      <c r="E1091" s="117" t="s">
        <v>3237</v>
      </c>
      <c r="F1091" s="117" t="s">
        <v>3238</v>
      </c>
      <c r="G1091" s="117" t="s">
        <v>205</v>
      </c>
      <c r="H1091" s="117" t="s">
        <v>491</v>
      </c>
      <c r="I1091" s="117">
        <v>1.0</v>
      </c>
      <c r="J1091" s="117">
        <v>1.0</v>
      </c>
      <c r="K1091" s="117" t="str">
        <f t="shared" si="1"/>
        <v>No</v>
      </c>
      <c r="L1091" s="118" t="s">
        <v>116</v>
      </c>
      <c r="M1091" s="119">
        <v>0.5</v>
      </c>
      <c r="N1091" s="120">
        <v>0.0</v>
      </c>
      <c r="O1091" s="121">
        <v>91.33375000000001</v>
      </c>
      <c r="P1091" s="117">
        <v>1.0</v>
      </c>
      <c r="Q1091" s="117">
        <f t="shared" si="2"/>
        <v>0</v>
      </c>
      <c r="R1091" s="122">
        <f>+(IF(((M1091*24)-P1091)&lt;0,0,((M1091*24)-P1091)*'Estimación de pérdidas'!$F$72))*N1091</f>
        <v>0</v>
      </c>
      <c r="S1091" s="123" t="s">
        <v>117</v>
      </c>
      <c r="T1091" s="124" t="s">
        <v>106</v>
      </c>
      <c r="U1091" s="124">
        <f t="shared" si="3"/>
        <v>1</v>
      </c>
      <c r="V1091" s="124">
        <v>1.0</v>
      </c>
      <c r="W1091" s="124"/>
      <c r="X1091" s="125"/>
      <c r="Y1091" s="126"/>
      <c r="Z1091" s="125">
        <f t="shared" si="4"/>
        <v>1</v>
      </c>
      <c r="AA1091" s="127" t="str">
        <f t="shared" si="5"/>
        <v>Bajo</v>
      </c>
      <c r="AB1091" s="128">
        <f t="shared" si="6"/>
        <v>7</v>
      </c>
      <c r="AC1091" s="129">
        <f t="shared" si="7"/>
        <v>0.1011928851</v>
      </c>
    </row>
    <row r="1092" ht="14.25" hidden="1" customHeight="1">
      <c r="A1092" s="116" t="s">
        <v>1969</v>
      </c>
      <c r="B1092" s="117" t="s">
        <v>1969</v>
      </c>
      <c r="C1092" s="117" t="s">
        <v>3239</v>
      </c>
      <c r="D1092" s="117" t="s">
        <v>3240</v>
      </c>
      <c r="E1092" s="117" t="s">
        <v>3241</v>
      </c>
      <c r="F1092" s="117" t="s">
        <v>3242</v>
      </c>
      <c r="G1092" s="117" t="s">
        <v>205</v>
      </c>
      <c r="H1092" s="117" t="s">
        <v>491</v>
      </c>
      <c r="I1092" s="117">
        <v>1.0</v>
      </c>
      <c r="J1092" s="117">
        <v>1.0</v>
      </c>
      <c r="K1092" s="117" t="str">
        <f t="shared" si="1"/>
        <v>No</v>
      </c>
      <c r="L1092" s="118" t="s">
        <v>116</v>
      </c>
      <c r="M1092" s="119">
        <v>0.5</v>
      </c>
      <c r="N1092" s="120">
        <v>0.0</v>
      </c>
      <c r="O1092" s="121">
        <v>91.33375000000001</v>
      </c>
      <c r="P1092" s="117">
        <v>1.0</v>
      </c>
      <c r="Q1092" s="117">
        <f t="shared" si="2"/>
        <v>0</v>
      </c>
      <c r="R1092" s="122">
        <f>+(IF(((M1092*24)-P1092)&lt;0,0,((M1092*24)-P1092)*'Estimación de pérdidas'!$F$72))*N1092</f>
        <v>0</v>
      </c>
      <c r="S1092" s="123" t="s">
        <v>117</v>
      </c>
      <c r="T1092" s="124" t="s">
        <v>106</v>
      </c>
      <c r="U1092" s="124">
        <f t="shared" si="3"/>
        <v>1</v>
      </c>
      <c r="V1092" s="124">
        <v>1.0</v>
      </c>
      <c r="W1092" s="124"/>
      <c r="X1092" s="125"/>
      <c r="Y1092" s="126"/>
      <c r="Z1092" s="125">
        <f t="shared" si="4"/>
        <v>1</v>
      </c>
      <c r="AA1092" s="127" t="str">
        <f t="shared" si="5"/>
        <v>Bajo</v>
      </c>
      <c r="AB1092" s="128">
        <f t="shared" si="6"/>
        <v>7</v>
      </c>
      <c r="AC1092" s="129">
        <f t="shared" si="7"/>
        <v>0.1011928851</v>
      </c>
    </row>
    <row r="1093" ht="14.25" hidden="1" customHeight="1">
      <c r="A1093" s="116" t="s">
        <v>1969</v>
      </c>
      <c r="B1093" s="117" t="s">
        <v>1969</v>
      </c>
      <c r="C1093" s="117" t="s">
        <v>3243</v>
      </c>
      <c r="D1093" s="117" t="s">
        <v>3244</v>
      </c>
      <c r="E1093" s="117" t="s">
        <v>3243</v>
      </c>
      <c r="F1093" s="117" t="s">
        <v>3245</v>
      </c>
      <c r="G1093" s="117" t="s">
        <v>205</v>
      </c>
      <c r="H1093" s="117" t="s">
        <v>491</v>
      </c>
      <c r="I1093" s="117">
        <v>1.0</v>
      </c>
      <c r="J1093" s="117">
        <v>1.0</v>
      </c>
      <c r="K1093" s="117" t="str">
        <f t="shared" si="1"/>
        <v>No</v>
      </c>
      <c r="L1093" s="118" t="s">
        <v>116</v>
      </c>
      <c r="M1093" s="119">
        <v>0.5</v>
      </c>
      <c r="N1093" s="120">
        <v>0.0</v>
      </c>
      <c r="O1093" s="121">
        <v>91.33375000000001</v>
      </c>
      <c r="P1093" s="117">
        <v>1.0</v>
      </c>
      <c r="Q1093" s="117">
        <f t="shared" si="2"/>
        <v>0</v>
      </c>
      <c r="R1093" s="122">
        <f>+(IF(((M1093*24)-P1093)&lt;0,0,((M1093*24)-P1093)*'Estimación de pérdidas'!$F$72))*N1093</f>
        <v>0</v>
      </c>
      <c r="S1093" s="123" t="s">
        <v>117</v>
      </c>
      <c r="T1093" s="124" t="s">
        <v>106</v>
      </c>
      <c r="U1093" s="124">
        <f t="shared" si="3"/>
        <v>1</v>
      </c>
      <c r="V1093" s="124">
        <v>1.0</v>
      </c>
      <c r="W1093" s="124"/>
      <c r="X1093" s="125"/>
      <c r="Y1093" s="126"/>
      <c r="Z1093" s="125">
        <f t="shared" si="4"/>
        <v>1</v>
      </c>
      <c r="AA1093" s="127" t="str">
        <f t="shared" si="5"/>
        <v>Bajo</v>
      </c>
      <c r="AB1093" s="128">
        <f t="shared" si="6"/>
        <v>7</v>
      </c>
      <c r="AC1093" s="129">
        <f t="shared" si="7"/>
        <v>0.1011928851</v>
      </c>
    </row>
    <row r="1094" ht="14.25" hidden="1" customHeight="1">
      <c r="A1094" s="116" t="s">
        <v>1969</v>
      </c>
      <c r="B1094" s="117" t="s">
        <v>1969</v>
      </c>
      <c r="C1094" s="117" t="s">
        <v>3246</v>
      </c>
      <c r="D1094" s="117" t="s">
        <v>3247</v>
      </c>
      <c r="E1094" s="117" t="s">
        <v>3248</v>
      </c>
      <c r="F1094" s="117" t="s">
        <v>3249</v>
      </c>
      <c r="G1094" s="117" t="s">
        <v>205</v>
      </c>
      <c r="H1094" s="117" t="s">
        <v>491</v>
      </c>
      <c r="I1094" s="117">
        <v>1.0</v>
      </c>
      <c r="J1094" s="117">
        <v>1.0</v>
      </c>
      <c r="K1094" s="117" t="str">
        <f t="shared" si="1"/>
        <v>No</v>
      </c>
      <c r="L1094" s="118" t="s">
        <v>116</v>
      </c>
      <c r="M1094" s="119">
        <v>0.5</v>
      </c>
      <c r="N1094" s="120">
        <v>0.0</v>
      </c>
      <c r="O1094" s="121">
        <v>91.33375000000001</v>
      </c>
      <c r="P1094" s="117">
        <v>1.0</v>
      </c>
      <c r="Q1094" s="117">
        <f t="shared" si="2"/>
        <v>0</v>
      </c>
      <c r="R1094" s="122">
        <f>+(IF(((M1094*24)-P1094)&lt;0,0,((M1094*24)-P1094)*'Estimación de pérdidas'!$F$72))*N1094</f>
        <v>0</v>
      </c>
      <c r="S1094" s="123" t="s">
        <v>117</v>
      </c>
      <c r="T1094" s="124" t="s">
        <v>106</v>
      </c>
      <c r="U1094" s="124">
        <f t="shared" si="3"/>
        <v>1</v>
      </c>
      <c r="V1094" s="124">
        <v>1.0</v>
      </c>
      <c r="W1094" s="124"/>
      <c r="X1094" s="125"/>
      <c r="Y1094" s="126"/>
      <c r="Z1094" s="125">
        <f t="shared" si="4"/>
        <v>1</v>
      </c>
      <c r="AA1094" s="127" t="str">
        <f t="shared" si="5"/>
        <v>Bajo</v>
      </c>
      <c r="AB1094" s="128">
        <f t="shared" si="6"/>
        <v>7</v>
      </c>
      <c r="AC1094" s="129">
        <f t="shared" si="7"/>
        <v>0.1011928851</v>
      </c>
    </row>
    <row r="1095" ht="14.25" hidden="1" customHeight="1">
      <c r="A1095" s="116" t="s">
        <v>1969</v>
      </c>
      <c r="B1095" s="117" t="s">
        <v>1969</v>
      </c>
      <c r="C1095" s="117" t="s">
        <v>3250</v>
      </c>
      <c r="D1095" s="117" t="s">
        <v>3251</v>
      </c>
      <c r="E1095" s="117" t="s">
        <v>3250</v>
      </c>
      <c r="F1095" s="117" t="s">
        <v>3252</v>
      </c>
      <c r="G1095" s="117" t="s">
        <v>205</v>
      </c>
      <c r="H1095" s="117" t="s">
        <v>491</v>
      </c>
      <c r="I1095" s="117">
        <v>1.0</v>
      </c>
      <c r="J1095" s="117">
        <v>1.0</v>
      </c>
      <c r="K1095" s="117" t="str">
        <f t="shared" si="1"/>
        <v>No</v>
      </c>
      <c r="L1095" s="118" t="s">
        <v>116</v>
      </c>
      <c r="M1095" s="119">
        <v>0.5</v>
      </c>
      <c r="N1095" s="120">
        <v>0.0</v>
      </c>
      <c r="O1095" s="121">
        <v>91.33375000000001</v>
      </c>
      <c r="P1095" s="117">
        <v>1.0</v>
      </c>
      <c r="Q1095" s="117">
        <f t="shared" si="2"/>
        <v>0</v>
      </c>
      <c r="R1095" s="122">
        <f>+(IF(((M1095*24)-P1095)&lt;0,0,((M1095*24)-P1095)*'Estimación de pérdidas'!$F$72))*N1095</f>
        <v>0</v>
      </c>
      <c r="S1095" s="123" t="s">
        <v>117</v>
      </c>
      <c r="T1095" s="124" t="s">
        <v>106</v>
      </c>
      <c r="U1095" s="124">
        <f t="shared" si="3"/>
        <v>1</v>
      </c>
      <c r="V1095" s="124">
        <v>1.0</v>
      </c>
      <c r="W1095" s="124"/>
      <c r="X1095" s="125"/>
      <c r="Y1095" s="126"/>
      <c r="Z1095" s="125">
        <f t="shared" si="4"/>
        <v>1</v>
      </c>
      <c r="AA1095" s="127" t="str">
        <f t="shared" si="5"/>
        <v>Bajo</v>
      </c>
      <c r="AB1095" s="128">
        <f t="shared" si="6"/>
        <v>7</v>
      </c>
      <c r="AC1095" s="129">
        <f t="shared" si="7"/>
        <v>0.1011928851</v>
      </c>
    </row>
    <row r="1096" ht="14.25" hidden="1" customHeight="1">
      <c r="A1096" s="116" t="s">
        <v>221</v>
      </c>
      <c r="B1096" s="117" t="s">
        <v>222</v>
      </c>
      <c r="C1096" s="117" t="s">
        <v>3253</v>
      </c>
      <c r="D1096" s="117" t="s">
        <v>3254</v>
      </c>
      <c r="E1096" s="117" t="s">
        <v>3253</v>
      </c>
      <c r="F1096" s="117" t="s">
        <v>3255</v>
      </c>
      <c r="G1096" s="117" t="s">
        <v>592</v>
      </c>
      <c r="H1096" s="117" t="s">
        <v>593</v>
      </c>
      <c r="I1096" s="117">
        <v>1.0</v>
      </c>
      <c r="J1096" s="117">
        <v>1.0</v>
      </c>
      <c r="K1096" s="117" t="str">
        <f t="shared" si="1"/>
        <v>No</v>
      </c>
      <c r="L1096" s="118" t="s">
        <v>116</v>
      </c>
      <c r="M1096" s="119">
        <v>0.16666666666666666</v>
      </c>
      <c r="N1096" s="120">
        <v>0.0</v>
      </c>
      <c r="O1096" s="121">
        <v>91.32</v>
      </c>
      <c r="P1096" s="117">
        <v>1.0</v>
      </c>
      <c r="Q1096" s="117">
        <f t="shared" si="2"/>
        <v>0</v>
      </c>
      <c r="R1096" s="122">
        <f>+(IF(((M1096*24)-P1096)&lt;0,0,((M1096*24)-P1096)*'Estimación de pérdidas'!$F$72))*N1096</f>
        <v>0</v>
      </c>
      <c r="S1096" s="123" t="s">
        <v>117</v>
      </c>
      <c r="T1096" s="124" t="s">
        <v>119</v>
      </c>
      <c r="U1096" s="124">
        <f t="shared" si="3"/>
        <v>1</v>
      </c>
      <c r="V1096" s="124">
        <v>1.0</v>
      </c>
      <c r="W1096" s="124"/>
      <c r="X1096" s="125"/>
      <c r="Y1096" s="126"/>
      <c r="Z1096" s="125">
        <f t="shared" si="4"/>
        <v>1</v>
      </c>
      <c r="AA1096" s="127" t="str">
        <f t="shared" si="5"/>
        <v>Bajo</v>
      </c>
      <c r="AB1096" s="128">
        <f t="shared" si="6"/>
        <v>4</v>
      </c>
      <c r="AC1096" s="129">
        <f t="shared" si="7"/>
        <v>0.07589466384</v>
      </c>
    </row>
    <row r="1097" ht="14.25" hidden="1" customHeight="1">
      <c r="A1097" s="116" t="s">
        <v>300</v>
      </c>
      <c r="B1097" s="117" t="s">
        <v>301</v>
      </c>
      <c r="C1097" s="117" t="s">
        <v>3256</v>
      </c>
      <c r="D1097" s="117" t="s">
        <v>3257</v>
      </c>
      <c r="E1097" s="117" t="s">
        <v>3256</v>
      </c>
      <c r="F1097" s="117" t="s">
        <v>3258</v>
      </c>
      <c r="G1097" s="117" t="s">
        <v>592</v>
      </c>
      <c r="H1097" s="117" t="s">
        <v>593</v>
      </c>
      <c r="I1097" s="117">
        <v>1.0</v>
      </c>
      <c r="J1097" s="117">
        <v>1.0</v>
      </c>
      <c r="K1097" s="117" t="str">
        <f t="shared" si="1"/>
        <v>No</v>
      </c>
      <c r="L1097" s="118" t="s">
        <v>116</v>
      </c>
      <c r="M1097" s="119">
        <v>0.16666666666666666</v>
      </c>
      <c r="N1097" s="120">
        <v>0.0</v>
      </c>
      <c r="O1097" s="121">
        <v>91.32</v>
      </c>
      <c r="P1097" s="117">
        <v>1.0</v>
      </c>
      <c r="Q1097" s="117">
        <f t="shared" si="2"/>
        <v>0</v>
      </c>
      <c r="R1097" s="122">
        <f>+(IF(((M1097*24)-P1097)&lt;0,0,((M1097*24)-P1097)*'Estimación de pérdidas'!$F$72))*N1097</f>
        <v>0</v>
      </c>
      <c r="S1097" s="123" t="s">
        <v>117</v>
      </c>
      <c r="T1097" s="124" t="s">
        <v>119</v>
      </c>
      <c r="U1097" s="124">
        <f t="shared" si="3"/>
        <v>1</v>
      </c>
      <c r="V1097" s="124">
        <v>1.0</v>
      </c>
      <c r="W1097" s="124"/>
      <c r="X1097" s="125"/>
      <c r="Y1097" s="126"/>
      <c r="Z1097" s="125">
        <f t="shared" si="4"/>
        <v>1</v>
      </c>
      <c r="AA1097" s="127" t="str">
        <f t="shared" si="5"/>
        <v>Bajo</v>
      </c>
      <c r="AB1097" s="128">
        <f t="shared" si="6"/>
        <v>4</v>
      </c>
      <c r="AC1097" s="129">
        <f t="shared" si="7"/>
        <v>0.07589466384</v>
      </c>
    </row>
    <row r="1098" ht="14.25" hidden="1" customHeight="1">
      <c r="A1098" s="116" t="s">
        <v>300</v>
      </c>
      <c r="B1098" s="117" t="s">
        <v>331</v>
      </c>
      <c r="C1098" s="117" t="s">
        <v>3259</v>
      </c>
      <c r="D1098" s="117" t="s">
        <v>3260</v>
      </c>
      <c r="E1098" s="117" t="s">
        <v>3261</v>
      </c>
      <c r="F1098" s="117" t="s">
        <v>3115</v>
      </c>
      <c r="G1098" s="117" t="s">
        <v>3116</v>
      </c>
      <c r="H1098" s="117" t="s">
        <v>3117</v>
      </c>
      <c r="I1098" s="117">
        <v>1.0</v>
      </c>
      <c r="J1098" s="117">
        <v>1.0</v>
      </c>
      <c r="K1098" s="117" t="str">
        <f t="shared" si="1"/>
        <v>No</v>
      </c>
      <c r="L1098" s="118" t="s">
        <v>116</v>
      </c>
      <c r="M1098" s="119">
        <v>0.3333333333333333</v>
      </c>
      <c r="N1098" s="120">
        <v>0.0</v>
      </c>
      <c r="O1098" s="121"/>
      <c r="P1098" s="117"/>
      <c r="Q1098" s="117">
        <f t="shared" si="2"/>
        <v>0</v>
      </c>
      <c r="R1098" s="122">
        <f>+(IF(((M1098*24)-P1098)&lt;0,0,((M1098*24)-P1098)*'Estimación de pérdidas'!$F$72))*N1098</f>
        <v>0</v>
      </c>
      <c r="S1098" s="123" t="s">
        <v>117</v>
      </c>
      <c r="T1098" s="124" t="s">
        <v>132</v>
      </c>
      <c r="U1098" s="124">
        <f t="shared" si="3"/>
        <v>1</v>
      </c>
      <c r="V1098" s="124">
        <v>1.0</v>
      </c>
      <c r="W1098" s="124"/>
      <c r="X1098" s="125"/>
      <c r="Y1098" s="126"/>
      <c r="Z1098" s="125">
        <f t="shared" si="4"/>
        <v>1</v>
      </c>
      <c r="AA1098" s="127" t="str">
        <f t="shared" si="5"/>
        <v>Bajo</v>
      </c>
      <c r="AB1098" s="128">
        <f t="shared" si="6"/>
        <v>1</v>
      </c>
      <c r="AC1098" s="129">
        <f t="shared" si="7"/>
        <v>0.02529822128</v>
      </c>
    </row>
    <row r="1099" ht="14.25" hidden="1" customHeight="1">
      <c r="A1099" s="116" t="s">
        <v>403</v>
      </c>
      <c r="B1099" s="117" t="s">
        <v>511</v>
      </c>
      <c r="C1099" s="117" t="s">
        <v>3262</v>
      </c>
      <c r="D1099" s="117" t="s">
        <v>3263</v>
      </c>
      <c r="E1099" s="117" t="s">
        <v>406</v>
      </c>
      <c r="F1099" s="117" t="s">
        <v>907</v>
      </c>
      <c r="G1099" s="117" t="s">
        <v>408</v>
      </c>
      <c r="H1099" s="117" t="s">
        <v>908</v>
      </c>
      <c r="I1099" s="117">
        <v>1.0</v>
      </c>
      <c r="J1099" s="117">
        <v>1.0</v>
      </c>
      <c r="K1099" s="117" t="str">
        <f t="shared" si="1"/>
        <v>No</v>
      </c>
      <c r="L1099" s="118" t="s">
        <v>116</v>
      </c>
      <c r="M1099" s="119">
        <v>0.3333333333333333</v>
      </c>
      <c r="N1099" s="120">
        <v>0.0</v>
      </c>
      <c r="O1099" s="121"/>
      <c r="P1099" s="117">
        <v>0.0</v>
      </c>
      <c r="Q1099" s="117">
        <f t="shared" si="2"/>
        <v>0</v>
      </c>
      <c r="R1099" s="122">
        <f>+(IF(((M1099*24)-P1099)&lt;0,0,((M1099*24)-P1099)*'Estimación de pérdidas'!$F$72))*N1099</f>
        <v>0</v>
      </c>
      <c r="S1099" s="123" t="s">
        <v>272</v>
      </c>
      <c r="T1099" s="124" t="s">
        <v>106</v>
      </c>
      <c r="U1099" s="124">
        <f t="shared" si="3"/>
        <v>1</v>
      </c>
      <c r="V1099" s="124">
        <v>1.0</v>
      </c>
      <c r="W1099" s="124">
        <v>4.0</v>
      </c>
      <c r="X1099" s="125"/>
      <c r="Y1099" s="126"/>
      <c r="Z1099" s="125">
        <f t="shared" si="4"/>
        <v>4</v>
      </c>
      <c r="AA1099" s="127" t="str">
        <f t="shared" si="5"/>
        <v>Alto</v>
      </c>
      <c r="AB1099" s="128">
        <f t="shared" si="6"/>
        <v>22</v>
      </c>
      <c r="AC1099" s="129">
        <f t="shared" si="7"/>
        <v>0.3035786554</v>
      </c>
      <c r="AD1099" s="130"/>
    </row>
    <row r="1100" ht="14.25" hidden="1" customHeight="1">
      <c r="A1100" s="116" t="s">
        <v>403</v>
      </c>
      <c r="B1100" s="117" t="s">
        <v>511</v>
      </c>
      <c r="C1100" s="117" t="s">
        <v>526</v>
      </c>
      <c r="D1100" s="117" t="s">
        <v>3264</v>
      </c>
      <c r="E1100" s="117" t="s">
        <v>406</v>
      </c>
      <c r="F1100" s="117" t="s">
        <v>907</v>
      </c>
      <c r="G1100" s="117" t="s">
        <v>408</v>
      </c>
      <c r="H1100" s="117" t="s">
        <v>908</v>
      </c>
      <c r="I1100" s="117">
        <v>1.0</v>
      </c>
      <c r="J1100" s="117">
        <v>1.0</v>
      </c>
      <c r="K1100" s="117" t="str">
        <f t="shared" si="1"/>
        <v>No</v>
      </c>
      <c r="L1100" s="118" t="s">
        <v>116</v>
      </c>
      <c r="M1100" s="119">
        <v>0.3333333333333333</v>
      </c>
      <c r="N1100" s="120">
        <v>0.0</v>
      </c>
      <c r="O1100" s="121"/>
      <c r="P1100" s="117">
        <v>0.0</v>
      </c>
      <c r="Q1100" s="117">
        <f t="shared" si="2"/>
        <v>0</v>
      </c>
      <c r="R1100" s="122">
        <f>+(IF(((M1100*24)-P1100)&lt;0,0,((M1100*24)-P1100)*'Estimación de pérdidas'!$F$72))*N1100</f>
        <v>0</v>
      </c>
      <c r="S1100" s="123" t="s">
        <v>272</v>
      </c>
      <c r="T1100" s="124" t="s">
        <v>106</v>
      </c>
      <c r="U1100" s="124">
        <f t="shared" si="3"/>
        <v>1</v>
      </c>
      <c r="V1100" s="124">
        <v>1.0</v>
      </c>
      <c r="W1100" s="124">
        <v>4.0</v>
      </c>
      <c r="X1100" s="125"/>
      <c r="Y1100" s="126"/>
      <c r="Z1100" s="125">
        <f t="shared" si="4"/>
        <v>4</v>
      </c>
      <c r="AA1100" s="127" t="str">
        <f t="shared" si="5"/>
        <v>Alto</v>
      </c>
      <c r="AB1100" s="128">
        <f t="shared" si="6"/>
        <v>22</v>
      </c>
      <c r="AC1100" s="129">
        <f t="shared" si="7"/>
        <v>0.3035786554</v>
      </c>
      <c r="AD1100" s="130"/>
    </row>
    <row r="1101" ht="14.25" hidden="1" customHeight="1">
      <c r="A1101" s="116" t="s">
        <v>539</v>
      </c>
      <c r="B1101" s="117" t="s">
        <v>855</v>
      </c>
      <c r="C1101" s="117" t="s">
        <v>3265</v>
      </c>
      <c r="D1101" s="117" t="s">
        <v>3266</v>
      </c>
      <c r="E1101" s="117" t="s">
        <v>3265</v>
      </c>
      <c r="F1101" s="117" t="s">
        <v>3267</v>
      </c>
      <c r="G1101" s="117" t="s">
        <v>2215</v>
      </c>
      <c r="H1101" s="117" t="s">
        <v>2216</v>
      </c>
      <c r="I1101" s="117">
        <v>9.0</v>
      </c>
      <c r="J1101" s="117">
        <v>8.0</v>
      </c>
      <c r="K1101" s="117" t="str">
        <f t="shared" si="1"/>
        <v>Si</v>
      </c>
      <c r="L1101" s="118" t="s">
        <v>1631</v>
      </c>
      <c r="M1101" s="119">
        <v>1.0</v>
      </c>
      <c r="N1101" s="120">
        <v>0.025</v>
      </c>
      <c r="O1101" s="121">
        <v>91.32</v>
      </c>
      <c r="P1101" s="117">
        <v>1.0</v>
      </c>
      <c r="Q1101" s="117">
        <f t="shared" si="2"/>
        <v>0.575</v>
      </c>
      <c r="R1101" s="122">
        <f>+(IF(((M1101*24)-P1101)&lt;0,0,((M1101*24)-P1101)*'Estimación de pérdidas'!$F$72))*N1101</f>
        <v>33164.89308</v>
      </c>
      <c r="S1101" s="123" t="s">
        <v>117</v>
      </c>
      <c r="T1101" s="124" t="s">
        <v>119</v>
      </c>
      <c r="U1101" s="124">
        <f t="shared" si="3"/>
        <v>1</v>
      </c>
      <c r="V1101" s="124">
        <v>1.0</v>
      </c>
      <c r="W1101" s="124"/>
      <c r="X1101" s="125"/>
      <c r="Y1101" s="126"/>
      <c r="Z1101" s="125">
        <f t="shared" si="4"/>
        <v>1</v>
      </c>
      <c r="AA1101" s="127" t="str">
        <f t="shared" si="5"/>
        <v>Bajo</v>
      </c>
      <c r="AB1101" s="128">
        <f t="shared" si="6"/>
        <v>4</v>
      </c>
      <c r="AC1101" s="129">
        <f t="shared" si="7"/>
        <v>0.07589466384</v>
      </c>
      <c r="AD1101" s="130"/>
    </row>
    <row r="1102" ht="14.25" hidden="1" customHeight="1">
      <c r="A1102" s="116" t="s">
        <v>539</v>
      </c>
      <c r="B1102" s="117" t="s">
        <v>575</v>
      </c>
      <c r="C1102" s="117" t="s">
        <v>1045</v>
      </c>
      <c r="D1102" s="117" t="s">
        <v>3268</v>
      </c>
      <c r="E1102" s="117" t="s">
        <v>1045</v>
      </c>
      <c r="F1102" s="117" t="s">
        <v>3269</v>
      </c>
      <c r="G1102" s="117" t="s">
        <v>205</v>
      </c>
      <c r="H1102" s="117" t="s">
        <v>491</v>
      </c>
      <c r="I1102" s="117">
        <v>1.0</v>
      </c>
      <c r="J1102" s="117">
        <v>1.0</v>
      </c>
      <c r="K1102" s="117" t="str">
        <f t="shared" si="1"/>
        <v>No</v>
      </c>
      <c r="L1102" s="118" t="s">
        <v>116</v>
      </c>
      <c r="M1102" s="119">
        <v>0.33</v>
      </c>
      <c r="N1102" s="120">
        <v>0.0</v>
      </c>
      <c r="O1102" s="121"/>
      <c r="P1102" s="117">
        <v>0.0</v>
      </c>
      <c r="Q1102" s="117">
        <f t="shared" si="2"/>
        <v>0</v>
      </c>
      <c r="R1102" s="122">
        <f>+(IF(((M1102*24)-P1102)&lt;0,0,((M1102*24)-P1102)*'Estimación de pérdidas'!$F$72))*N1102</f>
        <v>0</v>
      </c>
      <c r="S1102" s="123" t="s">
        <v>117</v>
      </c>
      <c r="T1102" s="124" t="s">
        <v>119</v>
      </c>
      <c r="U1102" s="124">
        <f t="shared" si="3"/>
        <v>1</v>
      </c>
      <c r="V1102" s="124">
        <v>1.0</v>
      </c>
      <c r="W1102" s="124"/>
      <c r="X1102" s="125"/>
      <c r="Y1102" s="126"/>
      <c r="Z1102" s="125">
        <f t="shared" si="4"/>
        <v>1</v>
      </c>
      <c r="AA1102" s="127" t="str">
        <f t="shared" si="5"/>
        <v>Bajo</v>
      </c>
      <c r="AB1102" s="128">
        <f t="shared" si="6"/>
        <v>4</v>
      </c>
      <c r="AC1102" s="129">
        <f t="shared" si="7"/>
        <v>0.07589466384</v>
      </c>
    </row>
    <row r="1103" ht="14.25" hidden="1" customHeight="1">
      <c r="A1103" s="116" t="s">
        <v>539</v>
      </c>
      <c r="B1103" s="117" t="s">
        <v>575</v>
      </c>
      <c r="C1103" s="117" t="s">
        <v>3270</v>
      </c>
      <c r="D1103" s="117" t="s">
        <v>3271</v>
      </c>
      <c r="E1103" s="117" t="s">
        <v>3270</v>
      </c>
      <c r="F1103" s="117" t="s">
        <v>3272</v>
      </c>
      <c r="G1103" s="117" t="s">
        <v>3273</v>
      </c>
      <c r="H1103" s="117" t="s">
        <v>3274</v>
      </c>
      <c r="I1103" s="117">
        <v>1.0</v>
      </c>
      <c r="J1103" s="117">
        <v>1.0</v>
      </c>
      <c r="K1103" s="117" t="str">
        <f t="shared" si="1"/>
        <v>No</v>
      </c>
      <c r="L1103" s="118" t="s">
        <v>116</v>
      </c>
      <c r="M1103" s="119">
        <v>0.3333333333333333</v>
      </c>
      <c r="N1103" s="120">
        <v>0.0</v>
      </c>
      <c r="O1103" s="121"/>
      <c r="P1103" s="117">
        <v>0.0</v>
      </c>
      <c r="Q1103" s="117">
        <f t="shared" si="2"/>
        <v>0</v>
      </c>
      <c r="R1103" s="122">
        <f>+(IF(((M1103*24)-P1103)&lt;0,0,((M1103*24)-P1103)*'Estimación de pérdidas'!$F$72))*N1103</f>
        <v>0</v>
      </c>
      <c r="S1103" s="123" t="s">
        <v>117</v>
      </c>
      <c r="T1103" s="124" t="s">
        <v>118</v>
      </c>
      <c r="U1103" s="124">
        <f t="shared" si="3"/>
        <v>1</v>
      </c>
      <c r="V1103" s="124">
        <v>1.0</v>
      </c>
      <c r="W1103" s="124"/>
      <c r="X1103" s="125"/>
      <c r="Y1103" s="126"/>
      <c r="Z1103" s="125">
        <f t="shared" si="4"/>
        <v>1</v>
      </c>
      <c r="AA1103" s="127" t="str">
        <f t="shared" si="5"/>
        <v>Bajo</v>
      </c>
      <c r="AB1103" s="128">
        <f t="shared" si="6"/>
        <v>2</v>
      </c>
      <c r="AC1103" s="129">
        <f t="shared" si="7"/>
        <v>0.05059644256</v>
      </c>
    </row>
    <row r="1104" ht="14.25" hidden="1" customHeight="1">
      <c r="A1104" s="116" t="s">
        <v>539</v>
      </c>
      <c r="B1104" s="117" t="s">
        <v>575</v>
      </c>
      <c r="C1104" s="117" t="s">
        <v>3275</v>
      </c>
      <c r="D1104" s="117" t="s">
        <v>3276</v>
      </c>
      <c r="E1104" s="117" t="s">
        <v>3275</v>
      </c>
      <c r="F1104" s="117" t="s">
        <v>3272</v>
      </c>
      <c r="G1104" s="117" t="s">
        <v>3273</v>
      </c>
      <c r="H1104" s="117" t="s">
        <v>3274</v>
      </c>
      <c r="I1104" s="117">
        <v>1.0</v>
      </c>
      <c r="J1104" s="117">
        <v>1.0</v>
      </c>
      <c r="K1104" s="117" t="str">
        <f t="shared" si="1"/>
        <v>No</v>
      </c>
      <c r="L1104" s="118" t="s">
        <v>116</v>
      </c>
      <c r="M1104" s="119">
        <v>0.3333333333333333</v>
      </c>
      <c r="N1104" s="120">
        <v>0.0</v>
      </c>
      <c r="O1104" s="121"/>
      <c r="P1104" s="117">
        <v>0.0</v>
      </c>
      <c r="Q1104" s="117">
        <f t="shared" si="2"/>
        <v>0</v>
      </c>
      <c r="R1104" s="122">
        <f>+(IF(((M1104*24)-P1104)&lt;0,0,((M1104*24)-P1104)*'Estimación de pérdidas'!$F$72))*N1104</f>
        <v>0</v>
      </c>
      <c r="S1104" s="123" t="s">
        <v>117</v>
      </c>
      <c r="T1104" s="124" t="s">
        <v>118</v>
      </c>
      <c r="U1104" s="124">
        <f t="shared" si="3"/>
        <v>1</v>
      </c>
      <c r="V1104" s="124">
        <v>1.0</v>
      </c>
      <c r="W1104" s="124"/>
      <c r="X1104" s="125"/>
      <c r="Y1104" s="126"/>
      <c r="Z1104" s="125">
        <f t="shared" si="4"/>
        <v>1</v>
      </c>
      <c r="AA1104" s="127" t="str">
        <f t="shared" si="5"/>
        <v>Bajo</v>
      </c>
      <c r="AB1104" s="128">
        <f t="shared" si="6"/>
        <v>2</v>
      </c>
      <c r="AC1104" s="129">
        <f t="shared" si="7"/>
        <v>0.05059644256</v>
      </c>
    </row>
    <row r="1105" ht="14.25" hidden="1" customHeight="1">
      <c r="A1105" s="116" t="s">
        <v>927</v>
      </c>
      <c r="B1105" s="117" t="s">
        <v>1037</v>
      </c>
      <c r="C1105" s="117" t="s">
        <v>1313</v>
      </c>
      <c r="D1105" s="117" t="s">
        <v>3277</v>
      </c>
      <c r="E1105" s="117" t="s">
        <v>3278</v>
      </c>
      <c r="F1105" s="117" t="s">
        <v>3279</v>
      </c>
      <c r="G1105" s="117" t="s">
        <v>840</v>
      </c>
      <c r="H1105" s="117" t="s">
        <v>1316</v>
      </c>
      <c r="I1105" s="117">
        <v>1.0</v>
      </c>
      <c r="J1105" s="117">
        <v>1.0</v>
      </c>
      <c r="K1105" s="117" t="str">
        <f t="shared" si="1"/>
        <v>No</v>
      </c>
      <c r="L1105" s="118" t="s">
        <v>116</v>
      </c>
      <c r="M1105" s="119">
        <v>0.5</v>
      </c>
      <c r="N1105" s="120">
        <v>1.0</v>
      </c>
      <c r="O1105" s="121">
        <v>91.32</v>
      </c>
      <c r="P1105" s="117">
        <v>12.0</v>
      </c>
      <c r="Q1105" s="117">
        <f t="shared" si="2"/>
        <v>0</v>
      </c>
      <c r="R1105" s="122">
        <f>+(IF(((M1105*24)-P1105)&lt;0,0,((M1105*24)-P1105)*'Estimación de pérdidas'!$F$72))*N1105</f>
        <v>0</v>
      </c>
      <c r="S1105" s="123" t="s">
        <v>272</v>
      </c>
      <c r="T1105" s="124" t="s">
        <v>118</v>
      </c>
      <c r="U1105" s="124">
        <f t="shared" si="3"/>
        <v>1</v>
      </c>
      <c r="V1105" s="124">
        <v>1.0</v>
      </c>
      <c r="W1105" s="124"/>
      <c r="X1105" s="125">
        <v>2.0</v>
      </c>
      <c r="Y1105" s="126"/>
      <c r="Z1105" s="125">
        <f t="shared" si="4"/>
        <v>2</v>
      </c>
      <c r="AA1105" s="127" t="str">
        <f t="shared" si="5"/>
        <v>Bajo</v>
      </c>
      <c r="AB1105" s="128">
        <f t="shared" si="6"/>
        <v>5</v>
      </c>
      <c r="AC1105" s="129">
        <f t="shared" si="7"/>
        <v>0.0876356092</v>
      </c>
    </row>
    <row r="1106" ht="14.25" hidden="1" customHeight="1">
      <c r="A1106" s="116" t="s">
        <v>1145</v>
      </c>
      <c r="B1106" s="117" t="s">
        <v>1145</v>
      </c>
      <c r="C1106" s="117" t="s">
        <v>3280</v>
      </c>
      <c r="D1106" s="117" t="s">
        <v>3281</v>
      </c>
      <c r="E1106" s="117" t="s">
        <v>3280</v>
      </c>
      <c r="F1106" s="117" t="s">
        <v>3282</v>
      </c>
      <c r="G1106" s="117" t="s">
        <v>270</v>
      </c>
      <c r="H1106" s="117" t="s">
        <v>1180</v>
      </c>
      <c r="I1106" s="117">
        <v>1.0</v>
      </c>
      <c r="J1106" s="117">
        <v>1.0</v>
      </c>
      <c r="K1106" s="117" t="str">
        <f t="shared" si="1"/>
        <v>No</v>
      </c>
      <c r="L1106" s="118" t="s">
        <v>116</v>
      </c>
      <c r="M1106" s="119">
        <v>0.3333333333333333</v>
      </c>
      <c r="N1106" s="120">
        <v>1.0</v>
      </c>
      <c r="O1106" s="121">
        <v>91.32</v>
      </c>
      <c r="P1106" s="117">
        <v>1.0</v>
      </c>
      <c r="Q1106" s="117">
        <f t="shared" si="2"/>
        <v>7</v>
      </c>
      <c r="R1106" s="122">
        <f>+(IF(((M1106*24)-P1106)&lt;0,0,((M1106*24)-P1106)*'Estimación de pérdidas'!$F$72))*N1106</f>
        <v>403746.5244</v>
      </c>
      <c r="S1106" s="123" t="s">
        <v>272</v>
      </c>
      <c r="T1106" s="124" t="s">
        <v>119</v>
      </c>
      <c r="U1106" s="124">
        <f t="shared" si="3"/>
        <v>3</v>
      </c>
      <c r="V1106" s="124">
        <v>1.0</v>
      </c>
      <c r="W1106" s="124"/>
      <c r="X1106" s="125">
        <v>3.0</v>
      </c>
      <c r="Y1106" s="126"/>
      <c r="Z1106" s="125">
        <f t="shared" si="4"/>
        <v>3</v>
      </c>
      <c r="AA1106" s="127" t="str">
        <f t="shared" si="5"/>
        <v>Moderado</v>
      </c>
      <c r="AB1106" s="128">
        <f t="shared" si="6"/>
        <v>13</v>
      </c>
      <c r="AC1106" s="129">
        <f t="shared" si="7"/>
        <v>0.2339230643</v>
      </c>
      <c r="AD1106" s="131"/>
    </row>
    <row r="1107" ht="14.25" hidden="1" customHeight="1">
      <c r="A1107" s="116" t="s">
        <v>1145</v>
      </c>
      <c r="B1107" s="117" t="s">
        <v>1145</v>
      </c>
      <c r="C1107" s="117" t="s">
        <v>3283</v>
      </c>
      <c r="D1107" s="117" t="s">
        <v>3284</v>
      </c>
      <c r="E1107" s="117" t="s">
        <v>1184</v>
      </c>
      <c r="F1107" s="117" t="s">
        <v>3285</v>
      </c>
      <c r="G1107" s="117" t="s">
        <v>270</v>
      </c>
      <c r="H1107" s="117" t="s">
        <v>1186</v>
      </c>
      <c r="I1107" s="117">
        <v>1.0</v>
      </c>
      <c r="J1107" s="117">
        <v>1.0</v>
      </c>
      <c r="K1107" s="117" t="str">
        <f t="shared" si="1"/>
        <v>No</v>
      </c>
      <c r="L1107" s="118" t="s">
        <v>116</v>
      </c>
      <c r="M1107" s="119">
        <v>0.3333333333333333</v>
      </c>
      <c r="N1107" s="120">
        <v>0.0</v>
      </c>
      <c r="O1107" s="121">
        <v>91.32</v>
      </c>
      <c r="P1107" s="117">
        <v>1.0</v>
      </c>
      <c r="Q1107" s="117">
        <f t="shared" si="2"/>
        <v>0</v>
      </c>
      <c r="R1107" s="122">
        <f>+(IF(((M1107*24)-P1107)&lt;0,0,((M1107*24)-P1107)*'Estimación de pérdidas'!$F$72))*N1107</f>
        <v>0</v>
      </c>
      <c r="S1107" s="123" t="s">
        <v>272</v>
      </c>
      <c r="T1107" s="124" t="s">
        <v>119</v>
      </c>
      <c r="U1107" s="124">
        <f t="shared" si="3"/>
        <v>1</v>
      </c>
      <c r="V1107" s="124">
        <v>1.0</v>
      </c>
      <c r="W1107" s="124"/>
      <c r="X1107" s="125">
        <v>1.0</v>
      </c>
      <c r="Y1107" s="126"/>
      <c r="Z1107" s="125">
        <f t="shared" si="4"/>
        <v>1</v>
      </c>
      <c r="AA1107" s="127" t="str">
        <f t="shared" si="5"/>
        <v>Bajo</v>
      </c>
      <c r="AB1107" s="128">
        <f t="shared" si="6"/>
        <v>4</v>
      </c>
      <c r="AC1107" s="129">
        <f t="shared" si="7"/>
        <v>0.09295160031</v>
      </c>
    </row>
    <row r="1108" ht="14.25" hidden="1" customHeight="1">
      <c r="A1108" s="116" t="s">
        <v>1145</v>
      </c>
      <c r="B1108" s="117" t="s">
        <v>1145</v>
      </c>
      <c r="C1108" s="117" t="s">
        <v>3283</v>
      </c>
      <c r="D1108" s="117" t="s">
        <v>3286</v>
      </c>
      <c r="E1108" s="117" t="s">
        <v>1184</v>
      </c>
      <c r="F1108" s="117" t="s">
        <v>3285</v>
      </c>
      <c r="G1108" s="117" t="s">
        <v>270</v>
      </c>
      <c r="H1108" s="117" t="s">
        <v>1186</v>
      </c>
      <c r="I1108" s="117">
        <v>1.0</v>
      </c>
      <c r="J1108" s="117">
        <v>1.0</v>
      </c>
      <c r="K1108" s="117" t="str">
        <f t="shared" si="1"/>
        <v>No</v>
      </c>
      <c r="L1108" s="118" t="s">
        <v>116</v>
      </c>
      <c r="M1108" s="119">
        <v>0.3333333333333333</v>
      </c>
      <c r="N1108" s="120">
        <v>0.0</v>
      </c>
      <c r="O1108" s="121">
        <v>91.32</v>
      </c>
      <c r="P1108" s="117">
        <v>1.0</v>
      </c>
      <c r="Q1108" s="117">
        <f t="shared" si="2"/>
        <v>0</v>
      </c>
      <c r="R1108" s="122">
        <f>+(IF(((M1108*24)-P1108)&lt;0,0,((M1108*24)-P1108)*'Estimación de pérdidas'!$F$72))*N1108</f>
        <v>0</v>
      </c>
      <c r="S1108" s="123" t="s">
        <v>272</v>
      </c>
      <c r="T1108" s="124" t="s">
        <v>119</v>
      </c>
      <c r="U1108" s="124">
        <f t="shared" si="3"/>
        <v>1</v>
      </c>
      <c r="V1108" s="124">
        <v>1.0</v>
      </c>
      <c r="W1108" s="124"/>
      <c r="X1108" s="125">
        <v>1.0</v>
      </c>
      <c r="Y1108" s="126"/>
      <c r="Z1108" s="125">
        <f t="shared" si="4"/>
        <v>1</v>
      </c>
      <c r="AA1108" s="127" t="str">
        <f t="shared" si="5"/>
        <v>Bajo</v>
      </c>
      <c r="AB1108" s="128">
        <f t="shared" si="6"/>
        <v>4</v>
      </c>
      <c r="AC1108" s="129">
        <f t="shared" si="7"/>
        <v>0.09295160031</v>
      </c>
    </row>
    <row r="1109" ht="14.25" hidden="1" customHeight="1">
      <c r="A1109" s="116" t="s">
        <v>1145</v>
      </c>
      <c r="B1109" s="117" t="s">
        <v>1145</v>
      </c>
      <c r="C1109" s="117" t="s">
        <v>3283</v>
      </c>
      <c r="D1109" s="117" t="s">
        <v>3287</v>
      </c>
      <c r="E1109" s="117" t="s">
        <v>1184</v>
      </c>
      <c r="F1109" s="117" t="s">
        <v>3285</v>
      </c>
      <c r="G1109" s="117" t="s">
        <v>270</v>
      </c>
      <c r="H1109" s="117" t="s">
        <v>1186</v>
      </c>
      <c r="I1109" s="117">
        <v>1.0</v>
      </c>
      <c r="J1109" s="117">
        <v>1.0</v>
      </c>
      <c r="K1109" s="117" t="str">
        <f t="shared" si="1"/>
        <v>No</v>
      </c>
      <c r="L1109" s="118" t="s">
        <v>116</v>
      </c>
      <c r="M1109" s="119">
        <v>0.3333333333333333</v>
      </c>
      <c r="N1109" s="120">
        <v>0.0</v>
      </c>
      <c r="O1109" s="121">
        <v>91.32</v>
      </c>
      <c r="P1109" s="117">
        <v>1.0</v>
      </c>
      <c r="Q1109" s="117">
        <f t="shared" si="2"/>
        <v>0</v>
      </c>
      <c r="R1109" s="122">
        <f>+(IF(((M1109*24)-P1109)&lt;0,0,((M1109*24)-P1109)*'Estimación de pérdidas'!$F$72))*N1109</f>
        <v>0</v>
      </c>
      <c r="S1109" s="123" t="s">
        <v>272</v>
      </c>
      <c r="T1109" s="124" t="s">
        <v>119</v>
      </c>
      <c r="U1109" s="124">
        <f t="shared" si="3"/>
        <v>1</v>
      </c>
      <c r="V1109" s="124">
        <v>1.0</v>
      </c>
      <c r="W1109" s="124"/>
      <c r="X1109" s="125">
        <v>1.0</v>
      </c>
      <c r="Y1109" s="126"/>
      <c r="Z1109" s="125">
        <f t="shared" si="4"/>
        <v>1</v>
      </c>
      <c r="AA1109" s="127" t="str">
        <f t="shared" si="5"/>
        <v>Bajo</v>
      </c>
      <c r="AB1109" s="128">
        <f t="shared" si="6"/>
        <v>4</v>
      </c>
      <c r="AC1109" s="129">
        <f t="shared" si="7"/>
        <v>0.09295160031</v>
      </c>
    </row>
    <row r="1110" ht="14.25" hidden="1" customHeight="1">
      <c r="A1110" s="116" t="s">
        <v>1145</v>
      </c>
      <c r="B1110" s="117" t="s">
        <v>1145</v>
      </c>
      <c r="C1110" s="117" t="s">
        <v>3283</v>
      </c>
      <c r="D1110" s="117" t="s">
        <v>3288</v>
      </c>
      <c r="E1110" s="117" t="s">
        <v>1184</v>
      </c>
      <c r="F1110" s="117" t="s">
        <v>3285</v>
      </c>
      <c r="G1110" s="117" t="s">
        <v>270</v>
      </c>
      <c r="H1110" s="117" t="s">
        <v>1186</v>
      </c>
      <c r="I1110" s="117">
        <v>1.0</v>
      </c>
      <c r="J1110" s="117">
        <v>1.0</v>
      </c>
      <c r="K1110" s="117" t="str">
        <f t="shared" si="1"/>
        <v>No</v>
      </c>
      <c r="L1110" s="118" t="s">
        <v>116</v>
      </c>
      <c r="M1110" s="119">
        <v>0.3333333333333333</v>
      </c>
      <c r="N1110" s="120">
        <v>0.0</v>
      </c>
      <c r="O1110" s="121">
        <v>91.32</v>
      </c>
      <c r="P1110" s="117">
        <v>1.0</v>
      </c>
      <c r="Q1110" s="117">
        <f t="shared" si="2"/>
        <v>0</v>
      </c>
      <c r="R1110" s="122">
        <f>+(IF(((M1110*24)-P1110)&lt;0,0,((M1110*24)-P1110)*'Estimación de pérdidas'!$F$72))*N1110</f>
        <v>0</v>
      </c>
      <c r="S1110" s="123" t="s">
        <v>272</v>
      </c>
      <c r="T1110" s="124" t="s">
        <v>119</v>
      </c>
      <c r="U1110" s="124">
        <f t="shared" si="3"/>
        <v>1</v>
      </c>
      <c r="V1110" s="124">
        <v>1.0</v>
      </c>
      <c r="W1110" s="124"/>
      <c r="X1110" s="125">
        <v>1.0</v>
      </c>
      <c r="Y1110" s="126"/>
      <c r="Z1110" s="125">
        <f t="shared" si="4"/>
        <v>1</v>
      </c>
      <c r="AA1110" s="127" t="str">
        <f t="shared" si="5"/>
        <v>Bajo</v>
      </c>
      <c r="AB1110" s="128">
        <f t="shared" si="6"/>
        <v>4</v>
      </c>
      <c r="AC1110" s="129">
        <f t="shared" si="7"/>
        <v>0.09295160031</v>
      </c>
    </row>
    <row r="1111" ht="14.25" hidden="1" customHeight="1">
      <c r="A1111" s="116" t="s">
        <v>1145</v>
      </c>
      <c r="B1111" s="117" t="s">
        <v>1145</v>
      </c>
      <c r="C1111" s="117" t="s">
        <v>1258</v>
      </c>
      <c r="D1111" s="117" t="s">
        <v>3289</v>
      </c>
      <c r="E1111" s="117" t="s">
        <v>1258</v>
      </c>
      <c r="F1111" s="117" t="s">
        <v>1251</v>
      </c>
      <c r="G1111" s="117" t="s">
        <v>1252</v>
      </c>
      <c r="H1111" s="117" t="s">
        <v>1253</v>
      </c>
      <c r="I1111" s="117">
        <v>1.0</v>
      </c>
      <c r="J1111" s="117">
        <v>1.0</v>
      </c>
      <c r="K1111" s="117" t="str">
        <f t="shared" si="1"/>
        <v>No</v>
      </c>
      <c r="L1111" s="118" t="s">
        <v>116</v>
      </c>
      <c r="M1111" s="119">
        <v>0.25</v>
      </c>
      <c r="N1111" s="120">
        <v>0.0</v>
      </c>
      <c r="O1111" s="121">
        <v>91.32</v>
      </c>
      <c r="P1111" s="117">
        <v>1.0</v>
      </c>
      <c r="Q1111" s="117">
        <f t="shared" si="2"/>
        <v>0</v>
      </c>
      <c r="R1111" s="122">
        <f>+(IF(((M1111*24)-P1111)&lt;0,0,((M1111*24)-P1111)*'Estimación de pérdidas'!$F$72))*N1111</f>
        <v>0</v>
      </c>
      <c r="S1111" s="123" t="s">
        <v>117</v>
      </c>
      <c r="T1111" s="124" t="s">
        <v>118</v>
      </c>
      <c r="U1111" s="124">
        <f t="shared" si="3"/>
        <v>1</v>
      </c>
      <c r="V1111" s="124">
        <v>1.0</v>
      </c>
      <c r="W1111" s="124"/>
      <c r="X1111" s="125"/>
      <c r="Y1111" s="126"/>
      <c r="Z1111" s="125">
        <f t="shared" si="4"/>
        <v>1</v>
      </c>
      <c r="AA1111" s="127" t="str">
        <f t="shared" si="5"/>
        <v>Bajo</v>
      </c>
      <c r="AB1111" s="128">
        <f t="shared" si="6"/>
        <v>2</v>
      </c>
      <c r="AC1111" s="129">
        <f t="shared" si="7"/>
        <v>0.05059644256</v>
      </c>
    </row>
    <row r="1112" ht="14.25" hidden="1" customHeight="1">
      <c r="A1112" s="116" t="s">
        <v>1145</v>
      </c>
      <c r="B1112" s="117" t="s">
        <v>1145</v>
      </c>
      <c r="C1112" s="117" t="s">
        <v>1258</v>
      </c>
      <c r="D1112" s="117" t="s">
        <v>3290</v>
      </c>
      <c r="E1112" s="117" t="s">
        <v>1258</v>
      </c>
      <c r="F1112" s="117" t="s">
        <v>1251</v>
      </c>
      <c r="G1112" s="117" t="s">
        <v>1252</v>
      </c>
      <c r="H1112" s="117" t="s">
        <v>1253</v>
      </c>
      <c r="I1112" s="117">
        <v>1.0</v>
      </c>
      <c r="J1112" s="117">
        <v>1.0</v>
      </c>
      <c r="K1112" s="117" t="str">
        <f t="shared" si="1"/>
        <v>No</v>
      </c>
      <c r="L1112" s="118" t="s">
        <v>116</v>
      </c>
      <c r="M1112" s="119">
        <v>0.25</v>
      </c>
      <c r="N1112" s="120">
        <v>0.0</v>
      </c>
      <c r="O1112" s="121">
        <v>91.32</v>
      </c>
      <c r="P1112" s="117">
        <v>1.0</v>
      </c>
      <c r="Q1112" s="117">
        <f t="shared" si="2"/>
        <v>0</v>
      </c>
      <c r="R1112" s="122">
        <f>+(IF(((M1112*24)-P1112)&lt;0,0,((M1112*24)-P1112)*'Estimación de pérdidas'!$F$72))*N1112</f>
        <v>0</v>
      </c>
      <c r="S1112" s="123" t="s">
        <v>117</v>
      </c>
      <c r="T1112" s="124" t="s">
        <v>118</v>
      </c>
      <c r="U1112" s="124">
        <f t="shared" si="3"/>
        <v>1</v>
      </c>
      <c r="V1112" s="124">
        <v>1.0</v>
      </c>
      <c r="W1112" s="124"/>
      <c r="X1112" s="125"/>
      <c r="Y1112" s="126"/>
      <c r="Z1112" s="125">
        <f t="shared" si="4"/>
        <v>1</v>
      </c>
      <c r="AA1112" s="127" t="str">
        <f t="shared" si="5"/>
        <v>Bajo</v>
      </c>
      <c r="AB1112" s="128">
        <f t="shared" si="6"/>
        <v>2</v>
      </c>
      <c r="AC1112" s="129">
        <f t="shared" si="7"/>
        <v>0.05059644256</v>
      </c>
    </row>
    <row r="1113" ht="14.25" hidden="1" customHeight="1">
      <c r="A1113" s="116" t="s">
        <v>1145</v>
      </c>
      <c r="B1113" s="117" t="s">
        <v>1145</v>
      </c>
      <c r="C1113" s="117" t="s">
        <v>3291</v>
      </c>
      <c r="D1113" s="117" t="s">
        <v>3292</v>
      </c>
      <c r="E1113" s="117" t="s">
        <v>1265</v>
      </c>
      <c r="F1113" s="117" t="s">
        <v>3293</v>
      </c>
      <c r="G1113" s="117" t="s">
        <v>205</v>
      </c>
      <c r="H1113" s="117" t="s">
        <v>729</v>
      </c>
      <c r="I1113" s="117">
        <v>1.0</v>
      </c>
      <c r="J1113" s="117">
        <v>1.0</v>
      </c>
      <c r="K1113" s="117" t="str">
        <f t="shared" si="1"/>
        <v>No</v>
      </c>
      <c r="L1113" s="118" t="s">
        <v>116</v>
      </c>
      <c r="M1113" s="119">
        <v>0.33</v>
      </c>
      <c r="N1113" s="120">
        <v>0.5</v>
      </c>
      <c r="O1113" s="121">
        <v>91.33375000000001</v>
      </c>
      <c r="P1113" s="117">
        <v>1.0</v>
      </c>
      <c r="Q1113" s="117">
        <f t="shared" si="2"/>
        <v>3.46</v>
      </c>
      <c r="R1113" s="122">
        <f>+(IF(((M1113*24)-P1113)&lt;0,0,((M1113*24)-P1113)*'Estimación de pérdidas'!$F$72))*N1113</f>
        <v>199566.1392</v>
      </c>
      <c r="S1113" s="123" t="s">
        <v>117</v>
      </c>
      <c r="T1113" s="124" t="s">
        <v>119</v>
      </c>
      <c r="U1113" s="124">
        <f t="shared" si="3"/>
        <v>2</v>
      </c>
      <c r="V1113" s="124">
        <v>1.0</v>
      </c>
      <c r="W1113" s="124"/>
      <c r="X1113" s="125"/>
      <c r="Y1113" s="126"/>
      <c r="Z1113" s="125">
        <f t="shared" si="4"/>
        <v>2</v>
      </c>
      <c r="AA1113" s="127" t="str">
        <f t="shared" si="5"/>
        <v>Moderado</v>
      </c>
      <c r="AB1113" s="128">
        <f t="shared" si="6"/>
        <v>8</v>
      </c>
      <c r="AC1113" s="129">
        <f t="shared" si="7"/>
        <v>0.12</v>
      </c>
      <c r="AD1113" s="131"/>
    </row>
    <row r="1114" ht="14.25" hidden="1" customHeight="1">
      <c r="A1114" s="116" t="s">
        <v>1145</v>
      </c>
      <c r="B1114" s="117" t="s">
        <v>1145</v>
      </c>
      <c r="C1114" s="117" t="s">
        <v>3291</v>
      </c>
      <c r="D1114" s="117" t="s">
        <v>3294</v>
      </c>
      <c r="E1114" s="117" t="s">
        <v>3291</v>
      </c>
      <c r="F1114" s="117" t="s">
        <v>3293</v>
      </c>
      <c r="G1114" s="117" t="s">
        <v>205</v>
      </c>
      <c r="H1114" s="117" t="s">
        <v>729</v>
      </c>
      <c r="I1114" s="117">
        <v>1.0</v>
      </c>
      <c r="J1114" s="117">
        <v>1.0</v>
      </c>
      <c r="K1114" s="117" t="str">
        <f t="shared" si="1"/>
        <v>No</v>
      </c>
      <c r="L1114" s="118" t="s">
        <v>116</v>
      </c>
      <c r="M1114" s="119">
        <v>0.33</v>
      </c>
      <c r="N1114" s="120">
        <v>0.5</v>
      </c>
      <c r="O1114" s="121">
        <v>91.33375000000001</v>
      </c>
      <c r="P1114" s="117">
        <v>1.0</v>
      </c>
      <c r="Q1114" s="117">
        <f t="shared" si="2"/>
        <v>3.46</v>
      </c>
      <c r="R1114" s="122">
        <f>+(IF(((M1114*24)-P1114)&lt;0,0,((M1114*24)-P1114)*'Estimación de pérdidas'!$F$72))*N1114</f>
        <v>199566.1392</v>
      </c>
      <c r="S1114" s="123" t="s">
        <v>117</v>
      </c>
      <c r="T1114" s="124" t="s">
        <v>119</v>
      </c>
      <c r="U1114" s="124">
        <f t="shared" si="3"/>
        <v>2</v>
      </c>
      <c r="V1114" s="124">
        <v>1.0</v>
      </c>
      <c r="W1114" s="124"/>
      <c r="X1114" s="125"/>
      <c r="Y1114" s="126"/>
      <c r="Z1114" s="125">
        <f t="shared" si="4"/>
        <v>2</v>
      </c>
      <c r="AA1114" s="127" t="str">
        <f t="shared" si="5"/>
        <v>Moderado</v>
      </c>
      <c r="AB1114" s="128">
        <f t="shared" si="6"/>
        <v>8</v>
      </c>
      <c r="AC1114" s="129">
        <f t="shared" si="7"/>
        <v>0.12</v>
      </c>
      <c r="AD1114" s="131"/>
    </row>
    <row r="1115" ht="14.25" hidden="1" customHeight="1">
      <c r="A1115" s="116" t="s">
        <v>1145</v>
      </c>
      <c r="B1115" s="117" t="s">
        <v>1145</v>
      </c>
      <c r="C1115" s="117" t="s">
        <v>3295</v>
      </c>
      <c r="D1115" s="117" t="s">
        <v>3296</v>
      </c>
      <c r="E1115" s="117" t="s">
        <v>3295</v>
      </c>
      <c r="F1115" s="117" t="s">
        <v>3295</v>
      </c>
      <c r="G1115" s="117" t="s">
        <v>3297</v>
      </c>
      <c r="H1115" s="117" t="s">
        <v>3298</v>
      </c>
      <c r="I1115" s="117">
        <v>1.0</v>
      </c>
      <c r="J1115" s="117">
        <v>1.0</v>
      </c>
      <c r="K1115" s="117" t="str">
        <f t="shared" si="1"/>
        <v>No</v>
      </c>
      <c r="L1115" s="118" t="s">
        <v>116</v>
      </c>
      <c r="M1115" s="119">
        <v>0.25</v>
      </c>
      <c r="N1115" s="120">
        <v>0.0</v>
      </c>
      <c r="O1115" s="121"/>
      <c r="P1115" s="117">
        <v>0.0</v>
      </c>
      <c r="Q1115" s="117">
        <f t="shared" si="2"/>
        <v>0</v>
      </c>
      <c r="R1115" s="122">
        <f>+(IF(((M1115*24)-P1115)&lt;0,0,((M1115*24)-P1115)*'Estimación de pérdidas'!$F$72))*N1115</f>
        <v>0</v>
      </c>
      <c r="S1115" s="123" t="s">
        <v>117</v>
      </c>
      <c r="T1115" s="124" t="s">
        <v>118</v>
      </c>
      <c r="U1115" s="124">
        <f t="shared" si="3"/>
        <v>1</v>
      </c>
      <c r="V1115" s="124">
        <v>1.0</v>
      </c>
      <c r="W1115" s="124"/>
      <c r="X1115" s="125"/>
      <c r="Y1115" s="126"/>
      <c r="Z1115" s="125">
        <f t="shared" si="4"/>
        <v>1</v>
      </c>
      <c r="AA1115" s="127" t="str">
        <f t="shared" si="5"/>
        <v>Bajo</v>
      </c>
      <c r="AB1115" s="128">
        <f t="shared" si="6"/>
        <v>2</v>
      </c>
      <c r="AC1115" s="129">
        <f t="shared" si="7"/>
        <v>0.05059644256</v>
      </c>
    </row>
    <row r="1116" ht="14.25" hidden="1" customHeight="1">
      <c r="A1116" s="116" t="s">
        <v>1345</v>
      </c>
      <c r="B1116" s="117" t="s">
        <v>1345</v>
      </c>
      <c r="C1116" s="117" t="s">
        <v>1982</v>
      </c>
      <c r="D1116" s="117" t="s">
        <v>3299</v>
      </c>
      <c r="E1116" s="117" t="s">
        <v>1982</v>
      </c>
      <c r="F1116" s="117" t="s">
        <v>1983</v>
      </c>
      <c r="G1116" s="117" t="s">
        <v>1978</v>
      </c>
      <c r="H1116" s="117" t="s">
        <v>1984</v>
      </c>
      <c r="I1116" s="117">
        <v>1.0</v>
      </c>
      <c r="J1116" s="117">
        <v>1.0</v>
      </c>
      <c r="K1116" s="117" t="str">
        <f t="shared" si="1"/>
        <v>No</v>
      </c>
      <c r="L1116" s="118" t="s">
        <v>116</v>
      </c>
      <c r="M1116" s="119">
        <v>2.0</v>
      </c>
      <c r="N1116" s="120">
        <v>1.0</v>
      </c>
      <c r="O1116" s="121">
        <v>91.32</v>
      </c>
      <c r="P1116" s="117">
        <v>1.0</v>
      </c>
      <c r="Q1116" s="117">
        <f t="shared" si="2"/>
        <v>47</v>
      </c>
      <c r="R1116" s="122">
        <f>+(IF(((M1116*24)-P1116)&lt;0,0,((M1116*24)-P1116)*'Estimación de pérdidas'!$F$72))*N1116</f>
        <v>2710869.521</v>
      </c>
      <c r="S1116" s="123" t="s">
        <v>117</v>
      </c>
      <c r="T1116" s="124" t="s">
        <v>132</v>
      </c>
      <c r="U1116" s="124">
        <f t="shared" si="3"/>
        <v>5</v>
      </c>
      <c r="V1116" s="124">
        <v>2.0</v>
      </c>
      <c r="W1116" s="124"/>
      <c r="X1116" s="125"/>
      <c r="Y1116" s="126"/>
      <c r="Z1116" s="125">
        <f t="shared" si="4"/>
        <v>5</v>
      </c>
      <c r="AA1116" s="127" t="str">
        <f t="shared" si="5"/>
        <v>Moderado</v>
      </c>
      <c r="AB1116" s="128">
        <f t="shared" si="6"/>
        <v>15</v>
      </c>
      <c r="AC1116" s="129">
        <f t="shared" si="7"/>
        <v>0.09633275663</v>
      </c>
      <c r="AD1116" s="131"/>
    </row>
    <row r="1117" ht="14.25" hidden="1" customHeight="1">
      <c r="A1117" s="116" t="s">
        <v>1345</v>
      </c>
      <c r="B1117" s="117" t="s">
        <v>1414</v>
      </c>
      <c r="C1117" s="117" t="s">
        <v>1910</v>
      </c>
      <c r="D1117" s="117" t="s">
        <v>3300</v>
      </c>
      <c r="E1117" s="117" t="s">
        <v>2575</v>
      </c>
      <c r="F1117" s="117" t="s">
        <v>2576</v>
      </c>
      <c r="G1117" s="117" t="s">
        <v>1914</v>
      </c>
      <c r="H1117" s="117" t="s">
        <v>2577</v>
      </c>
      <c r="I1117" s="117">
        <v>1.0</v>
      </c>
      <c r="J1117" s="117">
        <v>1.0</v>
      </c>
      <c r="K1117" s="117" t="str">
        <f t="shared" si="1"/>
        <v>No</v>
      </c>
      <c r="L1117" s="118" t="s">
        <v>116</v>
      </c>
      <c r="M1117" s="119">
        <v>0.3333333333333333</v>
      </c>
      <c r="N1117" s="120">
        <v>1.0</v>
      </c>
      <c r="O1117" s="121">
        <v>91.32</v>
      </c>
      <c r="P1117" s="117">
        <v>1.0</v>
      </c>
      <c r="Q1117" s="117">
        <f t="shared" si="2"/>
        <v>7</v>
      </c>
      <c r="R1117" s="122">
        <f>+(IF(((M1117*24)-P1117)&lt;0,0,((M1117*24)-P1117)*'Estimación de pérdidas'!$F$72))*N1117</f>
        <v>403746.5244</v>
      </c>
      <c r="S1117" s="123" t="s">
        <v>117</v>
      </c>
      <c r="T1117" s="124" t="s">
        <v>119</v>
      </c>
      <c r="U1117" s="124">
        <f t="shared" si="3"/>
        <v>3</v>
      </c>
      <c r="V1117" s="124">
        <v>2.0</v>
      </c>
      <c r="W1117" s="124"/>
      <c r="X1117" s="125"/>
      <c r="Y1117" s="126"/>
      <c r="Z1117" s="125">
        <f t="shared" si="4"/>
        <v>3</v>
      </c>
      <c r="AA1117" s="127" t="str">
        <f t="shared" si="5"/>
        <v>Moderado</v>
      </c>
      <c r="AB1117" s="128">
        <f t="shared" si="6"/>
        <v>13</v>
      </c>
      <c r="AC1117" s="129">
        <f t="shared" si="7"/>
        <v>0.193494186</v>
      </c>
      <c r="AD1117" s="131"/>
    </row>
    <row r="1118" ht="14.25" hidden="1" customHeight="1">
      <c r="A1118" s="116" t="s">
        <v>1345</v>
      </c>
      <c r="B1118" s="117" t="s">
        <v>1414</v>
      </c>
      <c r="C1118" s="117" t="s">
        <v>2768</v>
      </c>
      <c r="D1118" s="117" t="s">
        <v>3301</v>
      </c>
      <c r="E1118" s="117" t="s">
        <v>2768</v>
      </c>
      <c r="F1118" s="117" t="s">
        <v>2769</v>
      </c>
      <c r="G1118" s="117" t="s">
        <v>2770</v>
      </c>
      <c r="H1118" s="117" t="s">
        <v>2771</v>
      </c>
      <c r="I1118" s="117">
        <v>1.0</v>
      </c>
      <c r="J1118" s="117">
        <v>1.0</v>
      </c>
      <c r="K1118" s="117" t="str">
        <f t="shared" si="1"/>
        <v>No</v>
      </c>
      <c r="L1118" s="118" t="s">
        <v>116</v>
      </c>
      <c r="M1118" s="119">
        <v>0.25</v>
      </c>
      <c r="N1118" s="120">
        <v>0.0</v>
      </c>
      <c r="O1118" s="121"/>
      <c r="P1118" s="117">
        <v>0.0</v>
      </c>
      <c r="Q1118" s="117">
        <f t="shared" si="2"/>
        <v>0</v>
      </c>
      <c r="R1118" s="122">
        <f>+(IF(((M1118*24)-P1118)&lt;0,0,((M1118*24)-P1118)*'Estimación de pérdidas'!$F$72))*N1118</f>
        <v>0</v>
      </c>
      <c r="S1118" s="123" t="s">
        <v>117</v>
      </c>
      <c r="T1118" s="124" t="s">
        <v>119</v>
      </c>
      <c r="U1118" s="124">
        <f t="shared" si="3"/>
        <v>1</v>
      </c>
      <c r="V1118" s="124">
        <v>1.0</v>
      </c>
      <c r="W1118" s="124"/>
      <c r="X1118" s="125"/>
      <c r="Y1118" s="126"/>
      <c r="Z1118" s="125">
        <f t="shared" si="4"/>
        <v>1</v>
      </c>
      <c r="AA1118" s="127" t="str">
        <f t="shared" si="5"/>
        <v>Bajo</v>
      </c>
      <c r="AB1118" s="128">
        <f t="shared" si="6"/>
        <v>4</v>
      </c>
      <c r="AC1118" s="129">
        <f t="shared" si="7"/>
        <v>0.07589466384</v>
      </c>
    </row>
    <row r="1119" ht="14.25" hidden="1" customHeight="1">
      <c r="A1119" s="116" t="s">
        <v>1345</v>
      </c>
      <c r="B1119" s="117" t="s">
        <v>1414</v>
      </c>
      <c r="C1119" s="117" t="s">
        <v>2768</v>
      </c>
      <c r="D1119" s="117" t="s">
        <v>3302</v>
      </c>
      <c r="E1119" s="117" t="s">
        <v>2768</v>
      </c>
      <c r="F1119" s="117" t="s">
        <v>2769</v>
      </c>
      <c r="G1119" s="117" t="s">
        <v>2770</v>
      </c>
      <c r="H1119" s="117" t="s">
        <v>2771</v>
      </c>
      <c r="I1119" s="117">
        <v>1.0</v>
      </c>
      <c r="J1119" s="117">
        <v>1.0</v>
      </c>
      <c r="K1119" s="117" t="str">
        <f t="shared" si="1"/>
        <v>No</v>
      </c>
      <c r="L1119" s="118" t="s">
        <v>116</v>
      </c>
      <c r="M1119" s="119">
        <v>0.25</v>
      </c>
      <c r="N1119" s="120">
        <v>0.0</v>
      </c>
      <c r="O1119" s="121"/>
      <c r="P1119" s="117">
        <v>0.0</v>
      </c>
      <c r="Q1119" s="117">
        <f t="shared" si="2"/>
        <v>0</v>
      </c>
      <c r="R1119" s="122">
        <f>+(IF(((M1119*24)-P1119)&lt;0,0,((M1119*24)-P1119)*'Estimación de pérdidas'!$F$72))*N1119</f>
        <v>0</v>
      </c>
      <c r="S1119" s="123" t="s">
        <v>117</v>
      </c>
      <c r="T1119" s="124" t="s">
        <v>119</v>
      </c>
      <c r="U1119" s="124">
        <f t="shared" si="3"/>
        <v>1</v>
      </c>
      <c r="V1119" s="124">
        <v>1.0</v>
      </c>
      <c r="W1119" s="124"/>
      <c r="X1119" s="125"/>
      <c r="Y1119" s="126"/>
      <c r="Z1119" s="125">
        <f t="shared" si="4"/>
        <v>1</v>
      </c>
      <c r="AA1119" s="127" t="str">
        <f t="shared" si="5"/>
        <v>Bajo</v>
      </c>
      <c r="AB1119" s="128">
        <f t="shared" si="6"/>
        <v>4</v>
      </c>
      <c r="AC1119" s="129">
        <f t="shared" si="7"/>
        <v>0.07589466384</v>
      </c>
    </row>
    <row r="1120" ht="14.25" hidden="1" customHeight="1">
      <c r="A1120" s="116" t="s">
        <v>1345</v>
      </c>
      <c r="B1120" s="117" t="s">
        <v>1414</v>
      </c>
      <c r="C1120" s="117" t="s">
        <v>2768</v>
      </c>
      <c r="D1120" s="117" t="s">
        <v>3303</v>
      </c>
      <c r="E1120" s="117" t="s">
        <v>2768</v>
      </c>
      <c r="F1120" s="117" t="s">
        <v>2769</v>
      </c>
      <c r="G1120" s="117" t="s">
        <v>2770</v>
      </c>
      <c r="H1120" s="117" t="s">
        <v>2771</v>
      </c>
      <c r="I1120" s="117">
        <v>1.0</v>
      </c>
      <c r="J1120" s="117">
        <v>1.0</v>
      </c>
      <c r="K1120" s="117" t="str">
        <f t="shared" si="1"/>
        <v>No</v>
      </c>
      <c r="L1120" s="118" t="s">
        <v>116</v>
      </c>
      <c r="M1120" s="119">
        <v>0.25</v>
      </c>
      <c r="N1120" s="120">
        <v>0.0</v>
      </c>
      <c r="O1120" s="121"/>
      <c r="P1120" s="117">
        <v>0.0</v>
      </c>
      <c r="Q1120" s="117">
        <f t="shared" si="2"/>
        <v>0</v>
      </c>
      <c r="R1120" s="122">
        <f>+(IF(((M1120*24)-P1120)&lt;0,0,((M1120*24)-P1120)*'Estimación de pérdidas'!$F$72))*N1120</f>
        <v>0</v>
      </c>
      <c r="S1120" s="123" t="s">
        <v>117</v>
      </c>
      <c r="T1120" s="124" t="s">
        <v>119</v>
      </c>
      <c r="U1120" s="124">
        <f t="shared" si="3"/>
        <v>1</v>
      </c>
      <c r="V1120" s="124">
        <v>1.0</v>
      </c>
      <c r="W1120" s="124"/>
      <c r="X1120" s="125"/>
      <c r="Y1120" s="126"/>
      <c r="Z1120" s="125">
        <f t="shared" si="4"/>
        <v>1</v>
      </c>
      <c r="AA1120" s="127" t="str">
        <f t="shared" si="5"/>
        <v>Bajo</v>
      </c>
      <c r="AB1120" s="128">
        <f t="shared" si="6"/>
        <v>4</v>
      </c>
      <c r="AC1120" s="129">
        <f t="shared" si="7"/>
        <v>0.07589466384</v>
      </c>
    </row>
    <row r="1121" ht="14.25" hidden="1" customHeight="1">
      <c r="A1121" s="116" t="s">
        <v>1345</v>
      </c>
      <c r="B1121" s="117" t="s">
        <v>1414</v>
      </c>
      <c r="C1121" s="117" t="s">
        <v>2768</v>
      </c>
      <c r="D1121" s="117" t="s">
        <v>3304</v>
      </c>
      <c r="E1121" s="117" t="s">
        <v>2768</v>
      </c>
      <c r="F1121" s="117" t="s">
        <v>2769</v>
      </c>
      <c r="G1121" s="117" t="s">
        <v>2770</v>
      </c>
      <c r="H1121" s="117" t="s">
        <v>2771</v>
      </c>
      <c r="I1121" s="117">
        <v>1.0</v>
      </c>
      <c r="J1121" s="117">
        <v>1.0</v>
      </c>
      <c r="K1121" s="117" t="str">
        <f t="shared" si="1"/>
        <v>No</v>
      </c>
      <c r="L1121" s="118" t="s">
        <v>116</v>
      </c>
      <c r="M1121" s="119">
        <v>0.25</v>
      </c>
      <c r="N1121" s="120">
        <v>0.0</v>
      </c>
      <c r="O1121" s="121"/>
      <c r="P1121" s="117">
        <v>0.0</v>
      </c>
      <c r="Q1121" s="117">
        <f t="shared" si="2"/>
        <v>0</v>
      </c>
      <c r="R1121" s="122">
        <f>+(IF(((M1121*24)-P1121)&lt;0,0,((M1121*24)-P1121)*'Estimación de pérdidas'!$F$72))*N1121</f>
        <v>0</v>
      </c>
      <c r="S1121" s="123" t="s">
        <v>117</v>
      </c>
      <c r="T1121" s="124" t="s">
        <v>119</v>
      </c>
      <c r="U1121" s="124">
        <f t="shared" si="3"/>
        <v>1</v>
      </c>
      <c r="V1121" s="124">
        <v>1.0</v>
      </c>
      <c r="W1121" s="124"/>
      <c r="X1121" s="125"/>
      <c r="Y1121" s="126"/>
      <c r="Z1121" s="125">
        <f t="shared" si="4"/>
        <v>1</v>
      </c>
      <c r="AA1121" s="127" t="str">
        <f t="shared" si="5"/>
        <v>Bajo</v>
      </c>
      <c r="AB1121" s="128">
        <f t="shared" si="6"/>
        <v>4</v>
      </c>
      <c r="AC1121" s="129">
        <f t="shared" si="7"/>
        <v>0.07589466384</v>
      </c>
    </row>
    <row r="1122" ht="14.25" hidden="1" customHeight="1">
      <c r="A1122" s="116" t="s">
        <v>1345</v>
      </c>
      <c r="B1122" s="117" t="s">
        <v>1414</v>
      </c>
      <c r="C1122" s="117" t="s">
        <v>2768</v>
      </c>
      <c r="D1122" s="117" t="s">
        <v>3305</v>
      </c>
      <c r="E1122" s="117" t="s">
        <v>2768</v>
      </c>
      <c r="F1122" s="117" t="s">
        <v>2769</v>
      </c>
      <c r="G1122" s="117" t="s">
        <v>2770</v>
      </c>
      <c r="H1122" s="117" t="s">
        <v>2771</v>
      </c>
      <c r="I1122" s="117">
        <v>1.0</v>
      </c>
      <c r="J1122" s="117">
        <v>1.0</v>
      </c>
      <c r="K1122" s="117" t="str">
        <f t="shared" si="1"/>
        <v>No</v>
      </c>
      <c r="L1122" s="118" t="s">
        <v>116</v>
      </c>
      <c r="M1122" s="119">
        <v>0.25</v>
      </c>
      <c r="N1122" s="120">
        <v>0.0</v>
      </c>
      <c r="O1122" s="121"/>
      <c r="P1122" s="117">
        <v>0.0</v>
      </c>
      <c r="Q1122" s="117">
        <f t="shared" si="2"/>
        <v>0</v>
      </c>
      <c r="R1122" s="122">
        <f>+(IF(((M1122*24)-P1122)&lt;0,0,((M1122*24)-P1122)*'Estimación de pérdidas'!$F$72))*N1122</f>
        <v>0</v>
      </c>
      <c r="S1122" s="123" t="s">
        <v>117</v>
      </c>
      <c r="T1122" s="124" t="s">
        <v>119</v>
      </c>
      <c r="U1122" s="124">
        <f t="shared" si="3"/>
        <v>1</v>
      </c>
      <c r="V1122" s="124">
        <v>1.0</v>
      </c>
      <c r="W1122" s="124"/>
      <c r="X1122" s="125"/>
      <c r="Y1122" s="126"/>
      <c r="Z1122" s="125">
        <f t="shared" si="4"/>
        <v>1</v>
      </c>
      <c r="AA1122" s="127" t="str">
        <f t="shared" si="5"/>
        <v>Bajo</v>
      </c>
      <c r="AB1122" s="128">
        <f t="shared" si="6"/>
        <v>4</v>
      </c>
      <c r="AC1122" s="129">
        <f t="shared" si="7"/>
        <v>0.07589466384</v>
      </c>
    </row>
    <row r="1123" ht="14.25" hidden="1" customHeight="1">
      <c r="A1123" s="116" t="s">
        <v>1345</v>
      </c>
      <c r="B1123" s="117" t="s">
        <v>1414</v>
      </c>
      <c r="C1123" s="117" t="s">
        <v>2768</v>
      </c>
      <c r="D1123" s="117" t="s">
        <v>3306</v>
      </c>
      <c r="E1123" s="117" t="s">
        <v>2768</v>
      </c>
      <c r="F1123" s="117" t="s">
        <v>2769</v>
      </c>
      <c r="G1123" s="117" t="s">
        <v>2770</v>
      </c>
      <c r="H1123" s="117" t="s">
        <v>2771</v>
      </c>
      <c r="I1123" s="117">
        <v>1.0</v>
      </c>
      <c r="J1123" s="117">
        <v>1.0</v>
      </c>
      <c r="K1123" s="117" t="str">
        <f t="shared" si="1"/>
        <v>No</v>
      </c>
      <c r="L1123" s="118" t="s">
        <v>116</v>
      </c>
      <c r="M1123" s="119">
        <v>0.25</v>
      </c>
      <c r="N1123" s="120">
        <v>0.0</v>
      </c>
      <c r="O1123" s="121"/>
      <c r="P1123" s="117">
        <v>0.0</v>
      </c>
      <c r="Q1123" s="117">
        <f t="shared" si="2"/>
        <v>0</v>
      </c>
      <c r="R1123" s="122">
        <f>+(IF(((M1123*24)-P1123)&lt;0,0,((M1123*24)-P1123)*'Estimación de pérdidas'!$F$72))*N1123</f>
        <v>0</v>
      </c>
      <c r="S1123" s="123" t="s">
        <v>117</v>
      </c>
      <c r="T1123" s="124" t="s">
        <v>119</v>
      </c>
      <c r="U1123" s="124">
        <f t="shared" si="3"/>
        <v>1</v>
      </c>
      <c r="V1123" s="124">
        <v>1.0</v>
      </c>
      <c r="W1123" s="124"/>
      <c r="X1123" s="125"/>
      <c r="Y1123" s="126"/>
      <c r="Z1123" s="125">
        <f t="shared" si="4"/>
        <v>1</v>
      </c>
      <c r="AA1123" s="127" t="str">
        <f t="shared" si="5"/>
        <v>Bajo</v>
      </c>
      <c r="AB1123" s="128">
        <f t="shared" si="6"/>
        <v>4</v>
      </c>
      <c r="AC1123" s="129">
        <f t="shared" si="7"/>
        <v>0.07589466384</v>
      </c>
    </row>
    <row r="1124" ht="14.25" hidden="1" customHeight="1">
      <c r="A1124" s="116" t="s">
        <v>1345</v>
      </c>
      <c r="B1124" s="117" t="s">
        <v>1414</v>
      </c>
      <c r="C1124" s="117" t="s">
        <v>2768</v>
      </c>
      <c r="D1124" s="117" t="s">
        <v>3307</v>
      </c>
      <c r="E1124" s="117" t="s">
        <v>2768</v>
      </c>
      <c r="F1124" s="117" t="s">
        <v>2769</v>
      </c>
      <c r="G1124" s="117" t="s">
        <v>2770</v>
      </c>
      <c r="H1124" s="117" t="s">
        <v>2771</v>
      </c>
      <c r="I1124" s="117">
        <v>1.0</v>
      </c>
      <c r="J1124" s="117">
        <v>1.0</v>
      </c>
      <c r="K1124" s="117" t="str">
        <f t="shared" si="1"/>
        <v>No</v>
      </c>
      <c r="L1124" s="118" t="s">
        <v>116</v>
      </c>
      <c r="M1124" s="119">
        <v>0.25</v>
      </c>
      <c r="N1124" s="120">
        <v>0.0</v>
      </c>
      <c r="O1124" s="121"/>
      <c r="P1124" s="117">
        <v>0.0</v>
      </c>
      <c r="Q1124" s="117">
        <f t="shared" si="2"/>
        <v>0</v>
      </c>
      <c r="R1124" s="122">
        <f>+(IF(((M1124*24)-P1124)&lt;0,0,((M1124*24)-P1124)*'Estimación de pérdidas'!$F$72))*N1124</f>
        <v>0</v>
      </c>
      <c r="S1124" s="123" t="s">
        <v>117</v>
      </c>
      <c r="T1124" s="124" t="s">
        <v>119</v>
      </c>
      <c r="U1124" s="124">
        <f t="shared" si="3"/>
        <v>1</v>
      </c>
      <c r="V1124" s="124">
        <v>1.0</v>
      </c>
      <c r="W1124" s="124"/>
      <c r="X1124" s="125"/>
      <c r="Y1124" s="126"/>
      <c r="Z1124" s="125">
        <f t="shared" si="4"/>
        <v>1</v>
      </c>
      <c r="AA1124" s="127" t="str">
        <f t="shared" si="5"/>
        <v>Bajo</v>
      </c>
      <c r="AB1124" s="128">
        <f t="shared" si="6"/>
        <v>4</v>
      </c>
      <c r="AC1124" s="129">
        <f t="shared" si="7"/>
        <v>0.07589466384</v>
      </c>
    </row>
    <row r="1125" ht="14.25" hidden="1" customHeight="1">
      <c r="A1125" s="116" t="s">
        <v>1345</v>
      </c>
      <c r="B1125" s="117" t="s">
        <v>1414</v>
      </c>
      <c r="C1125" s="117" t="s">
        <v>3308</v>
      </c>
      <c r="D1125" s="117" t="s">
        <v>3309</v>
      </c>
      <c r="E1125" s="117" t="s">
        <v>3308</v>
      </c>
      <c r="F1125" s="117" t="s">
        <v>3310</v>
      </c>
      <c r="G1125" s="117" t="s">
        <v>205</v>
      </c>
      <c r="H1125" s="117" t="s">
        <v>491</v>
      </c>
      <c r="I1125" s="117">
        <v>1.0</v>
      </c>
      <c r="J1125" s="117">
        <v>1.0</v>
      </c>
      <c r="K1125" s="117" t="str">
        <f t="shared" si="1"/>
        <v>No</v>
      </c>
      <c r="L1125" s="118" t="s">
        <v>116</v>
      </c>
      <c r="M1125" s="119">
        <v>0.33</v>
      </c>
      <c r="N1125" s="120">
        <v>0.0</v>
      </c>
      <c r="O1125" s="121"/>
      <c r="P1125" s="117">
        <v>0.0</v>
      </c>
      <c r="Q1125" s="117">
        <f t="shared" si="2"/>
        <v>0</v>
      </c>
      <c r="R1125" s="122">
        <f>+(IF(((M1125*24)-P1125)&lt;0,0,((M1125*24)-P1125)*'Estimación de pérdidas'!$F$72))*N1125</f>
        <v>0</v>
      </c>
      <c r="S1125" s="123" t="s">
        <v>117</v>
      </c>
      <c r="T1125" s="124" t="s">
        <v>119</v>
      </c>
      <c r="U1125" s="124">
        <f t="shared" si="3"/>
        <v>1</v>
      </c>
      <c r="V1125" s="124">
        <v>1.0</v>
      </c>
      <c r="W1125" s="124"/>
      <c r="X1125" s="125"/>
      <c r="Y1125" s="126"/>
      <c r="Z1125" s="125">
        <f t="shared" si="4"/>
        <v>1</v>
      </c>
      <c r="AA1125" s="127" t="str">
        <f t="shared" si="5"/>
        <v>Bajo</v>
      </c>
      <c r="AB1125" s="128">
        <f t="shared" si="6"/>
        <v>4</v>
      </c>
      <c r="AC1125" s="129">
        <f t="shared" si="7"/>
        <v>0.07589466384</v>
      </c>
    </row>
    <row r="1126" ht="14.25" hidden="1" customHeight="1">
      <c r="A1126" s="116" t="s">
        <v>847</v>
      </c>
      <c r="B1126" s="117" t="s">
        <v>1539</v>
      </c>
      <c r="C1126" s="117" t="s">
        <v>611</v>
      </c>
      <c r="D1126" s="117" t="s">
        <v>3311</v>
      </c>
      <c r="E1126" s="117" t="s">
        <v>3197</v>
      </c>
      <c r="F1126" s="117" t="s">
        <v>3312</v>
      </c>
      <c r="G1126" s="117" t="s">
        <v>615</v>
      </c>
      <c r="H1126" s="117" t="s">
        <v>616</v>
      </c>
      <c r="I1126" s="117">
        <v>1.0</v>
      </c>
      <c r="J1126" s="117">
        <v>1.0</v>
      </c>
      <c r="K1126" s="117" t="str">
        <f t="shared" si="1"/>
        <v>No</v>
      </c>
      <c r="L1126" s="118" t="s">
        <v>116</v>
      </c>
      <c r="M1126" s="119">
        <v>0.3333333333333333</v>
      </c>
      <c r="N1126" s="120">
        <v>1.0</v>
      </c>
      <c r="O1126" s="121">
        <v>91.32</v>
      </c>
      <c r="P1126" s="117">
        <v>12.0</v>
      </c>
      <c r="Q1126" s="117">
        <f t="shared" si="2"/>
        <v>0</v>
      </c>
      <c r="R1126" s="122">
        <f>+(IF(((M1126*24)-P1126)&lt;0,0,((M1126*24)-P1126)*'Estimación de pérdidas'!$F$72))*N1126</f>
        <v>0</v>
      </c>
      <c r="S1126" s="123" t="s">
        <v>272</v>
      </c>
      <c r="T1126" s="124" t="s">
        <v>119</v>
      </c>
      <c r="U1126" s="124">
        <f t="shared" si="3"/>
        <v>1</v>
      </c>
      <c r="V1126" s="124">
        <v>1.0</v>
      </c>
      <c r="W1126" s="124"/>
      <c r="X1126" s="125">
        <v>2.0</v>
      </c>
      <c r="Y1126" s="126"/>
      <c r="Z1126" s="125">
        <f t="shared" si="4"/>
        <v>2</v>
      </c>
      <c r="AA1126" s="127" t="str">
        <f t="shared" si="5"/>
        <v>Moderado</v>
      </c>
      <c r="AB1126" s="128">
        <f t="shared" si="6"/>
        <v>8</v>
      </c>
      <c r="AC1126" s="129">
        <f t="shared" si="7"/>
        <v>0.1314534138</v>
      </c>
      <c r="AD1126" s="131"/>
    </row>
    <row r="1127" ht="14.25" hidden="1" customHeight="1">
      <c r="A1127" s="116" t="s">
        <v>847</v>
      </c>
      <c r="B1127" s="117" t="s">
        <v>1539</v>
      </c>
      <c r="C1127" s="117" t="s">
        <v>3313</v>
      </c>
      <c r="D1127" s="117" t="s">
        <v>3314</v>
      </c>
      <c r="E1127" s="117" t="s">
        <v>3313</v>
      </c>
      <c r="F1127" s="117" t="s">
        <v>3093</v>
      </c>
      <c r="G1127" s="117" t="s">
        <v>592</v>
      </c>
      <c r="H1127" s="117" t="s">
        <v>593</v>
      </c>
      <c r="I1127" s="117">
        <v>1.0</v>
      </c>
      <c r="J1127" s="117">
        <v>1.0</v>
      </c>
      <c r="K1127" s="117" t="str">
        <f t="shared" si="1"/>
        <v>No</v>
      </c>
      <c r="L1127" s="118" t="s">
        <v>116</v>
      </c>
      <c r="M1127" s="119">
        <v>0.16666666666666666</v>
      </c>
      <c r="N1127" s="120">
        <v>0.0</v>
      </c>
      <c r="O1127" s="121">
        <v>91.32</v>
      </c>
      <c r="P1127" s="117">
        <v>12.0</v>
      </c>
      <c r="Q1127" s="117">
        <f t="shared" si="2"/>
        <v>0</v>
      </c>
      <c r="R1127" s="122">
        <f>+(IF(((M1127*24)-P1127)&lt;0,0,((M1127*24)-P1127)*'Estimación de pérdidas'!$F$72))*N1127</f>
        <v>0</v>
      </c>
      <c r="S1127" s="123" t="s">
        <v>117</v>
      </c>
      <c r="T1127" s="124" t="s">
        <v>119</v>
      </c>
      <c r="U1127" s="124">
        <f t="shared" si="3"/>
        <v>1</v>
      </c>
      <c r="V1127" s="124">
        <v>1.0</v>
      </c>
      <c r="W1127" s="124"/>
      <c r="X1127" s="125"/>
      <c r="Y1127" s="126"/>
      <c r="Z1127" s="125">
        <f t="shared" si="4"/>
        <v>1</v>
      </c>
      <c r="AA1127" s="127" t="str">
        <f t="shared" si="5"/>
        <v>Bajo</v>
      </c>
      <c r="AB1127" s="128">
        <f t="shared" si="6"/>
        <v>4</v>
      </c>
      <c r="AC1127" s="129">
        <f t="shared" si="7"/>
        <v>0.07589466384</v>
      </c>
    </row>
    <row r="1128" ht="14.25" hidden="1" customHeight="1">
      <c r="A1128" s="116" t="s">
        <v>847</v>
      </c>
      <c r="B1128" s="117" t="s">
        <v>1539</v>
      </c>
      <c r="C1128" s="117" t="s">
        <v>3315</v>
      </c>
      <c r="D1128" s="117" t="s">
        <v>3316</v>
      </c>
      <c r="E1128" s="117" t="s">
        <v>3317</v>
      </c>
      <c r="F1128" s="117" t="s">
        <v>3318</v>
      </c>
      <c r="G1128" s="117" t="s">
        <v>1113</v>
      </c>
      <c r="H1128" s="117" t="s">
        <v>3319</v>
      </c>
      <c r="I1128" s="117">
        <v>1.0</v>
      </c>
      <c r="J1128" s="117">
        <v>1.0</v>
      </c>
      <c r="K1128" s="117" t="str">
        <f t="shared" si="1"/>
        <v>No</v>
      </c>
      <c r="L1128" s="118" t="s">
        <v>116</v>
      </c>
      <c r="M1128" s="119">
        <v>0.5</v>
      </c>
      <c r="N1128" s="120">
        <v>1.0</v>
      </c>
      <c r="O1128" s="121">
        <v>45.50041666666667</v>
      </c>
      <c r="P1128" s="117">
        <v>12.0</v>
      </c>
      <c r="Q1128" s="117">
        <f t="shared" si="2"/>
        <v>0</v>
      </c>
      <c r="R1128" s="122">
        <f>+(IF(((M1128*24)-P1128)&lt;0,0,((M1128*24)-P1128)*'Estimación de pérdidas'!$F$72))*N1128</f>
        <v>0</v>
      </c>
      <c r="S1128" s="123" t="s">
        <v>272</v>
      </c>
      <c r="T1128" s="124" t="s">
        <v>132</v>
      </c>
      <c r="U1128" s="124">
        <f t="shared" si="3"/>
        <v>1</v>
      </c>
      <c r="V1128" s="124">
        <v>1.0</v>
      </c>
      <c r="W1128" s="124">
        <v>4.0</v>
      </c>
      <c r="X1128" s="125"/>
      <c r="Y1128" s="126"/>
      <c r="Z1128" s="125">
        <f t="shared" si="4"/>
        <v>4</v>
      </c>
      <c r="AA1128" s="127" t="str">
        <f t="shared" si="5"/>
        <v>Moderado</v>
      </c>
      <c r="AB1128" s="128">
        <f t="shared" si="6"/>
        <v>10</v>
      </c>
      <c r="AC1128" s="129">
        <f t="shared" si="7"/>
        <v>0.07589466384</v>
      </c>
      <c r="AD1128" s="130"/>
    </row>
    <row r="1129" ht="14.25" hidden="1" customHeight="1">
      <c r="A1129" s="116" t="s">
        <v>847</v>
      </c>
      <c r="B1129" s="117" t="s">
        <v>1539</v>
      </c>
      <c r="C1129" s="117" t="s">
        <v>3320</v>
      </c>
      <c r="D1129" s="117" t="s">
        <v>3321</v>
      </c>
      <c r="E1129" s="117" t="s">
        <v>3317</v>
      </c>
      <c r="F1129" s="117" t="s">
        <v>3322</v>
      </c>
      <c r="G1129" s="117" t="s">
        <v>1113</v>
      </c>
      <c r="H1129" s="117" t="s">
        <v>3319</v>
      </c>
      <c r="I1129" s="117">
        <v>1.0</v>
      </c>
      <c r="J1129" s="117">
        <v>1.0</v>
      </c>
      <c r="K1129" s="117" t="str">
        <f t="shared" si="1"/>
        <v>No</v>
      </c>
      <c r="L1129" s="118" t="s">
        <v>116</v>
      </c>
      <c r="M1129" s="119">
        <v>0.5</v>
      </c>
      <c r="N1129" s="120">
        <v>1.0</v>
      </c>
      <c r="O1129" s="121">
        <v>45.50041666666667</v>
      </c>
      <c r="P1129" s="117">
        <v>12.0</v>
      </c>
      <c r="Q1129" s="117">
        <f t="shared" si="2"/>
        <v>0</v>
      </c>
      <c r="R1129" s="122">
        <f>+(IF(((M1129*24)-P1129)&lt;0,0,((M1129*24)-P1129)*'Estimación de pérdidas'!$F$72))*N1129</f>
        <v>0</v>
      </c>
      <c r="S1129" s="123" t="s">
        <v>272</v>
      </c>
      <c r="T1129" s="124" t="s">
        <v>132</v>
      </c>
      <c r="U1129" s="124">
        <f t="shared" si="3"/>
        <v>1</v>
      </c>
      <c r="V1129" s="124">
        <v>1.0</v>
      </c>
      <c r="W1129" s="124">
        <v>4.0</v>
      </c>
      <c r="X1129" s="125"/>
      <c r="Y1129" s="126"/>
      <c r="Z1129" s="125">
        <f t="shared" si="4"/>
        <v>4</v>
      </c>
      <c r="AA1129" s="127" t="str">
        <f t="shared" si="5"/>
        <v>Moderado</v>
      </c>
      <c r="AB1129" s="128">
        <f t="shared" si="6"/>
        <v>10</v>
      </c>
      <c r="AC1129" s="129">
        <f t="shared" si="7"/>
        <v>0.07589466384</v>
      </c>
      <c r="AD1129" s="130"/>
    </row>
    <row r="1130" ht="14.25" hidden="1" customHeight="1">
      <c r="A1130" s="116" t="s">
        <v>403</v>
      </c>
      <c r="B1130" s="117" t="s">
        <v>1539</v>
      </c>
      <c r="C1130" s="117" t="s">
        <v>526</v>
      </c>
      <c r="D1130" s="117" t="s">
        <v>3323</v>
      </c>
      <c r="E1130" s="117" t="s">
        <v>526</v>
      </c>
      <c r="F1130" s="117" t="s">
        <v>907</v>
      </c>
      <c r="G1130" s="117" t="s">
        <v>408</v>
      </c>
      <c r="H1130" s="117" t="s">
        <v>908</v>
      </c>
      <c r="I1130" s="117">
        <v>1.0</v>
      </c>
      <c r="J1130" s="117">
        <v>1.0</v>
      </c>
      <c r="K1130" s="117" t="str">
        <f t="shared" si="1"/>
        <v>No</v>
      </c>
      <c r="L1130" s="118" t="s">
        <v>116</v>
      </c>
      <c r="M1130" s="119">
        <v>0.3333333333333333</v>
      </c>
      <c r="N1130" s="120">
        <v>0.0</v>
      </c>
      <c r="O1130" s="121"/>
      <c r="P1130" s="117">
        <v>0.0</v>
      </c>
      <c r="Q1130" s="117">
        <f t="shared" si="2"/>
        <v>0</v>
      </c>
      <c r="R1130" s="122">
        <f>+(IF(((M1130*24)-P1130)&lt;0,0,((M1130*24)-P1130)*'Estimación de pérdidas'!$F$72))*N1130</f>
        <v>0</v>
      </c>
      <c r="S1130" s="123" t="s">
        <v>272</v>
      </c>
      <c r="T1130" s="124" t="s">
        <v>106</v>
      </c>
      <c r="U1130" s="124">
        <f t="shared" si="3"/>
        <v>1</v>
      </c>
      <c r="V1130" s="124">
        <v>1.0</v>
      </c>
      <c r="W1130" s="124">
        <v>4.0</v>
      </c>
      <c r="X1130" s="125"/>
      <c r="Y1130" s="126"/>
      <c r="Z1130" s="125">
        <f t="shared" si="4"/>
        <v>4</v>
      </c>
      <c r="AA1130" s="127" t="str">
        <f t="shared" si="5"/>
        <v>Alto</v>
      </c>
      <c r="AB1130" s="128">
        <f t="shared" si="6"/>
        <v>22</v>
      </c>
      <c r="AC1130" s="129">
        <f t="shared" si="7"/>
        <v>0.3035786554</v>
      </c>
      <c r="AD1130" s="130"/>
    </row>
    <row r="1131" ht="14.25" hidden="1" customHeight="1">
      <c r="A1131" s="116" t="s">
        <v>403</v>
      </c>
      <c r="B1131" s="117" t="s">
        <v>1539</v>
      </c>
      <c r="C1131" s="117" t="s">
        <v>526</v>
      </c>
      <c r="D1131" s="117" t="s">
        <v>3324</v>
      </c>
      <c r="E1131" s="117" t="s">
        <v>526</v>
      </c>
      <c r="F1131" s="117" t="s">
        <v>907</v>
      </c>
      <c r="G1131" s="117" t="s">
        <v>408</v>
      </c>
      <c r="H1131" s="117" t="s">
        <v>908</v>
      </c>
      <c r="I1131" s="117">
        <v>1.0</v>
      </c>
      <c r="J1131" s="117">
        <v>1.0</v>
      </c>
      <c r="K1131" s="117" t="str">
        <f t="shared" si="1"/>
        <v>No</v>
      </c>
      <c r="L1131" s="118" t="s">
        <v>116</v>
      </c>
      <c r="M1131" s="119">
        <v>0.3333333333333333</v>
      </c>
      <c r="N1131" s="120">
        <v>0.0</v>
      </c>
      <c r="O1131" s="121"/>
      <c r="P1131" s="117">
        <v>0.0</v>
      </c>
      <c r="Q1131" s="117">
        <f t="shared" si="2"/>
        <v>0</v>
      </c>
      <c r="R1131" s="122">
        <f>+(IF(((M1131*24)-P1131)&lt;0,0,((M1131*24)-P1131)*'Estimación de pérdidas'!$F$72))*N1131</f>
        <v>0</v>
      </c>
      <c r="S1131" s="123" t="s">
        <v>272</v>
      </c>
      <c r="T1131" s="124" t="s">
        <v>106</v>
      </c>
      <c r="U1131" s="124">
        <f t="shared" si="3"/>
        <v>1</v>
      </c>
      <c r="V1131" s="124">
        <v>1.0</v>
      </c>
      <c r="W1131" s="124">
        <v>4.0</v>
      </c>
      <c r="X1131" s="125"/>
      <c r="Y1131" s="126"/>
      <c r="Z1131" s="125">
        <f t="shared" si="4"/>
        <v>4</v>
      </c>
      <c r="AA1131" s="127" t="str">
        <f t="shared" si="5"/>
        <v>Alto</v>
      </c>
      <c r="AB1131" s="128">
        <f t="shared" si="6"/>
        <v>22</v>
      </c>
      <c r="AC1131" s="129">
        <f t="shared" si="7"/>
        <v>0.3035786554</v>
      </c>
      <c r="AD1131" s="130"/>
    </row>
    <row r="1132" ht="14.25" hidden="1" customHeight="1">
      <c r="A1132" s="116" t="s">
        <v>403</v>
      </c>
      <c r="B1132" s="117" t="s">
        <v>1539</v>
      </c>
      <c r="C1132" s="117" t="s">
        <v>526</v>
      </c>
      <c r="D1132" s="117" t="s">
        <v>3325</v>
      </c>
      <c r="E1132" s="117" t="s">
        <v>526</v>
      </c>
      <c r="F1132" s="117" t="s">
        <v>907</v>
      </c>
      <c r="G1132" s="117" t="s">
        <v>408</v>
      </c>
      <c r="H1132" s="117" t="s">
        <v>908</v>
      </c>
      <c r="I1132" s="117">
        <v>1.0</v>
      </c>
      <c r="J1132" s="117">
        <v>1.0</v>
      </c>
      <c r="K1132" s="117" t="str">
        <f t="shared" si="1"/>
        <v>No</v>
      </c>
      <c r="L1132" s="118" t="s">
        <v>116</v>
      </c>
      <c r="M1132" s="119">
        <v>0.3333333333333333</v>
      </c>
      <c r="N1132" s="120">
        <v>0.0</v>
      </c>
      <c r="O1132" s="121"/>
      <c r="P1132" s="117">
        <v>0.0</v>
      </c>
      <c r="Q1132" s="117">
        <f t="shared" si="2"/>
        <v>0</v>
      </c>
      <c r="R1132" s="122">
        <f>+(IF(((M1132*24)-P1132)&lt;0,0,((M1132*24)-P1132)*'Estimación de pérdidas'!$F$72))*N1132</f>
        <v>0</v>
      </c>
      <c r="S1132" s="123" t="s">
        <v>272</v>
      </c>
      <c r="T1132" s="124" t="s">
        <v>106</v>
      </c>
      <c r="U1132" s="124">
        <f t="shared" si="3"/>
        <v>1</v>
      </c>
      <c r="V1132" s="124">
        <v>1.0</v>
      </c>
      <c r="W1132" s="124">
        <v>4.0</v>
      </c>
      <c r="X1132" s="125"/>
      <c r="Y1132" s="126"/>
      <c r="Z1132" s="125">
        <f t="shared" si="4"/>
        <v>4</v>
      </c>
      <c r="AA1132" s="127" t="str">
        <f t="shared" si="5"/>
        <v>Alto</v>
      </c>
      <c r="AB1132" s="128">
        <f t="shared" si="6"/>
        <v>22</v>
      </c>
      <c r="AC1132" s="129">
        <f t="shared" si="7"/>
        <v>0.3035786554</v>
      </c>
      <c r="AD1132" s="130"/>
    </row>
    <row r="1133" ht="14.25" hidden="1" customHeight="1">
      <c r="A1133" s="116" t="s">
        <v>847</v>
      </c>
      <c r="B1133" s="117" t="s">
        <v>848</v>
      </c>
      <c r="C1133" s="117" t="s">
        <v>1690</v>
      </c>
      <c r="D1133" s="117" t="s">
        <v>3326</v>
      </c>
      <c r="E1133" s="117" t="s">
        <v>1690</v>
      </c>
      <c r="F1133" s="117" t="s">
        <v>1692</v>
      </c>
      <c r="G1133" s="117" t="s">
        <v>205</v>
      </c>
      <c r="H1133" s="117" t="s">
        <v>729</v>
      </c>
      <c r="I1133" s="117">
        <v>7.0</v>
      </c>
      <c r="J1133" s="117">
        <v>5.0</v>
      </c>
      <c r="K1133" s="117" t="str">
        <f t="shared" si="1"/>
        <v>Si</v>
      </c>
      <c r="L1133" s="118" t="s">
        <v>287</v>
      </c>
      <c r="M1133" s="119">
        <v>0.25</v>
      </c>
      <c r="N1133" s="120">
        <v>0.5</v>
      </c>
      <c r="O1133" s="121">
        <v>91.32</v>
      </c>
      <c r="P1133" s="117">
        <v>2.0</v>
      </c>
      <c r="Q1133" s="117">
        <f t="shared" si="2"/>
        <v>2</v>
      </c>
      <c r="R1133" s="122">
        <f>+(IF(((M1133*24)-P1133)&lt;0,0,((M1133*24)-P1133)*'Estimación de pérdidas'!$F$72))*N1133</f>
        <v>115356.1498</v>
      </c>
      <c r="S1133" s="123" t="s">
        <v>117</v>
      </c>
      <c r="T1133" s="124" t="s">
        <v>106</v>
      </c>
      <c r="U1133" s="124">
        <f t="shared" si="3"/>
        <v>2</v>
      </c>
      <c r="V1133" s="124">
        <v>1.0</v>
      </c>
      <c r="W1133" s="124"/>
      <c r="X1133" s="125"/>
      <c r="Y1133" s="126"/>
      <c r="Z1133" s="125">
        <f t="shared" si="4"/>
        <v>2</v>
      </c>
      <c r="AA1133" s="127" t="str">
        <f t="shared" si="5"/>
        <v>Moderado</v>
      </c>
      <c r="AB1133" s="128">
        <f t="shared" si="6"/>
        <v>12</v>
      </c>
      <c r="AC1133" s="129">
        <f t="shared" si="7"/>
        <v>0.16</v>
      </c>
      <c r="AD1133" s="131"/>
    </row>
    <row r="1134" ht="14.25" hidden="1" customHeight="1">
      <c r="A1134" s="116" t="s">
        <v>847</v>
      </c>
      <c r="B1134" s="117" t="s">
        <v>848</v>
      </c>
      <c r="C1134" s="117" t="s">
        <v>1690</v>
      </c>
      <c r="D1134" s="117" t="s">
        <v>3327</v>
      </c>
      <c r="E1134" s="117" t="s">
        <v>1690</v>
      </c>
      <c r="F1134" s="117" t="s">
        <v>1698</v>
      </c>
      <c r="G1134" s="117" t="s">
        <v>205</v>
      </c>
      <c r="H1134" s="117" t="s">
        <v>729</v>
      </c>
      <c r="I1134" s="117">
        <v>2.0</v>
      </c>
      <c r="J1134" s="117">
        <v>1.0</v>
      </c>
      <c r="K1134" s="117" t="str">
        <f t="shared" si="1"/>
        <v>Si</v>
      </c>
      <c r="L1134" s="118" t="s">
        <v>1631</v>
      </c>
      <c r="M1134" s="119">
        <v>0.25</v>
      </c>
      <c r="N1134" s="120">
        <v>0.0</v>
      </c>
      <c r="O1134" s="121">
        <v>91.32</v>
      </c>
      <c r="P1134" s="117">
        <v>1.0</v>
      </c>
      <c r="Q1134" s="117">
        <f t="shared" si="2"/>
        <v>0</v>
      </c>
      <c r="R1134" s="122">
        <f>+(IF(((M1134*24)-P1134)&lt;0,0,((M1134*24)-P1134)*'Estimación de pérdidas'!$F$72))*N1134</f>
        <v>0</v>
      </c>
      <c r="S1134" s="123" t="s">
        <v>117</v>
      </c>
      <c r="T1134" s="124" t="s">
        <v>106</v>
      </c>
      <c r="U1134" s="124">
        <f t="shared" si="3"/>
        <v>1</v>
      </c>
      <c r="V1134" s="124">
        <v>1.0</v>
      </c>
      <c r="W1134" s="124"/>
      <c r="X1134" s="125"/>
      <c r="Y1134" s="126"/>
      <c r="Z1134" s="125">
        <f t="shared" si="4"/>
        <v>1</v>
      </c>
      <c r="AA1134" s="127" t="str">
        <f t="shared" si="5"/>
        <v>Bajo</v>
      </c>
      <c r="AB1134" s="128">
        <f t="shared" si="6"/>
        <v>7</v>
      </c>
      <c r="AC1134" s="129">
        <f t="shared" si="7"/>
        <v>0.1011928851</v>
      </c>
    </row>
    <row r="1135" ht="14.25" hidden="1" customHeight="1">
      <c r="A1135" s="116" t="s">
        <v>847</v>
      </c>
      <c r="B1135" s="117" t="s">
        <v>848</v>
      </c>
      <c r="C1135" s="117" t="s">
        <v>1690</v>
      </c>
      <c r="D1135" s="117" t="s">
        <v>3328</v>
      </c>
      <c r="E1135" s="117" t="s">
        <v>1690</v>
      </c>
      <c r="F1135" s="117" t="s">
        <v>1692</v>
      </c>
      <c r="G1135" s="117" t="s">
        <v>205</v>
      </c>
      <c r="H1135" s="117" t="s">
        <v>729</v>
      </c>
      <c r="I1135" s="117">
        <v>7.0</v>
      </c>
      <c r="J1135" s="117">
        <v>5.0</v>
      </c>
      <c r="K1135" s="117" t="str">
        <f t="shared" si="1"/>
        <v>Si</v>
      </c>
      <c r="L1135" s="118" t="s">
        <v>287</v>
      </c>
      <c r="M1135" s="119">
        <v>0.25</v>
      </c>
      <c r="N1135" s="120">
        <v>0.5</v>
      </c>
      <c r="O1135" s="121">
        <v>91.32</v>
      </c>
      <c r="P1135" s="117">
        <v>2.0</v>
      </c>
      <c r="Q1135" s="117">
        <f t="shared" si="2"/>
        <v>2</v>
      </c>
      <c r="R1135" s="122">
        <f>+(IF(((M1135*24)-P1135)&lt;0,0,((M1135*24)-P1135)*'Estimación de pérdidas'!$F$72))*N1135</f>
        <v>115356.1498</v>
      </c>
      <c r="S1135" s="123" t="s">
        <v>117</v>
      </c>
      <c r="T1135" s="124" t="s">
        <v>106</v>
      </c>
      <c r="U1135" s="124">
        <f t="shared" si="3"/>
        <v>2</v>
      </c>
      <c r="V1135" s="124">
        <v>1.0</v>
      </c>
      <c r="W1135" s="124"/>
      <c r="X1135" s="125"/>
      <c r="Y1135" s="126"/>
      <c r="Z1135" s="125">
        <f t="shared" si="4"/>
        <v>2</v>
      </c>
      <c r="AA1135" s="127" t="str">
        <f t="shared" si="5"/>
        <v>Moderado</v>
      </c>
      <c r="AB1135" s="128">
        <f t="shared" si="6"/>
        <v>12</v>
      </c>
      <c r="AC1135" s="129">
        <f t="shared" si="7"/>
        <v>0.16</v>
      </c>
      <c r="AD1135" s="131"/>
    </row>
    <row r="1136" ht="14.25" hidden="1" customHeight="1">
      <c r="A1136" s="116" t="s">
        <v>1969</v>
      </c>
      <c r="B1136" s="117" t="s">
        <v>1969</v>
      </c>
      <c r="C1136" s="117" t="s">
        <v>332</v>
      </c>
      <c r="D1136" s="117" t="s">
        <v>3329</v>
      </c>
      <c r="E1136" s="117" t="s">
        <v>3330</v>
      </c>
      <c r="F1136" s="117" t="s">
        <v>335</v>
      </c>
      <c r="G1136" s="117" t="s">
        <v>336</v>
      </c>
      <c r="H1136" s="117" t="s">
        <v>337</v>
      </c>
      <c r="I1136" s="117">
        <v>1.0</v>
      </c>
      <c r="J1136" s="117">
        <v>1.0</v>
      </c>
      <c r="K1136" s="117" t="str">
        <f t="shared" si="1"/>
        <v>No</v>
      </c>
      <c r="L1136" s="118" t="s">
        <v>116</v>
      </c>
      <c r="M1136" s="119">
        <v>0.3333333333333333</v>
      </c>
      <c r="N1136" s="120">
        <v>0.0</v>
      </c>
      <c r="O1136" s="121">
        <v>91.32</v>
      </c>
      <c r="P1136" s="117">
        <v>1.0</v>
      </c>
      <c r="Q1136" s="117">
        <f t="shared" si="2"/>
        <v>0</v>
      </c>
      <c r="R1136" s="122">
        <f>+(IF(((M1136*24)-P1136)&lt;0,0,((M1136*24)-P1136)*'Estimación de pérdidas'!$F$72))*N1136</f>
        <v>0</v>
      </c>
      <c r="S1136" s="123" t="s">
        <v>117</v>
      </c>
      <c r="T1136" s="124" t="s">
        <v>118</v>
      </c>
      <c r="U1136" s="124">
        <f t="shared" si="3"/>
        <v>1</v>
      </c>
      <c r="V1136" s="124">
        <v>2.0</v>
      </c>
      <c r="W1136" s="124"/>
      <c r="X1136" s="125"/>
      <c r="Y1136" s="126"/>
      <c r="Z1136" s="125">
        <f t="shared" si="4"/>
        <v>2</v>
      </c>
      <c r="AA1136" s="127" t="str">
        <f t="shared" si="5"/>
        <v>Bajo</v>
      </c>
      <c r="AB1136" s="128">
        <f t="shared" si="6"/>
        <v>5</v>
      </c>
      <c r="AC1136" s="129">
        <f t="shared" si="7"/>
        <v>0.08</v>
      </c>
    </row>
    <row r="1137" ht="14.25" hidden="1" customHeight="1">
      <c r="A1137" s="116" t="s">
        <v>1969</v>
      </c>
      <c r="B1137" s="117" t="s">
        <v>1969</v>
      </c>
      <c r="C1137" s="117" t="s">
        <v>3331</v>
      </c>
      <c r="D1137" s="117" t="s">
        <v>3332</v>
      </c>
      <c r="E1137" s="117" t="s">
        <v>3331</v>
      </c>
      <c r="F1137" s="117" t="s">
        <v>3333</v>
      </c>
      <c r="G1137" s="117" t="s">
        <v>270</v>
      </c>
      <c r="H1137" s="117" t="s">
        <v>1186</v>
      </c>
      <c r="I1137" s="117">
        <v>1.0</v>
      </c>
      <c r="J1137" s="117">
        <v>1.0</v>
      </c>
      <c r="K1137" s="117" t="str">
        <f t="shared" si="1"/>
        <v>No</v>
      </c>
      <c r="L1137" s="118" t="s">
        <v>116</v>
      </c>
      <c r="M1137" s="119">
        <v>0.3333333333333333</v>
      </c>
      <c r="N1137" s="120">
        <v>0.0</v>
      </c>
      <c r="O1137" s="121">
        <v>91.32</v>
      </c>
      <c r="P1137" s="117">
        <v>1.0</v>
      </c>
      <c r="Q1137" s="117">
        <f t="shared" si="2"/>
        <v>0</v>
      </c>
      <c r="R1137" s="122">
        <f>+(IF(((M1137*24)-P1137)&lt;0,0,((M1137*24)-P1137)*'Estimación de pérdidas'!$F$72))*N1137</f>
        <v>0</v>
      </c>
      <c r="S1137" s="123" t="s">
        <v>272</v>
      </c>
      <c r="T1137" s="124" t="s">
        <v>119</v>
      </c>
      <c r="U1137" s="124">
        <f t="shared" si="3"/>
        <v>1</v>
      </c>
      <c r="V1137" s="124">
        <v>1.0</v>
      </c>
      <c r="W1137" s="124"/>
      <c r="X1137" s="125">
        <v>1.0</v>
      </c>
      <c r="Y1137" s="126"/>
      <c r="Z1137" s="125">
        <f t="shared" si="4"/>
        <v>1</v>
      </c>
      <c r="AA1137" s="127" t="str">
        <f t="shared" si="5"/>
        <v>Bajo</v>
      </c>
      <c r="AB1137" s="128">
        <f t="shared" si="6"/>
        <v>4</v>
      </c>
      <c r="AC1137" s="129">
        <f t="shared" si="7"/>
        <v>0.09295160031</v>
      </c>
    </row>
    <row r="1138" ht="14.25" hidden="1" customHeight="1">
      <c r="A1138" s="116" t="s">
        <v>1969</v>
      </c>
      <c r="B1138" s="117" t="s">
        <v>1969</v>
      </c>
      <c r="C1138" s="117" t="s">
        <v>3331</v>
      </c>
      <c r="D1138" s="117" t="s">
        <v>3334</v>
      </c>
      <c r="E1138" s="117" t="s">
        <v>3331</v>
      </c>
      <c r="F1138" s="117" t="s">
        <v>3333</v>
      </c>
      <c r="G1138" s="117" t="s">
        <v>270</v>
      </c>
      <c r="H1138" s="117" t="s">
        <v>1186</v>
      </c>
      <c r="I1138" s="117">
        <v>1.0</v>
      </c>
      <c r="J1138" s="117">
        <v>1.0</v>
      </c>
      <c r="K1138" s="117" t="str">
        <f t="shared" si="1"/>
        <v>No</v>
      </c>
      <c r="L1138" s="118" t="s">
        <v>116</v>
      </c>
      <c r="M1138" s="119">
        <v>0.3333333333333333</v>
      </c>
      <c r="N1138" s="120">
        <v>0.0</v>
      </c>
      <c r="O1138" s="121">
        <v>91.32</v>
      </c>
      <c r="P1138" s="117">
        <v>1.0</v>
      </c>
      <c r="Q1138" s="117">
        <f t="shared" si="2"/>
        <v>0</v>
      </c>
      <c r="R1138" s="122">
        <f>+(IF(((M1138*24)-P1138)&lt;0,0,((M1138*24)-P1138)*'Estimación de pérdidas'!$F$72))*N1138</f>
        <v>0</v>
      </c>
      <c r="S1138" s="123" t="s">
        <v>272</v>
      </c>
      <c r="T1138" s="124" t="s">
        <v>119</v>
      </c>
      <c r="U1138" s="124">
        <f t="shared" si="3"/>
        <v>1</v>
      </c>
      <c r="V1138" s="124">
        <v>1.0</v>
      </c>
      <c r="W1138" s="124"/>
      <c r="X1138" s="125">
        <v>1.0</v>
      </c>
      <c r="Y1138" s="126"/>
      <c r="Z1138" s="125">
        <f t="shared" si="4"/>
        <v>1</v>
      </c>
      <c r="AA1138" s="127" t="str">
        <f t="shared" si="5"/>
        <v>Bajo</v>
      </c>
      <c r="AB1138" s="128">
        <f t="shared" si="6"/>
        <v>4</v>
      </c>
      <c r="AC1138" s="129">
        <f t="shared" si="7"/>
        <v>0.09295160031</v>
      </c>
    </row>
    <row r="1139" ht="14.25" hidden="1" customHeight="1">
      <c r="A1139" s="116" t="s">
        <v>1969</v>
      </c>
      <c r="B1139" s="117" t="s">
        <v>1969</v>
      </c>
      <c r="C1139" s="117" t="s">
        <v>3331</v>
      </c>
      <c r="D1139" s="117" t="s">
        <v>3335</v>
      </c>
      <c r="E1139" s="117" t="s">
        <v>3331</v>
      </c>
      <c r="F1139" s="117" t="s">
        <v>3333</v>
      </c>
      <c r="G1139" s="117" t="s">
        <v>270</v>
      </c>
      <c r="H1139" s="117" t="s">
        <v>1186</v>
      </c>
      <c r="I1139" s="117">
        <v>1.0</v>
      </c>
      <c r="J1139" s="117">
        <v>1.0</v>
      </c>
      <c r="K1139" s="117" t="str">
        <f t="shared" si="1"/>
        <v>No</v>
      </c>
      <c r="L1139" s="118" t="s">
        <v>116</v>
      </c>
      <c r="M1139" s="119">
        <v>0.3333333333333333</v>
      </c>
      <c r="N1139" s="120">
        <v>0.0</v>
      </c>
      <c r="O1139" s="121">
        <v>91.32</v>
      </c>
      <c r="P1139" s="117">
        <v>1.0</v>
      </c>
      <c r="Q1139" s="117">
        <f t="shared" si="2"/>
        <v>0</v>
      </c>
      <c r="R1139" s="122">
        <f>+(IF(((M1139*24)-P1139)&lt;0,0,((M1139*24)-P1139)*'Estimación de pérdidas'!$F$72))*N1139</f>
        <v>0</v>
      </c>
      <c r="S1139" s="123" t="s">
        <v>272</v>
      </c>
      <c r="T1139" s="124" t="s">
        <v>119</v>
      </c>
      <c r="U1139" s="124">
        <f t="shared" si="3"/>
        <v>1</v>
      </c>
      <c r="V1139" s="124">
        <v>1.0</v>
      </c>
      <c r="W1139" s="124"/>
      <c r="X1139" s="125">
        <v>1.0</v>
      </c>
      <c r="Y1139" s="126"/>
      <c r="Z1139" s="125">
        <f t="shared" si="4"/>
        <v>1</v>
      </c>
      <c r="AA1139" s="127" t="str">
        <f t="shared" si="5"/>
        <v>Bajo</v>
      </c>
      <c r="AB1139" s="128">
        <f t="shared" si="6"/>
        <v>4</v>
      </c>
      <c r="AC1139" s="129">
        <f t="shared" si="7"/>
        <v>0.09295160031</v>
      </c>
    </row>
    <row r="1140" ht="14.25" hidden="1" customHeight="1">
      <c r="A1140" s="116" t="s">
        <v>1969</v>
      </c>
      <c r="B1140" s="117" t="s">
        <v>1969</v>
      </c>
      <c r="C1140" s="117" t="s">
        <v>3331</v>
      </c>
      <c r="D1140" s="117" t="s">
        <v>3336</v>
      </c>
      <c r="E1140" s="117" t="s">
        <v>3331</v>
      </c>
      <c r="F1140" s="117" t="s">
        <v>3333</v>
      </c>
      <c r="G1140" s="117" t="s">
        <v>270</v>
      </c>
      <c r="H1140" s="117" t="s">
        <v>1186</v>
      </c>
      <c r="I1140" s="117">
        <v>1.0</v>
      </c>
      <c r="J1140" s="117">
        <v>1.0</v>
      </c>
      <c r="K1140" s="117" t="str">
        <f t="shared" si="1"/>
        <v>No</v>
      </c>
      <c r="L1140" s="118" t="s">
        <v>116</v>
      </c>
      <c r="M1140" s="119">
        <v>0.3333333333333333</v>
      </c>
      <c r="N1140" s="120">
        <v>0.0</v>
      </c>
      <c r="O1140" s="121">
        <v>91.32</v>
      </c>
      <c r="P1140" s="117">
        <v>1.0</v>
      </c>
      <c r="Q1140" s="117">
        <f t="shared" si="2"/>
        <v>0</v>
      </c>
      <c r="R1140" s="122">
        <f>+(IF(((M1140*24)-P1140)&lt;0,0,((M1140*24)-P1140)*'Estimación de pérdidas'!$F$72))*N1140</f>
        <v>0</v>
      </c>
      <c r="S1140" s="123" t="s">
        <v>272</v>
      </c>
      <c r="T1140" s="124" t="s">
        <v>119</v>
      </c>
      <c r="U1140" s="124">
        <f t="shared" si="3"/>
        <v>1</v>
      </c>
      <c r="V1140" s="124">
        <v>1.0</v>
      </c>
      <c r="W1140" s="124"/>
      <c r="X1140" s="125">
        <v>1.0</v>
      </c>
      <c r="Y1140" s="126"/>
      <c r="Z1140" s="125">
        <f t="shared" si="4"/>
        <v>1</v>
      </c>
      <c r="AA1140" s="127" t="str">
        <f t="shared" si="5"/>
        <v>Bajo</v>
      </c>
      <c r="AB1140" s="128">
        <f t="shared" si="6"/>
        <v>4</v>
      </c>
      <c r="AC1140" s="129">
        <f t="shared" si="7"/>
        <v>0.09295160031</v>
      </c>
    </row>
    <row r="1141" ht="14.25" hidden="1" customHeight="1">
      <c r="A1141" s="116" t="s">
        <v>1969</v>
      </c>
      <c r="B1141" s="117" t="s">
        <v>1969</v>
      </c>
      <c r="C1141" s="117" t="s">
        <v>3331</v>
      </c>
      <c r="D1141" s="117" t="s">
        <v>3337</v>
      </c>
      <c r="E1141" s="117" t="s">
        <v>3331</v>
      </c>
      <c r="F1141" s="117" t="s">
        <v>3333</v>
      </c>
      <c r="G1141" s="117" t="s">
        <v>270</v>
      </c>
      <c r="H1141" s="117" t="s">
        <v>1186</v>
      </c>
      <c r="I1141" s="117">
        <v>1.0</v>
      </c>
      <c r="J1141" s="117">
        <v>1.0</v>
      </c>
      <c r="K1141" s="117" t="str">
        <f t="shared" si="1"/>
        <v>No</v>
      </c>
      <c r="L1141" s="118" t="s">
        <v>116</v>
      </c>
      <c r="M1141" s="119">
        <v>0.3333333333333333</v>
      </c>
      <c r="N1141" s="120">
        <v>0.0</v>
      </c>
      <c r="O1141" s="121">
        <v>91.32</v>
      </c>
      <c r="P1141" s="117">
        <v>1.0</v>
      </c>
      <c r="Q1141" s="117">
        <f t="shared" si="2"/>
        <v>0</v>
      </c>
      <c r="R1141" s="122">
        <f>+(IF(((M1141*24)-P1141)&lt;0,0,((M1141*24)-P1141)*'Estimación de pérdidas'!$F$72))*N1141</f>
        <v>0</v>
      </c>
      <c r="S1141" s="123" t="s">
        <v>272</v>
      </c>
      <c r="T1141" s="124" t="s">
        <v>119</v>
      </c>
      <c r="U1141" s="124">
        <f t="shared" si="3"/>
        <v>1</v>
      </c>
      <c r="V1141" s="124">
        <v>1.0</v>
      </c>
      <c r="W1141" s="124"/>
      <c r="X1141" s="125">
        <v>1.0</v>
      </c>
      <c r="Y1141" s="126"/>
      <c r="Z1141" s="125">
        <f t="shared" si="4"/>
        <v>1</v>
      </c>
      <c r="AA1141" s="127" t="str">
        <f t="shared" si="5"/>
        <v>Bajo</v>
      </c>
      <c r="AB1141" s="128">
        <f t="shared" si="6"/>
        <v>4</v>
      </c>
      <c r="AC1141" s="129">
        <f t="shared" si="7"/>
        <v>0.09295160031</v>
      </c>
    </row>
    <row r="1142" ht="14.25" hidden="1" customHeight="1">
      <c r="A1142" s="116" t="s">
        <v>1969</v>
      </c>
      <c r="B1142" s="117" t="s">
        <v>1969</v>
      </c>
      <c r="C1142" s="117" t="s">
        <v>3338</v>
      </c>
      <c r="D1142" s="117" t="s">
        <v>3339</v>
      </c>
      <c r="E1142" s="117" t="s">
        <v>3340</v>
      </c>
      <c r="F1142" s="117" t="s">
        <v>3341</v>
      </c>
      <c r="G1142" s="117" t="s">
        <v>592</v>
      </c>
      <c r="H1142" s="117" t="s">
        <v>593</v>
      </c>
      <c r="I1142" s="117">
        <v>1.0</v>
      </c>
      <c r="J1142" s="117">
        <v>1.0</v>
      </c>
      <c r="K1142" s="117" t="str">
        <f t="shared" si="1"/>
        <v>No</v>
      </c>
      <c r="L1142" s="118" t="s">
        <v>116</v>
      </c>
      <c r="M1142" s="119">
        <v>0.16666666666666666</v>
      </c>
      <c r="N1142" s="120">
        <v>0.0</v>
      </c>
      <c r="O1142" s="121"/>
      <c r="P1142" s="117">
        <v>0.0</v>
      </c>
      <c r="Q1142" s="117">
        <f t="shared" si="2"/>
        <v>0</v>
      </c>
      <c r="R1142" s="122">
        <f>+(IF(((M1142*24)-P1142)&lt;0,0,((M1142*24)-P1142)*'Estimación de pérdidas'!$F$72))*N1142</f>
        <v>0</v>
      </c>
      <c r="S1142" s="123" t="s">
        <v>117</v>
      </c>
      <c r="T1142" s="124" t="s">
        <v>119</v>
      </c>
      <c r="U1142" s="124">
        <f t="shared" si="3"/>
        <v>1</v>
      </c>
      <c r="V1142" s="124">
        <v>1.0</v>
      </c>
      <c r="W1142" s="124"/>
      <c r="X1142" s="125"/>
      <c r="Y1142" s="126"/>
      <c r="Z1142" s="125">
        <f t="shared" si="4"/>
        <v>1</v>
      </c>
      <c r="AA1142" s="127" t="str">
        <f t="shared" si="5"/>
        <v>Bajo</v>
      </c>
      <c r="AB1142" s="128">
        <f t="shared" si="6"/>
        <v>4</v>
      </c>
      <c r="AC1142" s="129">
        <f t="shared" si="7"/>
        <v>0.07589466384</v>
      </c>
    </row>
    <row r="1143" ht="14.25" hidden="1" customHeight="1">
      <c r="A1143" s="116" t="s">
        <v>1969</v>
      </c>
      <c r="B1143" s="117" t="s">
        <v>1969</v>
      </c>
      <c r="C1143" s="117" t="s">
        <v>1872</v>
      </c>
      <c r="D1143" s="117" t="s">
        <v>3342</v>
      </c>
      <c r="E1143" s="117" t="s">
        <v>1872</v>
      </c>
      <c r="F1143" s="117" t="s">
        <v>3343</v>
      </c>
      <c r="G1143" s="117" t="s">
        <v>2120</v>
      </c>
      <c r="H1143" s="117" t="s">
        <v>3344</v>
      </c>
      <c r="I1143" s="117">
        <v>1.0</v>
      </c>
      <c r="J1143" s="117">
        <v>1.0</v>
      </c>
      <c r="K1143" s="117" t="str">
        <f t="shared" si="1"/>
        <v>No</v>
      </c>
      <c r="L1143" s="118" t="s">
        <v>116</v>
      </c>
      <c r="M1143" s="119">
        <v>0.25</v>
      </c>
      <c r="N1143" s="120">
        <v>0.0</v>
      </c>
      <c r="O1143" s="121"/>
      <c r="P1143" s="117">
        <v>0.0</v>
      </c>
      <c r="Q1143" s="117">
        <f t="shared" si="2"/>
        <v>0</v>
      </c>
      <c r="R1143" s="122">
        <f>+(IF(((M1143*24)-P1143)&lt;0,0,((M1143*24)-P1143)*'Estimación de pérdidas'!$F$72))*N1143</f>
        <v>0</v>
      </c>
      <c r="S1143" s="123" t="s">
        <v>117</v>
      </c>
      <c r="T1143" s="124" t="s">
        <v>119</v>
      </c>
      <c r="U1143" s="124">
        <f t="shared" si="3"/>
        <v>1</v>
      </c>
      <c r="V1143" s="124">
        <v>1.0</v>
      </c>
      <c r="W1143" s="124">
        <v>2.0</v>
      </c>
      <c r="X1143" s="125"/>
      <c r="Y1143" s="126"/>
      <c r="Z1143" s="125">
        <f t="shared" si="4"/>
        <v>2</v>
      </c>
      <c r="AA1143" s="127" t="str">
        <f t="shared" si="5"/>
        <v>Moderado</v>
      </c>
      <c r="AB1143" s="128">
        <f t="shared" si="6"/>
        <v>8</v>
      </c>
      <c r="AC1143" s="129">
        <f t="shared" si="7"/>
        <v>0.1314534138</v>
      </c>
      <c r="AD1143" s="131"/>
    </row>
    <row r="1144" ht="14.25" hidden="1" customHeight="1">
      <c r="A1144" s="116" t="s">
        <v>108</v>
      </c>
      <c r="B1144" s="117" t="s">
        <v>109</v>
      </c>
      <c r="C1144" s="117" t="s">
        <v>332</v>
      </c>
      <c r="D1144" s="117" t="s">
        <v>3345</v>
      </c>
      <c r="E1144" s="117" t="s">
        <v>3346</v>
      </c>
      <c r="F1144" s="117" t="s">
        <v>335</v>
      </c>
      <c r="G1144" s="117" t="s">
        <v>336</v>
      </c>
      <c r="H1144" s="117" t="s">
        <v>337</v>
      </c>
      <c r="I1144" s="117">
        <v>1.0</v>
      </c>
      <c r="J1144" s="117">
        <v>1.0</v>
      </c>
      <c r="K1144" s="117" t="str">
        <f t="shared" si="1"/>
        <v>No</v>
      </c>
      <c r="L1144" s="118" t="s">
        <v>116</v>
      </c>
      <c r="M1144" s="119">
        <v>0.3333333333333333</v>
      </c>
      <c r="N1144" s="120">
        <v>0.0</v>
      </c>
      <c r="O1144" s="121">
        <v>70.0</v>
      </c>
      <c r="P1144" s="117">
        <v>10.0</v>
      </c>
      <c r="Q1144" s="117">
        <f t="shared" si="2"/>
        <v>0</v>
      </c>
      <c r="R1144" s="122">
        <f>+(IF(((M1144*24)-P1144)&lt;0,0,((M1144*24)-P1144)*'Estimación de pérdidas'!$F$72))*N1144</f>
        <v>0</v>
      </c>
      <c r="S1144" s="123" t="s">
        <v>117</v>
      </c>
      <c r="T1144" s="124" t="s">
        <v>118</v>
      </c>
      <c r="U1144" s="124">
        <f t="shared" si="3"/>
        <v>1</v>
      </c>
      <c r="V1144" s="124">
        <v>2.0</v>
      </c>
      <c r="W1144" s="124"/>
      <c r="X1144" s="125"/>
      <c r="Y1144" s="126"/>
      <c r="Z1144" s="125">
        <f t="shared" si="4"/>
        <v>2</v>
      </c>
      <c r="AA1144" s="127" t="str">
        <f t="shared" si="5"/>
        <v>Bajo</v>
      </c>
      <c r="AB1144" s="128">
        <f t="shared" si="6"/>
        <v>5</v>
      </c>
      <c r="AC1144" s="129">
        <f t="shared" si="7"/>
        <v>0.08</v>
      </c>
    </row>
    <row r="1145" ht="14.25" hidden="1" customHeight="1">
      <c r="A1145" s="116" t="s">
        <v>221</v>
      </c>
      <c r="B1145" s="117" t="s">
        <v>222</v>
      </c>
      <c r="C1145" s="117" t="s">
        <v>3347</v>
      </c>
      <c r="D1145" s="117" t="s">
        <v>3348</v>
      </c>
      <c r="E1145" s="117" t="s">
        <v>3349</v>
      </c>
      <c r="F1145" s="117" t="s">
        <v>3350</v>
      </c>
      <c r="G1145" s="117" t="s">
        <v>171</v>
      </c>
      <c r="H1145" s="117" t="s">
        <v>172</v>
      </c>
      <c r="I1145" s="117">
        <v>1.0</v>
      </c>
      <c r="J1145" s="117">
        <v>1.0</v>
      </c>
      <c r="K1145" s="117" t="str">
        <f t="shared" si="1"/>
        <v>No</v>
      </c>
      <c r="L1145" s="118" t="s">
        <v>116</v>
      </c>
      <c r="M1145" s="119">
        <v>0.3333333333333333</v>
      </c>
      <c r="N1145" s="120">
        <v>0.0</v>
      </c>
      <c r="O1145" s="121"/>
      <c r="P1145" s="117">
        <v>0.0</v>
      </c>
      <c r="Q1145" s="117">
        <f t="shared" si="2"/>
        <v>0</v>
      </c>
      <c r="R1145" s="122">
        <f>+(IF(((M1145*24)-P1145)&lt;0,0,((M1145*24)-P1145)*'Estimación de pérdidas'!$F$72))*N1145</f>
        <v>0</v>
      </c>
      <c r="S1145" s="123" t="s">
        <v>117</v>
      </c>
      <c r="T1145" s="124" t="s">
        <v>119</v>
      </c>
      <c r="U1145" s="124">
        <f t="shared" si="3"/>
        <v>1</v>
      </c>
      <c r="V1145" s="124">
        <v>1.0</v>
      </c>
      <c r="W1145" s="124"/>
      <c r="X1145" s="125"/>
      <c r="Y1145" s="126"/>
      <c r="Z1145" s="125">
        <f t="shared" si="4"/>
        <v>1</v>
      </c>
      <c r="AA1145" s="127" t="str">
        <f t="shared" si="5"/>
        <v>Bajo</v>
      </c>
      <c r="AB1145" s="128">
        <f t="shared" si="6"/>
        <v>4</v>
      </c>
      <c r="AC1145" s="129">
        <f t="shared" si="7"/>
        <v>0.07589466384</v>
      </c>
    </row>
    <row r="1146" ht="14.25" hidden="1" customHeight="1">
      <c r="A1146" s="116" t="s">
        <v>221</v>
      </c>
      <c r="B1146" s="117" t="s">
        <v>222</v>
      </c>
      <c r="C1146" s="117" t="s">
        <v>3347</v>
      </c>
      <c r="D1146" s="117" t="s">
        <v>3351</v>
      </c>
      <c r="E1146" s="117" t="s">
        <v>3349</v>
      </c>
      <c r="F1146" s="117" t="s">
        <v>3350</v>
      </c>
      <c r="G1146" s="117" t="s">
        <v>171</v>
      </c>
      <c r="H1146" s="117" t="s">
        <v>172</v>
      </c>
      <c r="I1146" s="117">
        <v>1.0</v>
      </c>
      <c r="J1146" s="117">
        <v>1.0</v>
      </c>
      <c r="K1146" s="117" t="str">
        <f t="shared" si="1"/>
        <v>No</v>
      </c>
      <c r="L1146" s="118" t="s">
        <v>116</v>
      </c>
      <c r="M1146" s="119">
        <v>0.3333333333333333</v>
      </c>
      <c r="N1146" s="120">
        <v>0.0</v>
      </c>
      <c r="O1146" s="121"/>
      <c r="P1146" s="117">
        <v>0.0</v>
      </c>
      <c r="Q1146" s="117">
        <f t="shared" si="2"/>
        <v>0</v>
      </c>
      <c r="R1146" s="122">
        <f>+(IF(((M1146*24)-P1146)&lt;0,0,((M1146*24)-P1146)*'Estimación de pérdidas'!$F$72))*N1146</f>
        <v>0</v>
      </c>
      <c r="S1146" s="123" t="s">
        <v>117</v>
      </c>
      <c r="T1146" s="124" t="s">
        <v>119</v>
      </c>
      <c r="U1146" s="124">
        <f t="shared" si="3"/>
        <v>1</v>
      </c>
      <c r="V1146" s="124">
        <v>1.0</v>
      </c>
      <c r="W1146" s="124"/>
      <c r="X1146" s="125"/>
      <c r="Y1146" s="126"/>
      <c r="Z1146" s="125">
        <f t="shared" si="4"/>
        <v>1</v>
      </c>
      <c r="AA1146" s="127" t="str">
        <f t="shared" si="5"/>
        <v>Bajo</v>
      </c>
      <c r="AB1146" s="128">
        <f t="shared" si="6"/>
        <v>4</v>
      </c>
      <c r="AC1146" s="129">
        <f t="shared" si="7"/>
        <v>0.07589466384</v>
      </c>
    </row>
    <row r="1147" ht="14.25" hidden="1" customHeight="1">
      <c r="A1147" s="116" t="s">
        <v>847</v>
      </c>
      <c r="B1147" s="117" t="s">
        <v>848</v>
      </c>
      <c r="C1147" s="117" t="s">
        <v>332</v>
      </c>
      <c r="D1147" s="117" t="s">
        <v>3352</v>
      </c>
      <c r="E1147" s="117" t="s">
        <v>3353</v>
      </c>
      <c r="F1147" s="117" t="s">
        <v>335</v>
      </c>
      <c r="G1147" s="117" t="s">
        <v>336</v>
      </c>
      <c r="H1147" s="117" t="s">
        <v>337</v>
      </c>
      <c r="I1147" s="117">
        <v>1.0</v>
      </c>
      <c r="J1147" s="117">
        <v>1.0</v>
      </c>
      <c r="K1147" s="117" t="str">
        <f t="shared" si="1"/>
        <v>No</v>
      </c>
      <c r="L1147" s="118" t="s">
        <v>116</v>
      </c>
      <c r="M1147" s="119">
        <v>0.3333333333333333</v>
      </c>
      <c r="N1147" s="120">
        <v>0.0</v>
      </c>
      <c r="O1147" s="121">
        <v>91.32</v>
      </c>
      <c r="P1147" s="117">
        <v>1.0</v>
      </c>
      <c r="Q1147" s="117">
        <f t="shared" si="2"/>
        <v>0</v>
      </c>
      <c r="R1147" s="122">
        <f>+(IF(((M1147*24)-P1147)&lt;0,0,((M1147*24)-P1147)*'Estimación de pérdidas'!$F$72))*N1147</f>
        <v>0</v>
      </c>
      <c r="S1147" s="123" t="s">
        <v>117</v>
      </c>
      <c r="T1147" s="124" t="s">
        <v>118</v>
      </c>
      <c r="U1147" s="124">
        <f t="shared" si="3"/>
        <v>1</v>
      </c>
      <c r="V1147" s="124">
        <v>2.0</v>
      </c>
      <c r="W1147" s="124"/>
      <c r="X1147" s="125"/>
      <c r="Y1147" s="126"/>
      <c r="Z1147" s="125">
        <f t="shared" si="4"/>
        <v>2</v>
      </c>
      <c r="AA1147" s="127" t="str">
        <f t="shared" si="5"/>
        <v>Bajo</v>
      </c>
      <c r="AB1147" s="128">
        <f t="shared" si="6"/>
        <v>5</v>
      </c>
      <c r="AC1147" s="129">
        <f t="shared" si="7"/>
        <v>0.08</v>
      </c>
    </row>
    <row r="1148" ht="14.25" hidden="1" customHeight="1">
      <c r="A1148" s="116" t="s">
        <v>847</v>
      </c>
      <c r="B1148" s="117" t="s">
        <v>848</v>
      </c>
      <c r="C1148" s="117" t="s">
        <v>3354</v>
      </c>
      <c r="D1148" s="117" t="s">
        <v>3355</v>
      </c>
      <c r="E1148" s="117" t="s">
        <v>3356</v>
      </c>
      <c r="F1148" s="117" t="s">
        <v>2456</v>
      </c>
      <c r="G1148" s="117" t="s">
        <v>592</v>
      </c>
      <c r="H1148" s="117" t="s">
        <v>593</v>
      </c>
      <c r="I1148" s="117">
        <v>1.0</v>
      </c>
      <c r="J1148" s="117">
        <v>1.0</v>
      </c>
      <c r="K1148" s="117" t="str">
        <f t="shared" si="1"/>
        <v>No</v>
      </c>
      <c r="L1148" s="118" t="s">
        <v>116</v>
      </c>
      <c r="M1148" s="119">
        <v>0.16666666666666666</v>
      </c>
      <c r="N1148" s="120">
        <v>0.0</v>
      </c>
      <c r="O1148" s="121">
        <v>91.32</v>
      </c>
      <c r="P1148" s="117">
        <v>1.0</v>
      </c>
      <c r="Q1148" s="117">
        <f t="shared" si="2"/>
        <v>0</v>
      </c>
      <c r="R1148" s="122">
        <f>+(IF(((M1148*24)-P1148)&lt;0,0,((M1148*24)-P1148)*'Estimación de pérdidas'!$F$72))*N1148</f>
        <v>0</v>
      </c>
      <c r="S1148" s="123" t="s">
        <v>117</v>
      </c>
      <c r="T1148" s="124" t="s">
        <v>119</v>
      </c>
      <c r="U1148" s="124">
        <f t="shared" si="3"/>
        <v>1</v>
      </c>
      <c r="V1148" s="124">
        <v>1.0</v>
      </c>
      <c r="W1148" s="124"/>
      <c r="X1148" s="125"/>
      <c r="Y1148" s="126"/>
      <c r="Z1148" s="125">
        <f t="shared" si="4"/>
        <v>1</v>
      </c>
      <c r="AA1148" s="127" t="str">
        <f t="shared" si="5"/>
        <v>Bajo</v>
      </c>
      <c r="AB1148" s="128">
        <f t="shared" si="6"/>
        <v>4</v>
      </c>
      <c r="AC1148" s="129">
        <f t="shared" si="7"/>
        <v>0.07589466384</v>
      </c>
    </row>
    <row r="1149" ht="14.25" hidden="1" customHeight="1">
      <c r="A1149" s="116" t="s">
        <v>300</v>
      </c>
      <c r="B1149" s="117" t="s">
        <v>2115</v>
      </c>
      <c r="C1149" s="117" t="s">
        <v>3357</v>
      </c>
      <c r="D1149" s="117" t="s">
        <v>3358</v>
      </c>
      <c r="E1149" s="117" t="s">
        <v>3123</v>
      </c>
      <c r="F1149" s="117" t="s">
        <v>585</v>
      </c>
      <c r="G1149" s="117" t="s">
        <v>2428</v>
      </c>
      <c r="H1149" s="117" t="s">
        <v>2429</v>
      </c>
      <c r="I1149" s="117">
        <v>1.0</v>
      </c>
      <c r="J1149" s="117">
        <v>1.0</v>
      </c>
      <c r="K1149" s="117" t="str">
        <f t="shared" si="1"/>
        <v>No</v>
      </c>
      <c r="L1149" s="118" t="s">
        <v>116</v>
      </c>
      <c r="M1149" s="119">
        <v>0.25</v>
      </c>
      <c r="N1149" s="120">
        <v>0.0</v>
      </c>
      <c r="O1149" s="121">
        <v>91.32</v>
      </c>
      <c r="P1149" s="117">
        <v>1.0</v>
      </c>
      <c r="Q1149" s="117">
        <f t="shared" si="2"/>
        <v>0</v>
      </c>
      <c r="R1149" s="122">
        <f>+(IF(((M1149*24)-P1149)&lt;0,0,((M1149*24)-P1149)*'Estimación de pérdidas'!$F$72))*N1149</f>
        <v>0</v>
      </c>
      <c r="S1149" s="123" t="s">
        <v>117</v>
      </c>
      <c r="T1149" s="124" t="s">
        <v>132</v>
      </c>
      <c r="U1149" s="124">
        <f t="shared" si="3"/>
        <v>1</v>
      </c>
      <c r="V1149" s="124">
        <v>1.0</v>
      </c>
      <c r="W1149" s="124"/>
      <c r="X1149" s="125"/>
      <c r="Y1149" s="126"/>
      <c r="Z1149" s="125">
        <f t="shared" si="4"/>
        <v>1</v>
      </c>
      <c r="AA1149" s="127" t="str">
        <f t="shared" si="5"/>
        <v>Bajo</v>
      </c>
      <c r="AB1149" s="128">
        <f t="shared" si="6"/>
        <v>1</v>
      </c>
      <c r="AC1149" s="129">
        <f t="shared" si="7"/>
        <v>0.02529822128</v>
      </c>
    </row>
    <row r="1150" ht="14.25" hidden="1" customHeight="1">
      <c r="A1150" s="116" t="s">
        <v>300</v>
      </c>
      <c r="B1150" s="117" t="s">
        <v>2115</v>
      </c>
      <c r="C1150" s="117" t="s">
        <v>3357</v>
      </c>
      <c r="D1150" s="117" t="s">
        <v>3359</v>
      </c>
      <c r="E1150" s="117" t="s">
        <v>3123</v>
      </c>
      <c r="F1150" s="117" t="s">
        <v>585</v>
      </c>
      <c r="G1150" s="117" t="s">
        <v>2428</v>
      </c>
      <c r="H1150" s="117" t="s">
        <v>2429</v>
      </c>
      <c r="I1150" s="117">
        <v>1.0</v>
      </c>
      <c r="J1150" s="117">
        <v>1.0</v>
      </c>
      <c r="K1150" s="117" t="str">
        <f t="shared" si="1"/>
        <v>No</v>
      </c>
      <c r="L1150" s="118" t="s">
        <v>116</v>
      </c>
      <c r="M1150" s="119">
        <v>0.25</v>
      </c>
      <c r="N1150" s="120">
        <v>0.0</v>
      </c>
      <c r="O1150" s="121">
        <v>91.32</v>
      </c>
      <c r="P1150" s="117">
        <v>1.0</v>
      </c>
      <c r="Q1150" s="117">
        <f t="shared" si="2"/>
        <v>0</v>
      </c>
      <c r="R1150" s="122">
        <f>+(IF(((M1150*24)-P1150)&lt;0,0,((M1150*24)-P1150)*'Estimación de pérdidas'!$F$72))*N1150</f>
        <v>0</v>
      </c>
      <c r="S1150" s="123" t="s">
        <v>117</v>
      </c>
      <c r="T1150" s="124" t="s">
        <v>132</v>
      </c>
      <c r="U1150" s="124">
        <f t="shared" si="3"/>
        <v>1</v>
      </c>
      <c r="V1150" s="124">
        <v>1.0</v>
      </c>
      <c r="W1150" s="124"/>
      <c r="X1150" s="125"/>
      <c r="Y1150" s="126"/>
      <c r="Z1150" s="125">
        <f t="shared" si="4"/>
        <v>1</v>
      </c>
      <c r="AA1150" s="127" t="str">
        <f t="shared" si="5"/>
        <v>Bajo</v>
      </c>
      <c r="AB1150" s="128">
        <f t="shared" si="6"/>
        <v>1</v>
      </c>
      <c r="AC1150" s="129">
        <f t="shared" si="7"/>
        <v>0.02529822128</v>
      </c>
    </row>
    <row r="1151" ht="14.25" hidden="1" customHeight="1">
      <c r="A1151" s="116" t="s">
        <v>300</v>
      </c>
      <c r="B1151" s="117" t="s">
        <v>2115</v>
      </c>
      <c r="C1151" s="117" t="s">
        <v>3357</v>
      </c>
      <c r="D1151" s="117" t="s">
        <v>3360</v>
      </c>
      <c r="E1151" s="117" t="s">
        <v>3123</v>
      </c>
      <c r="F1151" s="117" t="s">
        <v>585</v>
      </c>
      <c r="G1151" s="117" t="s">
        <v>2428</v>
      </c>
      <c r="H1151" s="117" t="s">
        <v>2429</v>
      </c>
      <c r="I1151" s="117">
        <v>1.0</v>
      </c>
      <c r="J1151" s="117">
        <v>1.0</v>
      </c>
      <c r="K1151" s="117" t="str">
        <f t="shared" si="1"/>
        <v>No</v>
      </c>
      <c r="L1151" s="118" t="s">
        <v>116</v>
      </c>
      <c r="M1151" s="119">
        <v>0.25</v>
      </c>
      <c r="N1151" s="120">
        <v>0.0</v>
      </c>
      <c r="O1151" s="121">
        <v>91.32</v>
      </c>
      <c r="P1151" s="117">
        <v>1.0</v>
      </c>
      <c r="Q1151" s="117">
        <f t="shared" si="2"/>
        <v>0</v>
      </c>
      <c r="R1151" s="122">
        <f>+(IF(((M1151*24)-P1151)&lt;0,0,((M1151*24)-P1151)*'Estimación de pérdidas'!$F$72))*N1151</f>
        <v>0</v>
      </c>
      <c r="S1151" s="123" t="s">
        <v>117</v>
      </c>
      <c r="T1151" s="124" t="s">
        <v>132</v>
      </c>
      <c r="U1151" s="124">
        <f t="shared" si="3"/>
        <v>1</v>
      </c>
      <c r="V1151" s="124">
        <v>1.0</v>
      </c>
      <c r="W1151" s="124"/>
      <c r="X1151" s="125"/>
      <c r="Y1151" s="126"/>
      <c r="Z1151" s="125">
        <f t="shared" si="4"/>
        <v>1</v>
      </c>
      <c r="AA1151" s="127" t="str">
        <f t="shared" si="5"/>
        <v>Bajo</v>
      </c>
      <c r="AB1151" s="128">
        <f t="shared" si="6"/>
        <v>1</v>
      </c>
      <c r="AC1151" s="129">
        <f t="shared" si="7"/>
        <v>0.02529822128</v>
      </c>
    </row>
    <row r="1152" ht="14.25" hidden="1" customHeight="1">
      <c r="A1152" s="116" t="s">
        <v>300</v>
      </c>
      <c r="B1152" s="117" t="s">
        <v>2115</v>
      </c>
      <c r="C1152" s="117" t="s">
        <v>3357</v>
      </c>
      <c r="D1152" s="117" t="s">
        <v>3361</v>
      </c>
      <c r="E1152" s="117" t="s">
        <v>3123</v>
      </c>
      <c r="F1152" s="117" t="s">
        <v>585</v>
      </c>
      <c r="G1152" s="117" t="s">
        <v>2428</v>
      </c>
      <c r="H1152" s="117" t="s">
        <v>2429</v>
      </c>
      <c r="I1152" s="117">
        <v>1.0</v>
      </c>
      <c r="J1152" s="117">
        <v>1.0</v>
      </c>
      <c r="K1152" s="117" t="str">
        <f t="shared" si="1"/>
        <v>No</v>
      </c>
      <c r="L1152" s="118" t="s">
        <v>116</v>
      </c>
      <c r="M1152" s="119">
        <v>0.25</v>
      </c>
      <c r="N1152" s="120">
        <v>0.0</v>
      </c>
      <c r="O1152" s="121">
        <v>91.32</v>
      </c>
      <c r="P1152" s="117">
        <v>1.0</v>
      </c>
      <c r="Q1152" s="117">
        <f t="shared" si="2"/>
        <v>0</v>
      </c>
      <c r="R1152" s="122">
        <f>+(IF(((M1152*24)-P1152)&lt;0,0,((M1152*24)-P1152)*'Estimación de pérdidas'!$F$72))*N1152</f>
        <v>0</v>
      </c>
      <c r="S1152" s="123" t="s">
        <v>117</v>
      </c>
      <c r="T1152" s="124" t="s">
        <v>132</v>
      </c>
      <c r="U1152" s="124">
        <f t="shared" si="3"/>
        <v>1</v>
      </c>
      <c r="V1152" s="124">
        <v>1.0</v>
      </c>
      <c r="W1152" s="124"/>
      <c r="X1152" s="125"/>
      <c r="Y1152" s="126"/>
      <c r="Z1152" s="125">
        <f t="shared" si="4"/>
        <v>1</v>
      </c>
      <c r="AA1152" s="127" t="str">
        <f t="shared" si="5"/>
        <v>Bajo</v>
      </c>
      <c r="AB1152" s="128">
        <f t="shared" si="6"/>
        <v>1</v>
      </c>
      <c r="AC1152" s="129">
        <f t="shared" si="7"/>
        <v>0.02529822128</v>
      </c>
    </row>
    <row r="1153" ht="14.25" hidden="1" customHeight="1">
      <c r="A1153" s="116" t="s">
        <v>300</v>
      </c>
      <c r="B1153" s="117" t="s">
        <v>2115</v>
      </c>
      <c r="C1153" s="117" t="s">
        <v>3357</v>
      </c>
      <c r="D1153" s="117" t="s">
        <v>3362</v>
      </c>
      <c r="E1153" s="117" t="s">
        <v>3123</v>
      </c>
      <c r="F1153" s="117" t="s">
        <v>585</v>
      </c>
      <c r="G1153" s="117" t="s">
        <v>2428</v>
      </c>
      <c r="H1153" s="117" t="s">
        <v>2429</v>
      </c>
      <c r="I1153" s="117">
        <v>1.0</v>
      </c>
      <c r="J1153" s="117">
        <v>1.0</v>
      </c>
      <c r="K1153" s="117" t="str">
        <f t="shared" si="1"/>
        <v>No</v>
      </c>
      <c r="L1153" s="118" t="s">
        <v>116</v>
      </c>
      <c r="M1153" s="119">
        <v>0.25</v>
      </c>
      <c r="N1153" s="120">
        <v>0.0</v>
      </c>
      <c r="O1153" s="121">
        <v>91.32</v>
      </c>
      <c r="P1153" s="117">
        <v>1.0</v>
      </c>
      <c r="Q1153" s="117">
        <f t="shared" si="2"/>
        <v>0</v>
      </c>
      <c r="R1153" s="122">
        <f>+(IF(((M1153*24)-P1153)&lt;0,0,((M1153*24)-P1153)*'Estimación de pérdidas'!$F$72))*N1153</f>
        <v>0</v>
      </c>
      <c r="S1153" s="123" t="s">
        <v>117</v>
      </c>
      <c r="T1153" s="124" t="s">
        <v>132</v>
      </c>
      <c r="U1153" s="124">
        <f t="shared" si="3"/>
        <v>1</v>
      </c>
      <c r="V1153" s="124">
        <v>1.0</v>
      </c>
      <c r="W1153" s="124"/>
      <c r="X1153" s="125"/>
      <c r="Y1153" s="126"/>
      <c r="Z1153" s="125">
        <f t="shared" si="4"/>
        <v>1</v>
      </c>
      <c r="AA1153" s="127" t="str">
        <f t="shared" si="5"/>
        <v>Bajo</v>
      </c>
      <c r="AB1153" s="128">
        <f t="shared" si="6"/>
        <v>1</v>
      </c>
      <c r="AC1153" s="129">
        <f t="shared" si="7"/>
        <v>0.02529822128</v>
      </c>
    </row>
    <row r="1154" ht="14.25" hidden="1" customHeight="1">
      <c r="A1154" s="116" t="s">
        <v>300</v>
      </c>
      <c r="B1154" s="117" t="s">
        <v>2115</v>
      </c>
      <c r="C1154" s="117" t="s">
        <v>3357</v>
      </c>
      <c r="D1154" s="117" t="s">
        <v>3363</v>
      </c>
      <c r="E1154" s="117" t="s">
        <v>3123</v>
      </c>
      <c r="F1154" s="117" t="s">
        <v>585</v>
      </c>
      <c r="G1154" s="117" t="s">
        <v>2428</v>
      </c>
      <c r="H1154" s="117" t="s">
        <v>2429</v>
      </c>
      <c r="I1154" s="117">
        <v>1.0</v>
      </c>
      <c r="J1154" s="117">
        <v>1.0</v>
      </c>
      <c r="K1154" s="117" t="str">
        <f t="shared" si="1"/>
        <v>No</v>
      </c>
      <c r="L1154" s="118" t="s">
        <v>116</v>
      </c>
      <c r="M1154" s="119">
        <v>0.25</v>
      </c>
      <c r="N1154" s="120">
        <v>0.0</v>
      </c>
      <c r="O1154" s="121">
        <v>91.32</v>
      </c>
      <c r="P1154" s="117">
        <v>1.0</v>
      </c>
      <c r="Q1154" s="117">
        <f t="shared" si="2"/>
        <v>0</v>
      </c>
      <c r="R1154" s="122">
        <f>+(IF(((M1154*24)-P1154)&lt;0,0,((M1154*24)-P1154)*'Estimación de pérdidas'!$F$72))*N1154</f>
        <v>0</v>
      </c>
      <c r="S1154" s="123" t="s">
        <v>117</v>
      </c>
      <c r="T1154" s="124" t="s">
        <v>132</v>
      </c>
      <c r="U1154" s="124">
        <f t="shared" si="3"/>
        <v>1</v>
      </c>
      <c r="V1154" s="124">
        <v>1.0</v>
      </c>
      <c r="W1154" s="124"/>
      <c r="X1154" s="125"/>
      <c r="Y1154" s="126"/>
      <c r="Z1154" s="125">
        <f t="shared" si="4"/>
        <v>1</v>
      </c>
      <c r="AA1154" s="127" t="str">
        <f t="shared" si="5"/>
        <v>Bajo</v>
      </c>
      <c r="AB1154" s="128">
        <f t="shared" si="6"/>
        <v>1</v>
      </c>
      <c r="AC1154" s="129">
        <f t="shared" si="7"/>
        <v>0.02529822128</v>
      </c>
    </row>
    <row r="1155" ht="14.25" hidden="1" customHeight="1">
      <c r="A1155" s="116" t="s">
        <v>300</v>
      </c>
      <c r="B1155" s="117" t="s">
        <v>2115</v>
      </c>
      <c r="C1155" s="117" t="s">
        <v>3357</v>
      </c>
      <c r="D1155" s="117" t="s">
        <v>3364</v>
      </c>
      <c r="E1155" s="117" t="s">
        <v>3123</v>
      </c>
      <c r="F1155" s="117" t="s">
        <v>585</v>
      </c>
      <c r="G1155" s="117" t="s">
        <v>2428</v>
      </c>
      <c r="H1155" s="117" t="s">
        <v>2429</v>
      </c>
      <c r="I1155" s="117">
        <v>1.0</v>
      </c>
      <c r="J1155" s="117">
        <v>1.0</v>
      </c>
      <c r="K1155" s="117" t="str">
        <f t="shared" si="1"/>
        <v>No</v>
      </c>
      <c r="L1155" s="118" t="s">
        <v>116</v>
      </c>
      <c r="M1155" s="119">
        <v>0.25</v>
      </c>
      <c r="N1155" s="120">
        <v>0.0</v>
      </c>
      <c r="O1155" s="121">
        <v>91.32</v>
      </c>
      <c r="P1155" s="117">
        <v>1.0</v>
      </c>
      <c r="Q1155" s="117">
        <f t="shared" si="2"/>
        <v>0</v>
      </c>
      <c r="R1155" s="122">
        <f>+(IF(((M1155*24)-P1155)&lt;0,0,((M1155*24)-P1155)*'Estimación de pérdidas'!$F$72))*N1155</f>
        <v>0</v>
      </c>
      <c r="S1155" s="123" t="s">
        <v>117</v>
      </c>
      <c r="T1155" s="124" t="s">
        <v>132</v>
      </c>
      <c r="U1155" s="124">
        <f t="shared" si="3"/>
        <v>1</v>
      </c>
      <c r="V1155" s="124">
        <v>1.0</v>
      </c>
      <c r="W1155" s="124"/>
      <c r="X1155" s="125"/>
      <c r="Y1155" s="126"/>
      <c r="Z1155" s="125">
        <f t="shared" si="4"/>
        <v>1</v>
      </c>
      <c r="AA1155" s="127" t="str">
        <f t="shared" si="5"/>
        <v>Bajo</v>
      </c>
      <c r="AB1155" s="128">
        <f t="shared" si="6"/>
        <v>1</v>
      </c>
      <c r="AC1155" s="129">
        <f t="shared" si="7"/>
        <v>0.02529822128</v>
      </c>
    </row>
    <row r="1156" ht="14.25" hidden="1" customHeight="1">
      <c r="A1156" s="116" t="s">
        <v>300</v>
      </c>
      <c r="B1156" s="117" t="s">
        <v>2115</v>
      </c>
      <c r="C1156" s="117" t="s">
        <v>3357</v>
      </c>
      <c r="D1156" s="117" t="s">
        <v>3365</v>
      </c>
      <c r="E1156" s="117" t="s">
        <v>3123</v>
      </c>
      <c r="F1156" s="117" t="s">
        <v>585</v>
      </c>
      <c r="G1156" s="117" t="s">
        <v>2428</v>
      </c>
      <c r="H1156" s="117" t="s">
        <v>2429</v>
      </c>
      <c r="I1156" s="117">
        <v>1.0</v>
      </c>
      <c r="J1156" s="117">
        <v>1.0</v>
      </c>
      <c r="K1156" s="117" t="str">
        <f t="shared" si="1"/>
        <v>No</v>
      </c>
      <c r="L1156" s="118" t="s">
        <v>116</v>
      </c>
      <c r="M1156" s="119">
        <v>0.25</v>
      </c>
      <c r="N1156" s="120">
        <v>0.0</v>
      </c>
      <c r="O1156" s="121">
        <v>91.32</v>
      </c>
      <c r="P1156" s="117">
        <v>1.0</v>
      </c>
      <c r="Q1156" s="117">
        <f t="shared" si="2"/>
        <v>0</v>
      </c>
      <c r="R1156" s="122">
        <f>+(IF(((M1156*24)-P1156)&lt;0,0,((M1156*24)-P1156)*'Estimación de pérdidas'!$F$72))*N1156</f>
        <v>0</v>
      </c>
      <c r="S1156" s="123" t="s">
        <v>117</v>
      </c>
      <c r="T1156" s="124" t="s">
        <v>132</v>
      </c>
      <c r="U1156" s="124">
        <f t="shared" si="3"/>
        <v>1</v>
      </c>
      <c r="V1156" s="124">
        <v>1.0</v>
      </c>
      <c r="W1156" s="124"/>
      <c r="X1156" s="125"/>
      <c r="Y1156" s="126"/>
      <c r="Z1156" s="125">
        <f t="shared" si="4"/>
        <v>1</v>
      </c>
      <c r="AA1156" s="127" t="str">
        <f t="shared" si="5"/>
        <v>Bajo</v>
      </c>
      <c r="AB1156" s="128">
        <f t="shared" si="6"/>
        <v>1</v>
      </c>
      <c r="AC1156" s="129">
        <f t="shared" si="7"/>
        <v>0.02529822128</v>
      </c>
    </row>
    <row r="1157" ht="14.25" hidden="1" customHeight="1">
      <c r="A1157" s="116" t="s">
        <v>300</v>
      </c>
      <c r="B1157" s="117" t="s">
        <v>2115</v>
      </c>
      <c r="C1157" s="117" t="s">
        <v>3357</v>
      </c>
      <c r="D1157" s="117" t="s">
        <v>3366</v>
      </c>
      <c r="E1157" s="117" t="s">
        <v>3123</v>
      </c>
      <c r="F1157" s="117" t="s">
        <v>585</v>
      </c>
      <c r="G1157" s="117" t="s">
        <v>2428</v>
      </c>
      <c r="H1157" s="117" t="s">
        <v>2429</v>
      </c>
      <c r="I1157" s="117">
        <v>1.0</v>
      </c>
      <c r="J1157" s="117">
        <v>1.0</v>
      </c>
      <c r="K1157" s="117" t="str">
        <f t="shared" si="1"/>
        <v>No</v>
      </c>
      <c r="L1157" s="118" t="s">
        <v>116</v>
      </c>
      <c r="M1157" s="119">
        <v>0.25</v>
      </c>
      <c r="N1157" s="120">
        <v>0.0</v>
      </c>
      <c r="O1157" s="121">
        <v>91.32</v>
      </c>
      <c r="P1157" s="117">
        <v>1.0</v>
      </c>
      <c r="Q1157" s="117">
        <f t="shared" si="2"/>
        <v>0</v>
      </c>
      <c r="R1157" s="122">
        <f>+(IF(((M1157*24)-P1157)&lt;0,0,((M1157*24)-P1157)*'Estimación de pérdidas'!$F$72))*N1157</f>
        <v>0</v>
      </c>
      <c r="S1157" s="123" t="s">
        <v>117</v>
      </c>
      <c r="T1157" s="124" t="s">
        <v>132</v>
      </c>
      <c r="U1157" s="124">
        <f t="shared" si="3"/>
        <v>1</v>
      </c>
      <c r="V1157" s="124">
        <v>1.0</v>
      </c>
      <c r="W1157" s="124"/>
      <c r="X1157" s="125"/>
      <c r="Y1157" s="126"/>
      <c r="Z1157" s="125">
        <f t="shared" si="4"/>
        <v>1</v>
      </c>
      <c r="AA1157" s="127" t="str">
        <f t="shared" si="5"/>
        <v>Bajo</v>
      </c>
      <c r="AB1157" s="128">
        <f t="shared" si="6"/>
        <v>1</v>
      </c>
      <c r="AC1157" s="129">
        <f t="shared" si="7"/>
        <v>0.02529822128</v>
      </c>
    </row>
    <row r="1158" ht="14.25" hidden="1" customHeight="1">
      <c r="A1158" s="116" t="s">
        <v>300</v>
      </c>
      <c r="B1158" s="117" t="s">
        <v>2115</v>
      </c>
      <c r="C1158" s="117" t="s">
        <v>3357</v>
      </c>
      <c r="D1158" s="117" t="s">
        <v>3367</v>
      </c>
      <c r="E1158" s="117" t="s">
        <v>3123</v>
      </c>
      <c r="F1158" s="117" t="s">
        <v>585</v>
      </c>
      <c r="G1158" s="117" t="s">
        <v>2428</v>
      </c>
      <c r="H1158" s="117" t="s">
        <v>2429</v>
      </c>
      <c r="I1158" s="117">
        <v>1.0</v>
      </c>
      <c r="J1158" s="117">
        <v>1.0</v>
      </c>
      <c r="K1158" s="117" t="str">
        <f t="shared" si="1"/>
        <v>No</v>
      </c>
      <c r="L1158" s="118" t="s">
        <v>116</v>
      </c>
      <c r="M1158" s="119">
        <v>0.25</v>
      </c>
      <c r="N1158" s="120">
        <v>0.0</v>
      </c>
      <c r="O1158" s="121">
        <v>91.32</v>
      </c>
      <c r="P1158" s="117">
        <v>1.0</v>
      </c>
      <c r="Q1158" s="117">
        <f t="shared" si="2"/>
        <v>0</v>
      </c>
      <c r="R1158" s="122">
        <f>+(IF(((M1158*24)-P1158)&lt;0,0,((M1158*24)-P1158)*'Estimación de pérdidas'!$F$72))*N1158</f>
        <v>0</v>
      </c>
      <c r="S1158" s="123" t="s">
        <v>117</v>
      </c>
      <c r="T1158" s="124" t="s">
        <v>132</v>
      </c>
      <c r="U1158" s="124">
        <f t="shared" si="3"/>
        <v>1</v>
      </c>
      <c r="V1158" s="124">
        <v>1.0</v>
      </c>
      <c r="W1158" s="124"/>
      <c r="X1158" s="125"/>
      <c r="Y1158" s="126"/>
      <c r="Z1158" s="125">
        <f t="shared" si="4"/>
        <v>1</v>
      </c>
      <c r="AA1158" s="127" t="str">
        <f t="shared" si="5"/>
        <v>Bajo</v>
      </c>
      <c r="AB1158" s="128">
        <f t="shared" si="6"/>
        <v>1</v>
      </c>
      <c r="AC1158" s="129">
        <f t="shared" si="7"/>
        <v>0.02529822128</v>
      </c>
    </row>
    <row r="1159" ht="14.25" hidden="1" customHeight="1">
      <c r="A1159" s="116" t="s">
        <v>300</v>
      </c>
      <c r="B1159" s="117" t="s">
        <v>2115</v>
      </c>
      <c r="C1159" s="117" t="s">
        <v>3357</v>
      </c>
      <c r="D1159" s="117" t="s">
        <v>3368</v>
      </c>
      <c r="E1159" s="117" t="s">
        <v>3123</v>
      </c>
      <c r="F1159" s="117" t="s">
        <v>585</v>
      </c>
      <c r="G1159" s="117" t="s">
        <v>2428</v>
      </c>
      <c r="H1159" s="117" t="s">
        <v>2429</v>
      </c>
      <c r="I1159" s="117">
        <v>1.0</v>
      </c>
      <c r="J1159" s="117">
        <v>1.0</v>
      </c>
      <c r="K1159" s="117" t="str">
        <f t="shared" si="1"/>
        <v>No</v>
      </c>
      <c r="L1159" s="118" t="s">
        <v>116</v>
      </c>
      <c r="M1159" s="119">
        <v>0.25</v>
      </c>
      <c r="N1159" s="120">
        <v>0.0</v>
      </c>
      <c r="O1159" s="121">
        <v>91.32</v>
      </c>
      <c r="P1159" s="117">
        <v>1.0</v>
      </c>
      <c r="Q1159" s="117">
        <f t="shared" si="2"/>
        <v>0</v>
      </c>
      <c r="R1159" s="122">
        <f>+(IF(((M1159*24)-P1159)&lt;0,0,((M1159*24)-P1159)*'Estimación de pérdidas'!$F$72))*N1159</f>
        <v>0</v>
      </c>
      <c r="S1159" s="123" t="s">
        <v>117</v>
      </c>
      <c r="T1159" s="124" t="s">
        <v>132</v>
      </c>
      <c r="U1159" s="124">
        <f t="shared" si="3"/>
        <v>1</v>
      </c>
      <c r="V1159" s="124">
        <v>1.0</v>
      </c>
      <c r="W1159" s="124"/>
      <c r="X1159" s="125"/>
      <c r="Y1159" s="126"/>
      <c r="Z1159" s="125">
        <f t="shared" si="4"/>
        <v>1</v>
      </c>
      <c r="AA1159" s="127" t="str">
        <f t="shared" si="5"/>
        <v>Bajo</v>
      </c>
      <c r="AB1159" s="128">
        <f t="shared" si="6"/>
        <v>1</v>
      </c>
      <c r="AC1159" s="129">
        <f t="shared" si="7"/>
        <v>0.02529822128</v>
      </c>
    </row>
    <row r="1160" ht="14.25" hidden="1" customHeight="1">
      <c r="A1160" s="116" t="s">
        <v>300</v>
      </c>
      <c r="B1160" s="117" t="s">
        <v>2115</v>
      </c>
      <c r="C1160" s="117" t="s">
        <v>3357</v>
      </c>
      <c r="D1160" s="117" t="s">
        <v>3369</v>
      </c>
      <c r="E1160" s="117" t="s">
        <v>3123</v>
      </c>
      <c r="F1160" s="117" t="s">
        <v>585</v>
      </c>
      <c r="G1160" s="117" t="s">
        <v>2428</v>
      </c>
      <c r="H1160" s="117" t="s">
        <v>2429</v>
      </c>
      <c r="I1160" s="117">
        <v>1.0</v>
      </c>
      <c r="J1160" s="117">
        <v>1.0</v>
      </c>
      <c r="K1160" s="117" t="str">
        <f t="shared" si="1"/>
        <v>No</v>
      </c>
      <c r="L1160" s="118" t="s">
        <v>116</v>
      </c>
      <c r="M1160" s="119">
        <v>0.25</v>
      </c>
      <c r="N1160" s="120">
        <v>0.0</v>
      </c>
      <c r="O1160" s="121">
        <v>91.32</v>
      </c>
      <c r="P1160" s="117">
        <v>1.0</v>
      </c>
      <c r="Q1160" s="117">
        <f t="shared" si="2"/>
        <v>0</v>
      </c>
      <c r="R1160" s="122">
        <f>+(IF(((M1160*24)-P1160)&lt;0,0,((M1160*24)-P1160)*'Estimación de pérdidas'!$F$72))*N1160</f>
        <v>0</v>
      </c>
      <c r="S1160" s="123" t="s">
        <v>117</v>
      </c>
      <c r="T1160" s="124" t="s">
        <v>132</v>
      </c>
      <c r="U1160" s="124">
        <f t="shared" si="3"/>
        <v>1</v>
      </c>
      <c r="V1160" s="124">
        <v>1.0</v>
      </c>
      <c r="W1160" s="124"/>
      <c r="X1160" s="125"/>
      <c r="Y1160" s="126"/>
      <c r="Z1160" s="125">
        <f t="shared" si="4"/>
        <v>1</v>
      </c>
      <c r="AA1160" s="127" t="str">
        <f t="shared" si="5"/>
        <v>Bajo</v>
      </c>
      <c r="AB1160" s="128">
        <f t="shared" si="6"/>
        <v>1</v>
      </c>
      <c r="AC1160" s="129">
        <f t="shared" si="7"/>
        <v>0.02529822128</v>
      </c>
    </row>
    <row r="1161" ht="14.25" hidden="1" customHeight="1">
      <c r="A1161" s="116" t="s">
        <v>3204</v>
      </c>
      <c r="B1161" s="117" t="s">
        <v>3204</v>
      </c>
      <c r="C1161" s="117" t="s">
        <v>3370</v>
      </c>
      <c r="D1161" s="117" t="s">
        <v>3371</v>
      </c>
      <c r="E1161" s="117" t="s">
        <v>3372</v>
      </c>
      <c r="F1161" s="117" t="s">
        <v>585</v>
      </c>
      <c r="G1161" s="117" t="s">
        <v>2428</v>
      </c>
      <c r="H1161" s="117" t="s">
        <v>2429</v>
      </c>
      <c r="I1161" s="117">
        <v>1.0</v>
      </c>
      <c r="J1161" s="117">
        <v>1.0</v>
      </c>
      <c r="K1161" s="117" t="str">
        <f t="shared" si="1"/>
        <v>No</v>
      </c>
      <c r="L1161" s="118" t="s">
        <v>116</v>
      </c>
      <c r="M1161" s="119">
        <v>0.25</v>
      </c>
      <c r="N1161" s="120">
        <v>0.0</v>
      </c>
      <c r="O1161" s="121">
        <v>91.32</v>
      </c>
      <c r="P1161" s="117">
        <v>1.0</v>
      </c>
      <c r="Q1161" s="117">
        <f t="shared" si="2"/>
        <v>0</v>
      </c>
      <c r="R1161" s="122">
        <f>+(IF(((M1161*24)-P1161)&lt;0,0,((M1161*24)-P1161)*'Estimación de pérdidas'!$F$72))*N1161</f>
        <v>0</v>
      </c>
      <c r="S1161" s="123" t="s">
        <v>117</v>
      </c>
      <c r="T1161" s="124" t="s">
        <v>132</v>
      </c>
      <c r="U1161" s="124">
        <f t="shared" si="3"/>
        <v>1</v>
      </c>
      <c r="V1161" s="124">
        <v>1.0</v>
      </c>
      <c r="W1161" s="124"/>
      <c r="X1161" s="125"/>
      <c r="Y1161" s="126"/>
      <c r="Z1161" s="125">
        <f t="shared" si="4"/>
        <v>1</v>
      </c>
      <c r="AA1161" s="127" t="str">
        <f t="shared" si="5"/>
        <v>Bajo</v>
      </c>
      <c r="AB1161" s="128">
        <f t="shared" si="6"/>
        <v>1</v>
      </c>
      <c r="AC1161" s="129">
        <f t="shared" si="7"/>
        <v>0.02529822128</v>
      </c>
    </row>
    <row r="1162" ht="14.25" hidden="1" customHeight="1">
      <c r="A1162" s="116" t="s">
        <v>480</v>
      </c>
      <c r="B1162" s="117" t="s">
        <v>481</v>
      </c>
      <c r="C1162" s="117" t="s">
        <v>3373</v>
      </c>
      <c r="D1162" s="117" t="s">
        <v>3374</v>
      </c>
      <c r="E1162" s="117" t="s">
        <v>3373</v>
      </c>
      <c r="F1162" s="117" t="s">
        <v>3375</v>
      </c>
      <c r="G1162" s="117" t="s">
        <v>171</v>
      </c>
      <c r="H1162" s="117" t="s">
        <v>172</v>
      </c>
      <c r="I1162" s="117">
        <v>1.0</v>
      </c>
      <c r="J1162" s="117">
        <v>1.0</v>
      </c>
      <c r="K1162" s="117" t="str">
        <f t="shared" si="1"/>
        <v>No</v>
      </c>
      <c r="L1162" s="118" t="s">
        <v>116</v>
      </c>
      <c r="M1162" s="119">
        <v>0.3333333333333333</v>
      </c>
      <c r="N1162" s="120">
        <v>0.0</v>
      </c>
      <c r="O1162" s="121"/>
      <c r="P1162" s="117">
        <v>0.0</v>
      </c>
      <c r="Q1162" s="117">
        <f t="shared" si="2"/>
        <v>0</v>
      </c>
      <c r="R1162" s="122">
        <f>+(IF(((M1162*24)-P1162)&lt;0,0,((M1162*24)-P1162)*'Estimación de pérdidas'!$F$72))*N1162</f>
        <v>0</v>
      </c>
      <c r="S1162" s="123" t="s">
        <v>117</v>
      </c>
      <c r="T1162" s="124" t="s">
        <v>119</v>
      </c>
      <c r="U1162" s="124">
        <f t="shared" si="3"/>
        <v>1</v>
      </c>
      <c r="V1162" s="124">
        <v>1.0</v>
      </c>
      <c r="W1162" s="124"/>
      <c r="X1162" s="125"/>
      <c r="Y1162" s="126"/>
      <c r="Z1162" s="125">
        <f t="shared" si="4"/>
        <v>1</v>
      </c>
      <c r="AA1162" s="127" t="str">
        <f t="shared" si="5"/>
        <v>Bajo</v>
      </c>
      <c r="AB1162" s="128">
        <f t="shared" si="6"/>
        <v>4</v>
      </c>
      <c r="AC1162" s="129">
        <f t="shared" si="7"/>
        <v>0.07589466384</v>
      </c>
    </row>
    <row r="1163" ht="14.25" hidden="1" customHeight="1">
      <c r="A1163" s="116" t="s">
        <v>480</v>
      </c>
      <c r="B1163" s="117" t="s">
        <v>481</v>
      </c>
      <c r="C1163" s="117" t="s">
        <v>3376</v>
      </c>
      <c r="D1163" s="117" t="s">
        <v>3377</v>
      </c>
      <c r="E1163" s="117" t="s">
        <v>3378</v>
      </c>
      <c r="F1163" s="117" t="s">
        <v>3379</v>
      </c>
      <c r="G1163" s="117" t="s">
        <v>592</v>
      </c>
      <c r="H1163" s="117" t="s">
        <v>593</v>
      </c>
      <c r="I1163" s="117">
        <v>1.0</v>
      </c>
      <c r="J1163" s="117">
        <v>1.0</v>
      </c>
      <c r="K1163" s="117" t="str">
        <f t="shared" si="1"/>
        <v>No</v>
      </c>
      <c r="L1163" s="118" t="s">
        <v>116</v>
      </c>
      <c r="M1163" s="119">
        <v>0.16666666666666666</v>
      </c>
      <c r="N1163" s="120">
        <v>0.0</v>
      </c>
      <c r="O1163" s="121"/>
      <c r="P1163" s="117">
        <v>0.0</v>
      </c>
      <c r="Q1163" s="117">
        <f t="shared" si="2"/>
        <v>0</v>
      </c>
      <c r="R1163" s="122">
        <f>+(IF(((M1163*24)-P1163)&lt;0,0,((M1163*24)-P1163)*'Estimación de pérdidas'!$F$72))*N1163</f>
        <v>0</v>
      </c>
      <c r="S1163" s="123" t="s">
        <v>117</v>
      </c>
      <c r="T1163" s="124" t="s">
        <v>119</v>
      </c>
      <c r="U1163" s="124">
        <f t="shared" si="3"/>
        <v>1</v>
      </c>
      <c r="V1163" s="124">
        <v>1.0</v>
      </c>
      <c r="W1163" s="124"/>
      <c r="X1163" s="125"/>
      <c r="Y1163" s="126"/>
      <c r="Z1163" s="125">
        <f t="shared" si="4"/>
        <v>1</v>
      </c>
      <c r="AA1163" s="127" t="str">
        <f t="shared" si="5"/>
        <v>Bajo</v>
      </c>
      <c r="AB1163" s="128">
        <f t="shared" si="6"/>
        <v>4</v>
      </c>
      <c r="AC1163" s="129">
        <f t="shared" si="7"/>
        <v>0.07589466384</v>
      </c>
    </row>
    <row r="1164" ht="14.25" hidden="1" customHeight="1">
      <c r="A1164" s="116" t="s">
        <v>480</v>
      </c>
      <c r="B1164" s="117" t="s">
        <v>511</v>
      </c>
      <c r="C1164" s="117" t="s">
        <v>332</v>
      </c>
      <c r="D1164" s="117" t="s">
        <v>3380</v>
      </c>
      <c r="E1164" s="117" t="s">
        <v>3381</v>
      </c>
      <c r="F1164" s="117" t="s">
        <v>335</v>
      </c>
      <c r="G1164" s="117" t="s">
        <v>336</v>
      </c>
      <c r="H1164" s="117" t="s">
        <v>337</v>
      </c>
      <c r="I1164" s="117">
        <v>1.0</v>
      </c>
      <c r="J1164" s="117">
        <v>1.0</v>
      </c>
      <c r="K1164" s="117" t="str">
        <f t="shared" si="1"/>
        <v>No</v>
      </c>
      <c r="L1164" s="118" t="s">
        <v>116</v>
      </c>
      <c r="M1164" s="119">
        <v>0.3333333333333333</v>
      </c>
      <c r="N1164" s="120">
        <v>0.0</v>
      </c>
      <c r="O1164" s="121">
        <v>91.32</v>
      </c>
      <c r="P1164" s="117">
        <v>1.0</v>
      </c>
      <c r="Q1164" s="117">
        <f t="shared" si="2"/>
        <v>0</v>
      </c>
      <c r="R1164" s="122">
        <f>+(IF(((M1164*24)-P1164)&lt;0,0,((M1164*24)-P1164)*'Estimación de pérdidas'!$F$72))*N1164</f>
        <v>0</v>
      </c>
      <c r="S1164" s="123" t="s">
        <v>117</v>
      </c>
      <c r="T1164" s="124" t="s">
        <v>118</v>
      </c>
      <c r="U1164" s="124">
        <f t="shared" si="3"/>
        <v>1</v>
      </c>
      <c r="V1164" s="124">
        <v>2.0</v>
      </c>
      <c r="W1164" s="124"/>
      <c r="X1164" s="125"/>
      <c r="Y1164" s="126"/>
      <c r="Z1164" s="125">
        <f t="shared" si="4"/>
        <v>2</v>
      </c>
      <c r="AA1164" s="127" t="str">
        <f t="shared" si="5"/>
        <v>Bajo</v>
      </c>
      <c r="AB1164" s="128">
        <f t="shared" si="6"/>
        <v>5</v>
      </c>
      <c r="AC1164" s="129">
        <f t="shared" si="7"/>
        <v>0.08</v>
      </c>
    </row>
    <row r="1165" ht="14.25" hidden="1" customHeight="1">
      <c r="A1165" s="116" t="s">
        <v>480</v>
      </c>
      <c r="B1165" s="117" t="s">
        <v>511</v>
      </c>
      <c r="C1165" s="117" t="s">
        <v>3382</v>
      </c>
      <c r="D1165" s="117" t="s">
        <v>3383</v>
      </c>
      <c r="E1165" s="117" t="s">
        <v>3382</v>
      </c>
      <c r="F1165" s="117" t="s">
        <v>3384</v>
      </c>
      <c r="G1165" s="117" t="s">
        <v>171</v>
      </c>
      <c r="H1165" s="117" t="s">
        <v>172</v>
      </c>
      <c r="I1165" s="117">
        <v>1.0</v>
      </c>
      <c r="J1165" s="117">
        <v>1.0</v>
      </c>
      <c r="K1165" s="117" t="str">
        <f t="shared" si="1"/>
        <v>No</v>
      </c>
      <c r="L1165" s="118" t="s">
        <v>116</v>
      </c>
      <c r="M1165" s="119">
        <v>0.3333333333333333</v>
      </c>
      <c r="N1165" s="120">
        <v>0.0</v>
      </c>
      <c r="O1165" s="121"/>
      <c r="P1165" s="117">
        <v>0.0</v>
      </c>
      <c r="Q1165" s="117">
        <f t="shared" si="2"/>
        <v>0</v>
      </c>
      <c r="R1165" s="122">
        <f>+(IF(((M1165*24)-P1165)&lt;0,0,((M1165*24)-P1165)*'Estimación de pérdidas'!$F$72))*N1165</f>
        <v>0</v>
      </c>
      <c r="S1165" s="123" t="s">
        <v>117</v>
      </c>
      <c r="T1165" s="124" t="s">
        <v>119</v>
      </c>
      <c r="U1165" s="124">
        <f t="shared" si="3"/>
        <v>1</v>
      </c>
      <c r="V1165" s="124">
        <v>1.0</v>
      </c>
      <c r="W1165" s="124"/>
      <c r="X1165" s="125"/>
      <c r="Y1165" s="126"/>
      <c r="Z1165" s="125">
        <f t="shared" si="4"/>
        <v>1</v>
      </c>
      <c r="AA1165" s="127" t="str">
        <f t="shared" si="5"/>
        <v>Bajo</v>
      </c>
      <c r="AB1165" s="128">
        <f t="shared" si="6"/>
        <v>4</v>
      </c>
      <c r="AC1165" s="129">
        <f t="shared" si="7"/>
        <v>0.07589466384</v>
      </c>
    </row>
    <row r="1166" ht="14.25" hidden="1" customHeight="1">
      <c r="A1166" s="116" t="s">
        <v>539</v>
      </c>
      <c r="B1166" s="117" t="s">
        <v>540</v>
      </c>
      <c r="C1166" s="117" t="s">
        <v>332</v>
      </c>
      <c r="D1166" s="117" t="s">
        <v>3385</v>
      </c>
      <c r="E1166" s="117" t="s">
        <v>3386</v>
      </c>
      <c r="F1166" s="117" t="s">
        <v>335</v>
      </c>
      <c r="G1166" s="117" t="s">
        <v>336</v>
      </c>
      <c r="H1166" s="117" t="s">
        <v>337</v>
      </c>
      <c r="I1166" s="117">
        <v>1.0</v>
      </c>
      <c r="J1166" s="117">
        <v>1.0</v>
      </c>
      <c r="K1166" s="117" t="str">
        <f t="shared" si="1"/>
        <v>No</v>
      </c>
      <c r="L1166" s="118" t="s">
        <v>116</v>
      </c>
      <c r="M1166" s="119">
        <v>0.3333333333333333</v>
      </c>
      <c r="N1166" s="120">
        <v>0.0</v>
      </c>
      <c r="O1166" s="121">
        <v>91.32</v>
      </c>
      <c r="P1166" s="117">
        <v>1.0</v>
      </c>
      <c r="Q1166" s="117">
        <f t="shared" si="2"/>
        <v>0</v>
      </c>
      <c r="R1166" s="122">
        <f>+(IF(((M1166*24)-P1166)&lt;0,0,((M1166*24)-P1166)*'Estimación de pérdidas'!$F$72))*N1166</f>
        <v>0</v>
      </c>
      <c r="S1166" s="123" t="s">
        <v>117</v>
      </c>
      <c r="T1166" s="124" t="s">
        <v>118</v>
      </c>
      <c r="U1166" s="124">
        <f t="shared" si="3"/>
        <v>1</v>
      </c>
      <c r="V1166" s="124">
        <v>2.0</v>
      </c>
      <c r="W1166" s="124"/>
      <c r="X1166" s="125"/>
      <c r="Y1166" s="126"/>
      <c r="Z1166" s="125">
        <f t="shared" si="4"/>
        <v>2</v>
      </c>
      <c r="AA1166" s="127" t="str">
        <f t="shared" si="5"/>
        <v>Bajo</v>
      </c>
      <c r="AB1166" s="128">
        <f t="shared" si="6"/>
        <v>5</v>
      </c>
      <c r="AC1166" s="129">
        <f t="shared" si="7"/>
        <v>0.08</v>
      </c>
    </row>
    <row r="1167" ht="14.25" hidden="1" customHeight="1">
      <c r="A1167" s="116" t="s">
        <v>539</v>
      </c>
      <c r="B1167" s="117" t="s">
        <v>540</v>
      </c>
      <c r="C1167" s="117" t="s">
        <v>3387</v>
      </c>
      <c r="D1167" s="117" t="s">
        <v>3388</v>
      </c>
      <c r="E1167" s="117" t="s">
        <v>3389</v>
      </c>
      <c r="F1167" s="117" t="s">
        <v>3390</v>
      </c>
      <c r="G1167" s="117" t="s">
        <v>592</v>
      </c>
      <c r="H1167" s="117" t="s">
        <v>593</v>
      </c>
      <c r="I1167" s="117">
        <v>1.0</v>
      </c>
      <c r="J1167" s="117">
        <v>1.0</v>
      </c>
      <c r="K1167" s="117" t="str">
        <f t="shared" si="1"/>
        <v>No</v>
      </c>
      <c r="L1167" s="118" t="s">
        <v>116</v>
      </c>
      <c r="M1167" s="119">
        <v>0.16666666666666666</v>
      </c>
      <c r="N1167" s="120">
        <v>0.0</v>
      </c>
      <c r="O1167" s="121">
        <v>91.32</v>
      </c>
      <c r="P1167" s="117">
        <v>1.0</v>
      </c>
      <c r="Q1167" s="117">
        <f t="shared" si="2"/>
        <v>0</v>
      </c>
      <c r="R1167" s="122">
        <f>+(IF(((M1167*24)-P1167)&lt;0,0,((M1167*24)-P1167)*'Estimación de pérdidas'!$F$72))*N1167</f>
        <v>0</v>
      </c>
      <c r="S1167" s="123" t="s">
        <v>117</v>
      </c>
      <c r="T1167" s="124" t="s">
        <v>119</v>
      </c>
      <c r="U1167" s="124">
        <f t="shared" si="3"/>
        <v>1</v>
      </c>
      <c r="V1167" s="124">
        <v>1.0</v>
      </c>
      <c r="W1167" s="124"/>
      <c r="X1167" s="125"/>
      <c r="Y1167" s="126"/>
      <c r="Z1167" s="125">
        <f t="shared" si="4"/>
        <v>1</v>
      </c>
      <c r="AA1167" s="127" t="str">
        <f t="shared" si="5"/>
        <v>Bajo</v>
      </c>
      <c r="AB1167" s="128">
        <f t="shared" si="6"/>
        <v>4</v>
      </c>
      <c r="AC1167" s="129">
        <f t="shared" si="7"/>
        <v>0.07589466384</v>
      </c>
    </row>
    <row r="1168" ht="14.25" hidden="1" customHeight="1">
      <c r="A1168" s="116" t="s">
        <v>539</v>
      </c>
      <c r="B1168" s="117" t="s">
        <v>540</v>
      </c>
      <c r="C1168" s="117" t="s">
        <v>3391</v>
      </c>
      <c r="D1168" s="117" t="s">
        <v>3392</v>
      </c>
      <c r="E1168" s="117" t="s">
        <v>3393</v>
      </c>
      <c r="F1168" s="117" t="s">
        <v>3394</v>
      </c>
      <c r="G1168" s="117" t="s">
        <v>592</v>
      </c>
      <c r="H1168" s="117" t="s">
        <v>593</v>
      </c>
      <c r="I1168" s="117">
        <v>1.0</v>
      </c>
      <c r="J1168" s="117">
        <v>1.0</v>
      </c>
      <c r="K1168" s="117" t="str">
        <f t="shared" si="1"/>
        <v>No</v>
      </c>
      <c r="L1168" s="118" t="s">
        <v>116</v>
      </c>
      <c r="M1168" s="119">
        <v>0.16666666666666666</v>
      </c>
      <c r="N1168" s="120">
        <v>0.0</v>
      </c>
      <c r="O1168" s="121">
        <v>91.32</v>
      </c>
      <c r="P1168" s="117">
        <v>1.0</v>
      </c>
      <c r="Q1168" s="117">
        <f t="shared" si="2"/>
        <v>0</v>
      </c>
      <c r="R1168" s="122">
        <f>+(IF(((M1168*24)-P1168)&lt;0,0,((M1168*24)-P1168)*'Estimación de pérdidas'!$F$72))*N1168</f>
        <v>0</v>
      </c>
      <c r="S1168" s="123" t="s">
        <v>117</v>
      </c>
      <c r="T1168" s="124" t="s">
        <v>119</v>
      </c>
      <c r="U1168" s="124">
        <f t="shared" si="3"/>
        <v>1</v>
      </c>
      <c r="V1168" s="124">
        <v>1.0</v>
      </c>
      <c r="W1168" s="124"/>
      <c r="X1168" s="125"/>
      <c r="Y1168" s="126"/>
      <c r="Z1168" s="125">
        <f t="shared" si="4"/>
        <v>1</v>
      </c>
      <c r="AA1168" s="127" t="str">
        <f t="shared" si="5"/>
        <v>Bajo</v>
      </c>
      <c r="AB1168" s="128">
        <f t="shared" si="6"/>
        <v>4</v>
      </c>
      <c r="AC1168" s="129">
        <f t="shared" si="7"/>
        <v>0.07589466384</v>
      </c>
    </row>
    <row r="1169" ht="14.25" hidden="1" customHeight="1">
      <c r="A1169" s="116" t="s">
        <v>539</v>
      </c>
      <c r="B1169" s="117" t="s">
        <v>540</v>
      </c>
      <c r="C1169" s="117" t="s">
        <v>3395</v>
      </c>
      <c r="D1169" s="117" t="s">
        <v>3396</v>
      </c>
      <c r="E1169" s="117" t="s">
        <v>3397</v>
      </c>
      <c r="F1169" s="117" t="s">
        <v>3398</v>
      </c>
      <c r="G1169" s="117" t="s">
        <v>592</v>
      </c>
      <c r="H1169" s="117" t="s">
        <v>593</v>
      </c>
      <c r="I1169" s="117">
        <v>1.0</v>
      </c>
      <c r="J1169" s="117">
        <v>1.0</v>
      </c>
      <c r="K1169" s="117" t="str">
        <f t="shared" si="1"/>
        <v>No</v>
      </c>
      <c r="L1169" s="118" t="s">
        <v>116</v>
      </c>
      <c r="M1169" s="119">
        <v>0.16666666666666666</v>
      </c>
      <c r="N1169" s="120">
        <v>0.0</v>
      </c>
      <c r="O1169" s="121">
        <v>91.32</v>
      </c>
      <c r="P1169" s="117">
        <v>1.0</v>
      </c>
      <c r="Q1169" s="117">
        <f t="shared" si="2"/>
        <v>0</v>
      </c>
      <c r="R1169" s="122">
        <f>+(IF(((M1169*24)-P1169)&lt;0,0,((M1169*24)-P1169)*'Estimación de pérdidas'!$F$72))*N1169</f>
        <v>0</v>
      </c>
      <c r="S1169" s="123" t="s">
        <v>117</v>
      </c>
      <c r="T1169" s="124" t="s">
        <v>119</v>
      </c>
      <c r="U1169" s="124">
        <f t="shared" si="3"/>
        <v>1</v>
      </c>
      <c r="V1169" s="124">
        <v>1.0</v>
      </c>
      <c r="W1169" s="124"/>
      <c r="X1169" s="125"/>
      <c r="Y1169" s="126"/>
      <c r="Z1169" s="125">
        <f t="shared" si="4"/>
        <v>1</v>
      </c>
      <c r="AA1169" s="127" t="str">
        <f t="shared" si="5"/>
        <v>Bajo</v>
      </c>
      <c r="AB1169" s="128">
        <f t="shared" si="6"/>
        <v>4</v>
      </c>
      <c r="AC1169" s="129">
        <f t="shared" si="7"/>
        <v>0.07589466384</v>
      </c>
    </row>
    <row r="1170" ht="14.25" hidden="1" customHeight="1">
      <c r="A1170" s="116" t="s">
        <v>539</v>
      </c>
      <c r="B1170" s="117" t="s">
        <v>855</v>
      </c>
      <c r="C1170" s="117" t="s">
        <v>3399</v>
      </c>
      <c r="D1170" s="117" t="s">
        <v>3400</v>
      </c>
      <c r="E1170" s="117" t="s">
        <v>3401</v>
      </c>
      <c r="F1170" s="117" t="s">
        <v>3402</v>
      </c>
      <c r="G1170" s="117" t="s">
        <v>592</v>
      </c>
      <c r="H1170" s="117" t="s">
        <v>593</v>
      </c>
      <c r="I1170" s="117">
        <v>1.0</v>
      </c>
      <c r="J1170" s="117">
        <v>1.0</v>
      </c>
      <c r="K1170" s="117" t="str">
        <f t="shared" si="1"/>
        <v>No</v>
      </c>
      <c r="L1170" s="118" t="s">
        <v>116</v>
      </c>
      <c r="M1170" s="119">
        <v>0.16666666666666666</v>
      </c>
      <c r="N1170" s="120">
        <v>0.0</v>
      </c>
      <c r="O1170" s="121">
        <v>91.32</v>
      </c>
      <c r="P1170" s="117">
        <v>1.0</v>
      </c>
      <c r="Q1170" s="117">
        <f t="shared" si="2"/>
        <v>0</v>
      </c>
      <c r="R1170" s="122">
        <f>+(IF(((M1170*24)-P1170)&lt;0,0,((M1170*24)-P1170)*'Estimación de pérdidas'!$F$72))*N1170</f>
        <v>0</v>
      </c>
      <c r="S1170" s="123" t="s">
        <v>117</v>
      </c>
      <c r="T1170" s="124" t="s">
        <v>119</v>
      </c>
      <c r="U1170" s="124">
        <f t="shared" si="3"/>
        <v>1</v>
      </c>
      <c r="V1170" s="124">
        <v>1.0</v>
      </c>
      <c r="W1170" s="124"/>
      <c r="X1170" s="125"/>
      <c r="Y1170" s="126"/>
      <c r="Z1170" s="125">
        <f t="shared" si="4"/>
        <v>1</v>
      </c>
      <c r="AA1170" s="127" t="str">
        <f t="shared" si="5"/>
        <v>Bajo</v>
      </c>
      <c r="AB1170" s="128">
        <f t="shared" si="6"/>
        <v>4</v>
      </c>
      <c r="AC1170" s="129">
        <f t="shared" si="7"/>
        <v>0.07589466384</v>
      </c>
    </row>
    <row r="1171" ht="14.25" hidden="1" customHeight="1">
      <c r="A1171" s="116" t="s">
        <v>539</v>
      </c>
      <c r="B1171" s="117" t="s">
        <v>855</v>
      </c>
      <c r="C1171" s="117" t="s">
        <v>3403</v>
      </c>
      <c r="D1171" s="117" t="s">
        <v>3404</v>
      </c>
      <c r="E1171" s="117" t="s">
        <v>3405</v>
      </c>
      <c r="F1171" s="117" t="s">
        <v>3406</v>
      </c>
      <c r="G1171" s="117" t="s">
        <v>592</v>
      </c>
      <c r="H1171" s="117" t="s">
        <v>593</v>
      </c>
      <c r="I1171" s="117">
        <v>1.0</v>
      </c>
      <c r="J1171" s="117">
        <v>1.0</v>
      </c>
      <c r="K1171" s="117" t="str">
        <f t="shared" si="1"/>
        <v>No</v>
      </c>
      <c r="L1171" s="118" t="s">
        <v>116</v>
      </c>
      <c r="M1171" s="119">
        <v>0.16666666666666666</v>
      </c>
      <c r="N1171" s="120">
        <v>0.0</v>
      </c>
      <c r="O1171" s="121">
        <v>91.32</v>
      </c>
      <c r="P1171" s="117">
        <v>1.0</v>
      </c>
      <c r="Q1171" s="117">
        <f t="shared" si="2"/>
        <v>0</v>
      </c>
      <c r="R1171" s="122">
        <f>+(IF(((M1171*24)-P1171)&lt;0,0,((M1171*24)-P1171)*'Estimación de pérdidas'!$F$72))*N1171</f>
        <v>0</v>
      </c>
      <c r="S1171" s="123" t="s">
        <v>117</v>
      </c>
      <c r="T1171" s="124" t="s">
        <v>119</v>
      </c>
      <c r="U1171" s="124">
        <f t="shared" si="3"/>
        <v>1</v>
      </c>
      <c r="V1171" s="124">
        <v>1.0</v>
      </c>
      <c r="W1171" s="124"/>
      <c r="X1171" s="125"/>
      <c r="Y1171" s="126"/>
      <c r="Z1171" s="125">
        <f t="shared" si="4"/>
        <v>1</v>
      </c>
      <c r="AA1171" s="127" t="str">
        <f t="shared" si="5"/>
        <v>Bajo</v>
      </c>
      <c r="AB1171" s="128">
        <f t="shared" si="6"/>
        <v>4</v>
      </c>
      <c r="AC1171" s="129">
        <f t="shared" si="7"/>
        <v>0.07589466384</v>
      </c>
    </row>
    <row r="1172" ht="14.25" hidden="1" customHeight="1">
      <c r="A1172" s="116" t="s">
        <v>539</v>
      </c>
      <c r="B1172" s="117" t="s">
        <v>855</v>
      </c>
      <c r="C1172" s="117" t="s">
        <v>3407</v>
      </c>
      <c r="D1172" s="117" t="s">
        <v>3408</v>
      </c>
      <c r="E1172" s="117" t="s">
        <v>3409</v>
      </c>
      <c r="F1172" s="117" t="s">
        <v>3410</v>
      </c>
      <c r="G1172" s="117" t="s">
        <v>592</v>
      </c>
      <c r="H1172" s="117" t="s">
        <v>593</v>
      </c>
      <c r="I1172" s="117">
        <v>1.0</v>
      </c>
      <c r="J1172" s="117">
        <v>1.0</v>
      </c>
      <c r="K1172" s="117" t="str">
        <f t="shared" si="1"/>
        <v>No</v>
      </c>
      <c r="L1172" s="118" t="s">
        <v>116</v>
      </c>
      <c r="M1172" s="119">
        <v>0.16666666666666666</v>
      </c>
      <c r="N1172" s="120">
        <v>0.0</v>
      </c>
      <c r="O1172" s="121">
        <v>91.32</v>
      </c>
      <c r="P1172" s="117">
        <v>1.0</v>
      </c>
      <c r="Q1172" s="117">
        <f t="shared" si="2"/>
        <v>0</v>
      </c>
      <c r="R1172" s="122">
        <f>+(IF(((M1172*24)-P1172)&lt;0,0,((M1172*24)-P1172)*'Estimación de pérdidas'!$F$72))*N1172</f>
        <v>0</v>
      </c>
      <c r="S1172" s="123" t="s">
        <v>117</v>
      </c>
      <c r="T1172" s="124" t="s">
        <v>119</v>
      </c>
      <c r="U1172" s="124">
        <f t="shared" si="3"/>
        <v>1</v>
      </c>
      <c r="V1172" s="124">
        <v>1.0</v>
      </c>
      <c r="W1172" s="124"/>
      <c r="X1172" s="125"/>
      <c r="Y1172" s="126"/>
      <c r="Z1172" s="125">
        <f t="shared" si="4"/>
        <v>1</v>
      </c>
      <c r="AA1172" s="127" t="str">
        <f t="shared" si="5"/>
        <v>Bajo</v>
      </c>
      <c r="AB1172" s="128">
        <f t="shared" si="6"/>
        <v>4</v>
      </c>
      <c r="AC1172" s="129">
        <f t="shared" si="7"/>
        <v>0.07589466384</v>
      </c>
    </row>
    <row r="1173" ht="14.25" hidden="1" customHeight="1">
      <c r="A1173" s="116" t="s">
        <v>539</v>
      </c>
      <c r="B1173" s="117" t="s">
        <v>855</v>
      </c>
      <c r="C1173" s="117" t="s">
        <v>332</v>
      </c>
      <c r="D1173" s="117" t="s">
        <v>3411</v>
      </c>
      <c r="E1173" s="117" t="s">
        <v>3412</v>
      </c>
      <c r="F1173" s="117" t="s">
        <v>335</v>
      </c>
      <c r="G1173" s="117" t="s">
        <v>336</v>
      </c>
      <c r="H1173" s="117" t="s">
        <v>337</v>
      </c>
      <c r="I1173" s="117">
        <v>1.0</v>
      </c>
      <c r="J1173" s="117">
        <v>1.0</v>
      </c>
      <c r="K1173" s="117" t="str">
        <f t="shared" si="1"/>
        <v>No</v>
      </c>
      <c r="L1173" s="118" t="s">
        <v>116</v>
      </c>
      <c r="M1173" s="119">
        <v>0.3333333333333333</v>
      </c>
      <c r="N1173" s="120">
        <v>0.0</v>
      </c>
      <c r="O1173" s="121">
        <v>91.32</v>
      </c>
      <c r="P1173" s="117">
        <v>1.0</v>
      </c>
      <c r="Q1173" s="117">
        <f t="shared" si="2"/>
        <v>0</v>
      </c>
      <c r="R1173" s="122">
        <f>+(IF(((M1173*24)-P1173)&lt;0,0,((M1173*24)-P1173)*'Estimación de pérdidas'!$F$72))*N1173</f>
        <v>0</v>
      </c>
      <c r="S1173" s="123" t="s">
        <v>117</v>
      </c>
      <c r="T1173" s="124" t="s">
        <v>118</v>
      </c>
      <c r="U1173" s="124">
        <f t="shared" si="3"/>
        <v>1</v>
      </c>
      <c r="V1173" s="124">
        <v>2.0</v>
      </c>
      <c r="W1173" s="124"/>
      <c r="X1173" s="125"/>
      <c r="Y1173" s="126"/>
      <c r="Z1173" s="125">
        <f t="shared" si="4"/>
        <v>2</v>
      </c>
      <c r="AA1173" s="127" t="str">
        <f t="shared" si="5"/>
        <v>Bajo</v>
      </c>
      <c r="AB1173" s="128">
        <f t="shared" si="6"/>
        <v>5</v>
      </c>
      <c r="AC1173" s="129">
        <f t="shared" si="7"/>
        <v>0.08</v>
      </c>
    </row>
    <row r="1174" ht="14.25" hidden="1" customHeight="1">
      <c r="A1174" s="116" t="s">
        <v>539</v>
      </c>
      <c r="B1174" s="117" t="s">
        <v>855</v>
      </c>
      <c r="C1174" s="117" t="s">
        <v>3413</v>
      </c>
      <c r="D1174" s="117" t="s">
        <v>3414</v>
      </c>
      <c r="E1174" s="117" t="s">
        <v>3413</v>
      </c>
      <c r="F1174" s="117" t="s">
        <v>3415</v>
      </c>
      <c r="G1174" s="117" t="s">
        <v>171</v>
      </c>
      <c r="H1174" s="117" t="s">
        <v>172</v>
      </c>
      <c r="I1174" s="117">
        <v>1.0</v>
      </c>
      <c r="J1174" s="117">
        <v>1.0</v>
      </c>
      <c r="K1174" s="117" t="str">
        <f t="shared" si="1"/>
        <v>No</v>
      </c>
      <c r="L1174" s="118" t="s">
        <v>116</v>
      </c>
      <c r="M1174" s="119">
        <v>0.3333333333333333</v>
      </c>
      <c r="N1174" s="120">
        <v>0.0</v>
      </c>
      <c r="O1174" s="121"/>
      <c r="P1174" s="117">
        <v>0.0</v>
      </c>
      <c r="Q1174" s="117">
        <f t="shared" si="2"/>
        <v>0</v>
      </c>
      <c r="R1174" s="122">
        <f>+(IF(((M1174*24)-P1174)&lt;0,0,((M1174*24)-P1174)*'Estimación de pérdidas'!$F$72))*N1174</f>
        <v>0</v>
      </c>
      <c r="S1174" s="123" t="s">
        <v>117</v>
      </c>
      <c r="T1174" s="124" t="s">
        <v>119</v>
      </c>
      <c r="U1174" s="124">
        <f t="shared" si="3"/>
        <v>1</v>
      </c>
      <c r="V1174" s="124">
        <v>1.0</v>
      </c>
      <c r="W1174" s="124"/>
      <c r="X1174" s="125"/>
      <c r="Y1174" s="126"/>
      <c r="Z1174" s="125">
        <f t="shared" si="4"/>
        <v>1</v>
      </c>
      <c r="AA1174" s="127" t="str">
        <f t="shared" si="5"/>
        <v>Bajo</v>
      </c>
      <c r="AB1174" s="128">
        <f t="shared" si="6"/>
        <v>4</v>
      </c>
      <c r="AC1174" s="129">
        <f t="shared" si="7"/>
        <v>0.07589466384</v>
      </c>
    </row>
    <row r="1175" ht="14.25" hidden="1" customHeight="1">
      <c r="A1175" s="116" t="s">
        <v>539</v>
      </c>
      <c r="B1175" s="117" t="s">
        <v>855</v>
      </c>
      <c r="C1175" s="117" t="s">
        <v>3416</v>
      </c>
      <c r="D1175" s="117" t="s">
        <v>3417</v>
      </c>
      <c r="E1175" s="117" t="s">
        <v>3416</v>
      </c>
      <c r="F1175" s="117" t="s">
        <v>3418</v>
      </c>
      <c r="G1175" s="117" t="s">
        <v>171</v>
      </c>
      <c r="H1175" s="117" t="s">
        <v>172</v>
      </c>
      <c r="I1175" s="117">
        <v>1.0</v>
      </c>
      <c r="J1175" s="117">
        <v>1.0</v>
      </c>
      <c r="K1175" s="117" t="str">
        <f t="shared" si="1"/>
        <v>No</v>
      </c>
      <c r="L1175" s="118" t="s">
        <v>116</v>
      </c>
      <c r="M1175" s="119">
        <v>0.3333333333333333</v>
      </c>
      <c r="N1175" s="120">
        <v>0.0</v>
      </c>
      <c r="O1175" s="121"/>
      <c r="P1175" s="117">
        <v>0.0</v>
      </c>
      <c r="Q1175" s="117">
        <f t="shared" si="2"/>
        <v>0</v>
      </c>
      <c r="R1175" s="122">
        <f>+(IF(((M1175*24)-P1175)&lt;0,0,((M1175*24)-P1175)*'Estimación de pérdidas'!$F$72))*N1175</f>
        <v>0</v>
      </c>
      <c r="S1175" s="123" t="s">
        <v>117</v>
      </c>
      <c r="T1175" s="124" t="s">
        <v>119</v>
      </c>
      <c r="U1175" s="124">
        <f t="shared" si="3"/>
        <v>1</v>
      </c>
      <c r="V1175" s="124">
        <v>1.0</v>
      </c>
      <c r="W1175" s="124"/>
      <c r="X1175" s="125"/>
      <c r="Y1175" s="126"/>
      <c r="Z1175" s="125">
        <f t="shared" si="4"/>
        <v>1</v>
      </c>
      <c r="AA1175" s="127" t="str">
        <f t="shared" si="5"/>
        <v>Bajo</v>
      </c>
      <c r="AB1175" s="128">
        <f t="shared" si="6"/>
        <v>4</v>
      </c>
      <c r="AC1175" s="129">
        <f t="shared" si="7"/>
        <v>0.07589466384</v>
      </c>
    </row>
    <row r="1176" ht="14.25" hidden="1" customHeight="1">
      <c r="A1176" s="116" t="s">
        <v>539</v>
      </c>
      <c r="B1176" s="117" t="s">
        <v>575</v>
      </c>
      <c r="C1176" s="117" t="s">
        <v>3419</v>
      </c>
      <c r="D1176" s="117" t="s">
        <v>3420</v>
      </c>
      <c r="E1176" s="117" t="s">
        <v>3421</v>
      </c>
      <c r="F1176" s="117" t="s">
        <v>3422</v>
      </c>
      <c r="G1176" s="117" t="s">
        <v>592</v>
      </c>
      <c r="H1176" s="117" t="s">
        <v>593</v>
      </c>
      <c r="I1176" s="117">
        <v>1.0</v>
      </c>
      <c r="J1176" s="117">
        <v>1.0</v>
      </c>
      <c r="K1176" s="117" t="str">
        <f t="shared" si="1"/>
        <v>No</v>
      </c>
      <c r="L1176" s="118" t="s">
        <v>116</v>
      </c>
      <c r="M1176" s="119">
        <v>0.16666666666666666</v>
      </c>
      <c r="N1176" s="120">
        <v>0.0</v>
      </c>
      <c r="O1176" s="121"/>
      <c r="P1176" s="117">
        <v>0.0</v>
      </c>
      <c r="Q1176" s="117">
        <f t="shared" si="2"/>
        <v>0</v>
      </c>
      <c r="R1176" s="122">
        <f>+(IF(((M1176*24)-P1176)&lt;0,0,((M1176*24)-P1176)*'Estimación de pérdidas'!$F$72))*N1176</f>
        <v>0</v>
      </c>
      <c r="S1176" s="123" t="s">
        <v>117</v>
      </c>
      <c r="T1176" s="124" t="s">
        <v>119</v>
      </c>
      <c r="U1176" s="124">
        <f t="shared" si="3"/>
        <v>1</v>
      </c>
      <c r="V1176" s="124">
        <v>1.0</v>
      </c>
      <c r="W1176" s="124"/>
      <c r="X1176" s="125"/>
      <c r="Y1176" s="126"/>
      <c r="Z1176" s="125">
        <f t="shared" si="4"/>
        <v>1</v>
      </c>
      <c r="AA1176" s="127" t="str">
        <f t="shared" si="5"/>
        <v>Bajo</v>
      </c>
      <c r="AB1176" s="128">
        <f t="shared" si="6"/>
        <v>4</v>
      </c>
      <c r="AC1176" s="129">
        <f t="shared" si="7"/>
        <v>0.07589466384</v>
      </c>
    </row>
    <row r="1177" ht="14.25" hidden="1" customHeight="1">
      <c r="A1177" s="116" t="s">
        <v>539</v>
      </c>
      <c r="B1177" s="117" t="s">
        <v>575</v>
      </c>
      <c r="C1177" s="117" t="s">
        <v>3423</v>
      </c>
      <c r="D1177" s="117" t="s">
        <v>3424</v>
      </c>
      <c r="E1177" s="117" t="s">
        <v>3423</v>
      </c>
      <c r="F1177" s="117" t="s">
        <v>3425</v>
      </c>
      <c r="G1177" s="117" t="s">
        <v>592</v>
      </c>
      <c r="H1177" s="117" t="s">
        <v>593</v>
      </c>
      <c r="I1177" s="117">
        <v>1.0</v>
      </c>
      <c r="J1177" s="117">
        <v>1.0</v>
      </c>
      <c r="K1177" s="117" t="str">
        <f t="shared" si="1"/>
        <v>No</v>
      </c>
      <c r="L1177" s="118" t="s">
        <v>116</v>
      </c>
      <c r="M1177" s="119">
        <v>0.16666666666666666</v>
      </c>
      <c r="N1177" s="120">
        <v>0.0</v>
      </c>
      <c r="O1177" s="121"/>
      <c r="P1177" s="117">
        <v>0.0</v>
      </c>
      <c r="Q1177" s="117">
        <f t="shared" si="2"/>
        <v>0</v>
      </c>
      <c r="R1177" s="122">
        <f>+(IF(((M1177*24)-P1177)&lt;0,0,((M1177*24)-P1177)*'Estimación de pérdidas'!$F$72))*N1177</f>
        <v>0</v>
      </c>
      <c r="S1177" s="123" t="s">
        <v>117</v>
      </c>
      <c r="T1177" s="124" t="s">
        <v>119</v>
      </c>
      <c r="U1177" s="124">
        <f t="shared" si="3"/>
        <v>1</v>
      </c>
      <c r="V1177" s="124">
        <v>1.0</v>
      </c>
      <c r="W1177" s="124"/>
      <c r="X1177" s="125"/>
      <c r="Y1177" s="126"/>
      <c r="Z1177" s="125">
        <f t="shared" si="4"/>
        <v>1</v>
      </c>
      <c r="AA1177" s="127" t="str">
        <f t="shared" si="5"/>
        <v>Bajo</v>
      </c>
      <c r="AB1177" s="128">
        <f t="shared" si="6"/>
        <v>4</v>
      </c>
      <c r="AC1177" s="129">
        <f t="shared" si="7"/>
        <v>0.07589466384</v>
      </c>
    </row>
    <row r="1178" ht="14.25" hidden="1" customHeight="1">
      <c r="A1178" s="116" t="s">
        <v>539</v>
      </c>
      <c r="B1178" s="117" t="s">
        <v>575</v>
      </c>
      <c r="C1178" s="117" t="s">
        <v>332</v>
      </c>
      <c r="D1178" s="117" t="s">
        <v>3426</v>
      </c>
      <c r="E1178" s="117" t="s">
        <v>3427</v>
      </c>
      <c r="F1178" s="117" t="s">
        <v>335</v>
      </c>
      <c r="G1178" s="117" t="s">
        <v>336</v>
      </c>
      <c r="H1178" s="117" t="s">
        <v>337</v>
      </c>
      <c r="I1178" s="117">
        <v>1.0</v>
      </c>
      <c r="J1178" s="117">
        <v>1.0</v>
      </c>
      <c r="K1178" s="117" t="str">
        <f t="shared" si="1"/>
        <v>No</v>
      </c>
      <c r="L1178" s="118" t="s">
        <v>116</v>
      </c>
      <c r="M1178" s="119">
        <v>0.3333333333333333</v>
      </c>
      <c r="N1178" s="120">
        <v>0.0</v>
      </c>
      <c r="O1178" s="121">
        <v>91.32</v>
      </c>
      <c r="P1178" s="117">
        <v>1.0</v>
      </c>
      <c r="Q1178" s="117">
        <f t="shared" si="2"/>
        <v>0</v>
      </c>
      <c r="R1178" s="122">
        <f>+(IF(((M1178*24)-P1178)&lt;0,0,((M1178*24)-P1178)*'Estimación de pérdidas'!$F$72))*N1178</f>
        <v>0</v>
      </c>
      <c r="S1178" s="123" t="s">
        <v>117</v>
      </c>
      <c r="T1178" s="124" t="s">
        <v>118</v>
      </c>
      <c r="U1178" s="124">
        <f t="shared" si="3"/>
        <v>1</v>
      </c>
      <c r="V1178" s="124">
        <v>2.0</v>
      </c>
      <c r="W1178" s="124"/>
      <c r="X1178" s="125"/>
      <c r="Y1178" s="126"/>
      <c r="Z1178" s="125">
        <f t="shared" si="4"/>
        <v>2</v>
      </c>
      <c r="AA1178" s="127" t="str">
        <f t="shared" si="5"/>
        <v>Bajo</v>
      </c>
      <c r="AB1178" s="128">
        <f t="shared" si="6"/>
        <v>5</v>
      </c>
      <c r="AC1178" s="129">
        <f t="shared" si="7"/>
        <v>0.08</v>
      </c>
    </row>
    <row r="1179" ht="14.25" hidden="1" customHeight="1">
      <c r="A1179" s="116" t="s">
        <v>539</v>
      </c>
      <c r="B1179" s="117" t="s">
        <v>575</v>
      </c>
      <c r="C1179" s="117" t="s">
        <v>3428</v>
      </c>
      <c r="D1179" s="117" t="s">
        <v>3429</v>
      </c>
      <c r="E1179" s="117" t="s">
        <v>3430</v>
      </c>
      <c r="F1179" s="117" t="s">
        <v>3431</v>
      </c>
      <c r="G1179" s="117" t="s">
        <v>592</v>
      </c>
      <c r="H1179" s="117" t="s">
        <v>593</v>
      </c>
      <c r="I1179" s="117">
        <v>1.0</v>
      </c>
      <c r="J1179" s="117">
        <v>1.0</v>
      </c>
      <c r="K1179" s="117" t="str">
        <f t="shared" si="1"/>
        <v>No</v>
      </c>
      <c r="L1179" s="118" t="s">
        <v>116</v>
      </c>
      <c r="M1179" s="119">
        <v>0.16666666666666666</v>
      </c>
      <c r="N1179" s="120">
        <v>0.0</v>
      </c>
      <c r="O1179" s="121">
        <v>91.32</v>
      </c>
      <c r="P1179" s="117">
        <v>1.0</v>
      </c>
      <c r="Q1179" s="117">
        <f t="shared" si="2"/>
        <v>0</v>
      </c>
      <c r="R1179" s="122">
        <f>+(IF(((M1179*24)-P1179)&lt;0,0,((M1179*24)-P1179)*'Estimación de pérdidas'!$F$72))*N1179</f>
        <v>0</v>
      </c>
      <c r="S1179" s="123" t="s">
        <v>117</v>
      </c>
      <c r="T1179" s="124" t="s">
        <v>119</v>
      </c>
      <c r="U1179" s="124">
        <f t="shared" si="3"/>
        <v>1</v>
      </c>
      <c r="V1179" s="124">
        <v>1.0</v>
      </c>
      <c r="W1179" s="124"/>
      <c r="X1179" s="125"/>
      <c r="Y1179" s="126"/>
      <c r="Z1179" s="125">
        <f t="shared" si="4"/>
        <v>1</v>
      </c>
      <c r="AA1179" s="127" t="str">
        <f t="shared" si="5"/>
        <v>Bajo</v>
      </c>
      <c r="AB1179" s="128">
        <f t="shared" si="6"/>
        <v>4</v>
      </c>
      <c r="AC1179" s="129">
        <f t="shared" si="7"/>
        <v>0.07589466384</v>
      </c>
    </row>
    <row r="1180" ht="14.25" hidden="1" customHeight="1">
      <c r="A1180" s="116" t="s">
        <v>539</v>
      </c>
      <c r="B1180" s="117" t="s">
        <v>575</v>
      </c>
      <c r="C1180" s="117" t="s">
        <v>3432</v>
      </c>
      <c r="D1180" s="117" t="s">
        <v>3433</v>
      </c>
      <c r="E1180" s="117" t="s">
        <v>3434</v>
      </c>
      <c r="F1180" s="117" t="s">
        <v>3435</v>
      </c>
      <c r="G1180" s="117" t="s">
        <v>592</v>
      </c>
      <c r="H1180" s="117" t="s">
        <v>593</v>
      </c>
      <c r="I1180" s="117">
        <v>1.0</v>
      </c>
      <c r="J1180" s="117">
        <v>1.0</v>
      </c>
      <c r="K1180" s="117" t="str">
        <f t="shared" si="1"/>
        <v>No</v>
      </c>
      <c r="L1180" s="118" t="s">
        <v>116</v>
      </c>
      <c r="M1180" s="119">
        <v>0.16666666666666666</v>
      </c>
      <c r="N1180" s="120">
        <v>0.0</v>
      </c>
      <c r="O1180" s="121">
        <v>91.32</v>
      </c>
      <c r="P1180" s="117">
        <v>1.0</v>
      </c>
      <c r="Q1180" s="117">
        <f t="shared" si="2"/>
        <v>0</v>
      </c>
      <c r="R1180" s="122">
        <f>+(IF(((M1180*24)-P1180)&lt;0,0,((M1180*24)-P1180)*'Estimación de pérdidas'!$F$72))*N1180</f>
        <v>0</v>
      </c>
      <c r="S1180" s="123" t="s">
        <v>117</v>
      </c>
      <c r="T1180" s="124" t="s">
        <v>119</v>
      </c>
      <c r="U1180" s="124">
        <f t="shared" si="3"/>
        <v>1</v>
      </c>
      <c r="V1180" s="124">
        <v>1.0</v>
      </c>
      <c r="W1180" s="124"/>
      <c r="X1180" s="125"/>
      <c r="Y1180" s="126"/>
      <c r="Z1180" s="125">
        <f t="shared" si="4"/>
        <v>1</v>
      </c>
      <c r="AA1180" s="127" t="str">
        <f t="shared" si="5"/>
        <v>Bajo</v>
      </c>
      <c r="AB1180" s="128">
        <f t="shared" si="6"/>
        <v>4</v>
      </c>
      <c r="AC1180" s="129">
        <f t="shared" si="7"/>
        <v>0.07589466384</v>
      </c>
    </row>
    <row r="1181" ht="14.25" hidden="1" customHeight="1">
      <c r="A1181" s="116" t="s">
        <v>539</v>
      </c>
      <c r="B1181" s="117" t="s">
        <v>575</v>
      </c>
      <c r="C1181" s="117" t="s">
        <v>3436</v>
      </c>
      <c r="D1181" s="117" t="s">
        <v>3437</v>
      </c>
      <c r="E1181" s="117" t="s">
        <v>3438</v>
      </c>
      <c r="F1181" s="117" t="s">
        <v>3439</v>
      </c>
      <c r="G1181" s="117" t="s">
        <v>592</v>
      </c>
      <c r="H1181" s="117" t="s">
        <v>593</v>
      </c>
      <c r="I1181" s="117">
        <v>1.0</v>
      </c>
      <c r="J1181" s="117">
        <v>1.0</v>
      </c>
      <c r="K1181" s="117" t="str">
        <f t="shared" si="1"/>
        <v>No</v>
      </c>
      <c r="L1181" s="118" t="s">
        <v>116</v>
      </c>
      <c r="M1181" s="119">
        <v>0.16666666666666666</v>
      </c>
      <c r="N1181" s="120">
        <v>0.0</v>
      </c>
      <c r="O1181" s="121">
        <v>91.32</v>
      </c>
      <c r="P1181" s="117">
        <v>1.0</v>
      </c>
      <c r="Q1181" s="117">
        <f t="shared" si="2"/>
        <v>0</v>
      </c>
      <c r="R1181" s="122">
        <f>+(IF(((M1181*24)-P1181)&lt;0,0,((M1181*24)-P1181)*'Estimación de pérdidas'!$F$72))*N1181</f>
        <v>0</v>
      </c>
      <c r="S1181" s="123" t="s">
        <v>117</v>
      </c>
      <c r="T1181" s="124" t="s">
        <v>119</v>
      </c>
      <c r="U1181" s="124">
        <f t="shared" si="3"/>
        <v>1</v>
      </c>
      <c r="V1181" s="124">
        <v>1.0</v>
      </c>
      <c r="W1181" s="124"/>
      <c r="X1181" s="125"/>
      <c r="Y1181" s="126"/>
      <c r="Z1181" s="125">
        <f t="shared" si="4"/>
        <v>1</v>
      </c>
      <c r="AA1181" s="127" t="str">
        <f t="shared" si="5"/>
        <v>Bajo</v>
      </c>
      <c r="AB1181" s="128">
        <f t="shared" si="6"/>
        <v>4</v>
      </c>
      <c r="AC1181" s="129">
        <f t="shared" si="7"/>
        <v>0.07589466384</v>
      </c>
    </row>
    <row r="1182" ht="14.25" hidden="1" customHeight="1">
      <c r="A1182" s="116" t="s">
        <v>539</v>
      </c>
      <c r="B1182" s="117" t="s">
        <v>575</v>
      </c>
      <c r="C1182" s="117" t="s">
        <v>3440</v>
      </c>
      <c r="D1182" s="117" t="s">
        <v>3441</v>
      </c>
      <c r="E1182" s="117" t="s">
        <v>584</v>
      </c>
      <c r="F1182" s="117" t="s">
        <v>585</v>
      </c>
      <c r="G1182" s="117" t="s">
        <v>2428</v>
      </c>
      <c r="H1182" s="117" t="s">
        <v>2429</v>
      </c>
      <c r="I1182" s="117">
        <v>1.0</v>
      </c>
      <c r="J1182" s="117">
        <v>1.0</v>
      </c>
      <c r="K1182" s="117" t="str">
        <f t="shared" si="1"/>
        <v>No</v>
      </c>
      <c r="L1182" s="118" t="s">
        <v>116</v>
      </c>
      <c r="M1182" s="119">
        <v>0.25</v>
      </c>
      <c r="N1182" s="120">
        <v>0.0</v>
      </c>
      <c r="O1182" s="121"/>
      <c r="P1182" s="117">
        <v>0.0</v>
      </c>
      <c r="Q1182" s="117">
        <f t="shared" si="2"/>
        <v>0</v>
      </c>
      <c r="R1182" s="122">
        <f>+(IF(((M1182*24)-P1182)&lt;0,0,((M1182*24)-P1182)*'Estimación de pérdidas'!$F$72))*N1182</f>
        <v>0</v>
      </c>
      <c r="S1182" s="123" t="s">
        <v>117</v>
      </c>
      <c r="T1182" s="124" t="s">
        <v>132</v>
      </c>
      <c r="U1182" s="124">
        <f t="shared" si="3"/>
        <v>1</v>
      </c>
      <c r="V1182" s="124">
        <v>1.0</v>
      </c>
      <c r="W1182" s="124"/>
      <c r="X1182" s="125"/>
      <c r="Y1182" s="126"/>
      <c r="Z1182" s="125">
        <f t="shared" si="4"/>
        <v>1</v>
      </c>
      <c r="AA1182" s="127" t="str">
        <f t="shared" si="5"/>
        <v>Bajo</v>
      </c>
      <c r="AB1182" s="128">
        <f t="shared" si="6"/>
        <v>1</v>
      </c>
      <c r="AC1182" s="129">
        <f t="shared" si="7"/>
        <v>0.02529822128</v>
      </c>
    </row>
    <row r="1183" ht="14.25" hidden="1" customHeight="1">
      <c r="A1183" s="116" t="s">
        <v>539</v>
      </c>
      <c r="B1183" s="117" t="s">
        <v>575</v>
      </c>
      <c r="C1183" s="117" t="s">
        <v>3440</v>
      </c>
      <c r="D1183" s="117" t="s">
        <v>3442</v>
      </c>
      <c r="E1183" s="117" t="s">
        <v>584</v>
      </c>
      <c r="F1183" s="117" t="s">
        <v>585</v>
      </c>
      <c r="G1183" s="117" t="s">
        <v>2428</v>
      </c>
      <c r="H1183" s="117" t="s">
        <v>2429</v>
      </c>
      <c r="I1183" s="117">
        <v>1.0</v>
      </c>
      <c r="J1183" s="117">
        <v>1.0</v>
      </c>
      <c r="K1183" s="117" t="str">
        <f t="shared" si="1"/>
        <v>No</v>
      </c>
      <c r="L1183" s="118" t="s">
        <v>116</v>
      </c>
      <c r="M1183" s="119">
        <v>0.25</v>
      </c>
      <c r="N1183" s="120">
        <v>0.0</v>
      </c>
      <c r="O1183" s="121"/>
      <c r="P1183" s="117">
        <v>0.0</v>
      </c>
      <c r="Q1183" s="117">
        <f t="shared" si="2"/>
        <v>0</v>
      </c>
      <c r="R1183" s="122">
        <f>+(IF(((M1183*24)-P1183)&lt;0,0,((M1183*24)-P1183)*'Estimación de pérdidas'!$F$72))*N1183</f>
        <v>0</v>
      </c>
      <c r="S1183" s="123" t="s">
        <v>117</v>
      </c>
      <c r="T1183" s="124" t="s">
        <v>132</v>
      </c>
      <c r="U1183" s="124">
        <f t="shared" si="3"/>
        <v>1</v>
      </c>
      <c r="V1183" s="124">
        <v>1.0</v>
      </c>
      <c r="W1183" s="124"/>
      <c r="X1183" s="125"/>
      <c r="Y1183" s="126"/>
      <c r="Z1183" s="125">
        <f t="shared" si="4"/>
        <v>1</v>
      </c>
      <c r="AA1183" s="127" t="str">
        <f t="shared" si="5"/>
        <v>Bajo</v>
      </c>
      <c r="AB1183" s="128">
        <f t="shared" si="6"/>
        <v>1</v>
      </c>
      <c r="AC1183" s="129">
        <f t="shared" si="7"/>
        <v>0.02529822128</v>
      </c>
    </row>
    <row r="1184" ht="14.25" hidden="1" customHeight="1">
      <c r="A1184" s="116" t="s">
        <v>539</v>
      </c>
      <c r="B1184" s="117" t="s">
        <v>575</v>
      </c>
      <c r="C1184" s="117" t="s">
        <v>3440</v>
      </c>
      <c r="D1184" s="117" t="s">
        <v>3443</v>
      </c>
      <c r="E1184" s="117" t="s">
        <v>584</v>
      </c>
      <c r="F1184" s="117" t="s">
        <v>585</v>
      </c>
      <c r="G1184" s="117" t="s">
        <v>2428</v>
      </c>
      <c r="H1184" s="117" t="s">
        <v>2429</v>
      </c>
      <c r="I1184" s="117">
        <v>1.0</v>
      </c>
      <c r="J1184" s="117">
        <v>1.0</v>
      </c>
      <c r="K1184" s="117" t="str">
        <f t="shared" si="1"/>
        <v>No</v>
      </c>
      <c r="L1184" s="118" t="s">
        <v>116</v>
      </c>
      <c r="M1184" s="119">
        <v>0.25</v>
      </c>
      <c r="N1184" s="120">
        <v>0.0</v>
      </c>
      <c r="O1184" s="121"/>
      <c r="P1184" s="117">
        <v>0.0</v>
      </c>
      <c r="Q1184" s="117">
        <f t="shared" si="2"/>
        <v>0</v>
      </c>
      <c r="R1184" s="122">
        <f>+(IF(((M1184*24)-P1184)&lt;0,0,((M1184*24)-P1184)*'Estimación de pérdidas'!$F$72))*N1184</f>
        <v>0</v>
      </c>
      <c r="S1184" s="123" t="s">
        <v>117</v>
      </c>
      <c r="T1184" s="124" t="s">
        <v>132</v>
      </c>
      <c r="U1184" s="124">
        <f t="shared" si="3"/>
        <v>1</v>
      </c>
      <c r="V1184" s="124">
        <v>1.0</v>
      </c>
      <c r="W1184" s="124"/>
      <c r="X1184" s="125"/>
      <c r="Y1184" s="126"/>
      <c r="Z1184" s="125">
        <f t="shared" si="4"/>
        <v>1</v>
      </c>
      <c r="AA1184" s="127" t="str">
        <f t="shared" si="5"/>
        <v>Bajo</v>
      </c>
      <c r="AB1184" s="128">
        <f t="shared" si="6"/>
        <v>1</v>
      </c>
      <c r="AC1184" s="129">
        <f t="shared" si="7"/>
        <v>0.02529822128</v>
      </c>
    </row>
    <row r="1185" ht="14.25" hidden="1" customHeight="1">
      <c r="A1185" s="116" t="s">
        <v>539</v>
      </c>
      <c r="B1185" s="117" t="s">
        <v>575</v>
      </c>
      <c r="C1185" s="117" t="s">
        <v>3440</v>
      </c>
      <c r="D1185" s="117" t="s">
        <v>3444</v>
      </c>
      <c r="E1185" s="117" t="s">
        <v>584</v>
      </c>
      <c r="F1185" s="117" t="s">
        <v>585</v>
      </c>
      <c r="G1185" s="117" t="s">
        <v>2428</v>
      </c>
      <c r="H1185" s="117" t="s">
        <v>2429</v>
      </c>
      <c r="I1185" s="117">
        <v>1.0</v>
      </c>
      <c r="J1185" s="117">
        <v>1.0</v>
      </c>
      <c r="K1185" s="117" t="str">
        <f t="shared" si="1"/>
        <v>No</v>
      </c>
      <c r="L1185" s="118" t="s">
        <v>116</v>
      </c>
      <c r="M1185" s="119">
        <v>0.25</v>
      </c>
      <c r="N1185" s="120">
        <v>0.0</v>
      </c>
      <c r="O1185" s="121"/>
      <c r="P1185" s="117">
        <v>0.0</v>
      </c>
      <c r="Q1185" s="117">
        <f t="shared" si="2"/>
        <v>0</v>
      </c>
      <c r="R1185" s="122">
        <f>+(IF(((M1185*24)-P1185)&lt;0,0,((M1185*24)-P1185)*'Estimación de pérdidas'!$F$72))*N1185</f>
        <v>0</v>
      </c>
      <c r="S1185" s="123" t="s">
        <v>117</v>
      </c>
      <c r="T1185" s="124" t="s">
        <v>132</v>
      </c>
      <c r="U1185" s="124">
        <f t="shared" si="3"/>
        <v>1</v>
      </c>
      <c r="V1185" s="124">
        <v>1.0</v>
      </c>
      <c r="W1185" s="124"/>
      <c r="X1185" s="125"/>
      <c r="Y1185" s="126"/>
      <c r="Z1185" s="125">
        <f t="shared" si="4"/>
        <v>1</v>
      </c>
      <c r="AA1185" s="127" t="str">
        <f t="shared" si="5"/>
        <v>Bajo</v>
      </c>
      <c r="AB1185" s="128">
        <f t="shared" si="6"/>
        <v>1</v>
      </c>
      <c r="AC1185" s="129">
        <f t="shared" si="7"/>
        <v>0.02529822128</v>
      </c>
    </row>
    <row r="1186" ht="14.25" hidden="1" customHeight="1">
      <c r="A1186" s="116" t="s">
        <v>539</v>
      </c>
      <c r="B1186" s="117" t="s">
        <v>575</v>
      </c>
      <c r="C1186" s="117" t="s">
        <v>3440</v>
      </c>
      <c r="D1186" s="117" t="s">
        <v>3445</v>
      </c>
      <c r="E1186" s="117" t="s">
        <v>584</v>
      </c>
      <c r="F1186" s="117" t="s">
        <v>585</v>
      </c>
      <c r="G1186" s="117" t="s">
        <v>2428</v>
      </c>
      <c r="H1186" s="117" t="s">
        <v>2429</v>
      </c>
      <c r="I1186" s="117">
        <v>1.0</v>
      </c>
      <c r="J1186" s="117">
        <v>1.0</v>
      </c>
      <c r="K1186" s="117" t="str">
        <f t="shared" si="1"/>
        <v>No</v>
      </c>
      <c r="L1186" s="118" t="s">
        <v>116</v>
      </c>
      <c r="M1186" s="119">
        <v>0.25</v>
      </c>
      <c r="N1186" s="120">
        <v>0.0</v>
      </c>
      <c r="O1186" s="121"/>
      <c r="P1186" s="117">
        <v>0.0</v>
      </c>
      <c r="Q1186" s="117">
        <f t="shared" si="2"/>
        <v>0</v>
      </c>
      <c r="R1186" s="122">
        <f>+(IF(((M1186*24)-P1186)&lt;0,0,((M1186*24)-P1186)*'Estimación de pérdidas'!$F$72))*N1186</f>
        <v>0</v>
      </c>
      <c r="S1186" s="123" t="s">
        <v>117</v>
      </c>
      <c r="T1186" s="124" t="s">
        <v>132</v>
      </c>
      <c r="U1186" s="124">
        <f t="shared" si="3"/>
        <v>1</v>
      </c>
      <c r="V1186" s="124">
        <v>1.0</v>
      </c>
      <c r="W1186" s="124"/>
      <c r="X1186" s="125"/>
      <c r="Y1186" s="126"/>
      <c r="Z1186" s="125">
        <f t="shared" si="4"/>
        <v>1</v>
      </c>
      <c r="AA1186" s="127" t="str">
        <f t="shared" si="5"/>
        <v>Bajo</v>
      </c>
      <c r="AB1186" s="128">
        <f t="shared" si="6"/>
        <v>1</v>
      </c>
      <c r="AC1186" s="129">
        <f t="shared" si="7"/>
        <v>0.02529822128</v>
      </c>
    </row>
    <row r="1187" ht="14.25" hidden="1" customHeight="1">
      <c r="A1187" s="116" t="s">
        <v>539</v>
      </c>
      <c r="B1187" s="117" t="s">
        <v>575</v>
      </c>
      <c r="C1187" s="117" t="s">
        <v>3440</v>
      </c>
      <c r="D1187" s="117" t="s">
        <v>3446</v>
      </c>
      <c r="E1187" s="117" t="s">
        <v>584</v>
      </c>
      <c r="F1187" s="117" t="s">
        <v>585</v>
      </c>
      <c r="G1187" s="117" t="s">
        <v>2428</v>
      </c>
      <c r="H1187" s="117" t="s">
        <v>2429</v>
      </c>
      <c r="I1187" s="117">
        <v>1.0</v>
      </c>
      <c r="J1187" s="117">
        <v>1.0</v>
      </c>
      <c r="K1187" s="117" t="str">
        <f t="shared" si="1"/>
        <v>No</v>
      </c>
      <c r="L1187" s="118" t="s">
        <v>116</v>
      </c>
      <c r="M1187" s="119">
        <v>0.25</v>
      </c>
      <c r="N1187" s="120">
        <v>0.0</v>
      </c>
      <c r="O1187" s="121"/>
      <c r="P1187" s="117">
        <v>0.0</v>
      </c>
      <c r="Q1187" s="117">
        <f t="shared" si="2"/>
        <v>0</v>
      </c>
      <c r="R1187" s="122">
        <f>+(IF(((M1187*24)-P1187)&lt;0,0,((M1187*24)-P1187)*'Estimación de pérdidas'!$F$72))*N1187</f>
        <v>0</v>
      </c>
      <c r="S1187" s="123" t="s">
        <v>117</v>
      </c>
      <c r="T1187" s="124" t="s">
        <v>132</v>
      </c>
      <c r="U1187" s="124">
        <f t="shared" si="3"/>
        <v>1</v>
      </c>
      <c r="V1187" s="124">
        <v>1.0</v>
      </c>
      <c r="W1187" s="124"/>
      <c r="X1187" s="125"/>
      <c r="Y1187" s="126"/>
      <c r="Z1187" s="125">
        <f t="shared" si="4"/>
        <v>1</v>
      </c>
      <c r="AA1187" s="127" t="str">
        <f t="shared" si="5"/>
        <v>Bajo</v>
      </c>
      <c r="AB1187" s="128">
        <f t="shared" si="6"/>
        <v>1</v>
      </c>
      <c r="AC1187" s="129">
        <f t="shared" si="7"/>
        <v>0.02529822128</v>
      </c>
    </row>
    <row r="1188" ht="14.25" hidden="1" customHeight="1">
      <c r="A1188" s="116" t="s">
        <v>539</v>
      </c>
      <c r="B1188" s="117" t="s">
        <v>575</v>
      </c>
      <c r="C1188" s="117" t="s">
        <v>3440</v>
      </c>
      <c r="D1188" s="117" t="s">
        <v>3447</v>
      </c>
      <c r="E1188" s="117" t="s">
        <v>584</v>
      </c>
      <c r="F1188" s="117" t="s">
        <v>585</v>
      </c>
      <c r="G1188" s="117" t="s">
        <v>2428</v>
      </c>
      <c r="H1188" s="117" t="s">
        <v>2429</v>
      </c>
      <c r="I1188" s="117">
        <v>1.0</v>
      </c>
      <c r="J1188" s="117">
        <v>1.0</v>
      </c>
      <c r="K1188" s="117" t="str">
        <f t="shared" si="1"/>
        <v>No</v>
      </c>
      <c r="L1188" s="118" t="s">
        <v>116</v>
      </c>
      <c r="M1188" s="119">
        <v>0.25</v>
      </c>
      <c r="N1188" s="120">
        <v>0.0</v>
      </c>
      <c r="O1188" s="121"/>
      <c r="P1188" s="117">
        <v>0.0</v>
      </c>
      <c r="Q1188" s="117">
        <f t="shared" si="2"/>
        <v>0</v>
      </c>
      <c r="R1188" s="122">
        <f>+(IF(((M1188*24)-P1188)&lt;0,0,((M1188*24)-P1188)*'Estimación de pérdidas'!$F$72))*N1188</f>
        <v>0</v>
      </c>
      <c r="S1188" s="123" t="s">
        <v>117</v>
      </c>
      <c r="T1188" s="124" t="s">
        <v>132</v>
      </c>
      <c r="U1188" s="124">
        <f t="shared" si="3"/>
        <v>1</v>
      </c>
      <c r="V1188" s="124">
        <v>1.0</v>
      </c>
      <c r="W1188" s="124"/>
      <c r="X1188" s="125"/>
      <c r="Y1188" s="126"/>
      <c r="Z1188" s="125">
        <f t="shared" si="4"/>
        <v>1</v>
      </c>
      <c r="AA1188" s="127" t="str">
        <f t="shared" si="5"/>
        <v>Bajo</v>
      </c>
      <c r="AB1188" s="128">
        <f t="shared" si="6"/>
        <v>1</v>
      </c>
      <c r="AC1188" s="129">
        <f t="shared" si="7"/>
        <v>0.02529822128</v>
      </c>
    </row>
    <row r="1189" ht="14.25" hidden="1" customHeight="1">
      <c r="A1189" s="116" t="s">
        <v>539</v>
      </c>
      <c r="B1189" s="117" t="s">
        <v>575</v>
      </c>
      <c r="C1189" s="117" t="s">
        <v>3440</v>
      </c>
      <c r="D1189" s="117" t="s">
        <v>3448</v>
      </c>
      <c r="E1189" s="117" t="s">
        <v>584</v>
      </c>
      <c r="F1189" s="117" t="s">
        <v>585</v>
      </c>
      <c r="G1189" s="117" t="s">
        <v>2428</v>
      </c>
      <c r="H1189" s="117" t="s">
        <v>2429</v>
      </c>
      <c r="I1189" s="117">
        <v>1.0</v>
      </c>
      <c r="J1189" s="117">
        <v>1.0</v>
      </c>
      <c r="K1189" s="117" t="str">
        <f t="shared" si="1"/>
        <v>No</v>
      </c>
      <c r="L1189" s="118" t="s">
        <v>116</v>
      </c>
      <c r="M1189" s="119">
        <v>0.25</v>
      </c>
      <c r="N1189" s="120">
        <v>0.0</v>
      </c>
      <c r="O1189" s="121"/>
      <c r="P1189" s="117">
        <v>0.0</v>
      </c>
      <c r="Q1189" s="117">
        <f t="shared" si="2"/>
        <v>0</v>
      </c>
      <c r="R1189" s="122">
        <f>+(IF(((M1189*24)-P1189)&lt;0,0,((M1189*24)-P1189)*'Estimación de pérdidas'!$F$72))*N1189</f>
        <v>0</v>
      </c>
      <c r="S1189" s="123" t="s">
        <v>117</v>
      </c>
      <c r="T1189" s="124" t="s">
        <v>132</v>
      </c>
      <c r="U1189" s="124">
        <f t="shared" si="3"/>
        <v>1</v>
      </c>
      <c r="V1189" s="124">
        <v>1.0</v>
      </c>
      <c r="W1189" s="124"/>
      <c r="X1189" s="125"/>
      <c r="Y1189" s="126"/>
      <c r="Z1189" s="125">
        <f t="shared" si="4"/>
        <v>1</v>
      </c>
      <c r="AA1189" s="127" t="str">
        <f t="shared" si="5"/>
        <v>Bajo</v>
      </c>
      <c r="AB1189" s="128">
        <f t="shared" si="6"/>
        <v>1</v>
      </c>
      <c r="AC1189" s="129">
        <f t="shared" si="7"/>
        <v>0.02529822128</v>
      </c>
    </row>
    <row r="1190" ht="14.25" hidden="1" customHeight="1">
      <c r="A1190" s="116" t="s">
        <v>539</v>
      </c>
      <c r="B1190" s="117" t="s">
        <v>575</v>
      </c>
      <c r="C1190" s="117" t="s">
        <v>3440</v>
      </c>
      <c r="D1190" s="117" t="s">
        <v>3449</v>
      </c>
      <c r="E1190" s="117" t="s">
        <v>584</v>
      </c>
      <c r="F1190" s="117" t="s">
        <v>585</v>
      </c>
      <c r="G1190" s="117" t="s">
        <v>2428</v>
      </c>
      <c r="H1190" s="117" t="s">
        <v>2429</v>
      </c>
      <c r="I1190" s="117">
        <v>1.0</v>
      </c>
      <c r="J1190" s="117">
        <v>1.0</v>
      </c>
      <c r="K1190" s="117" t="str">
        <f t="shared" si="1"/>
        <v>No</v>
      </c>
      <c r="L1190" s="118" t="s">
        <v>116</v>
      </c>
      <c r="M1190" s="119">
        <v>0.25</v>
      </c>
      <c r="N1190" s="120">
        <v>0.0</v>
      </c>
      <c r="O1190" s="121"/>
      <c r="P1190" s="117">
        <v>0.0</v>
      </c>
      <c r="Q1190" s="117">
        <f t="shared" si="2"/>
        <v>0</v>
      </c>
      <c r="R1190" s="122">
        <f>+(IF(((M1190*24)-P1190)&lt;0,0,((M1190*24)-P1190)*'Estimación de pérdidas'!$F$72))*N1190</f>
        <v>0</v>
      </c>
      <c r="S1190" s="123" t="s">
        <v>117</v>
      </c>
      <c r="T1190" s="124" t="s">
        <v>132</v>
      </c>
      <c r="U1190" s="124">
        <f t="shared" si="3"/>
        <v>1</v>
      </c>
      <c r="V1190" s="124">
        <v>1.0</v>
      </c>
      <c r="W1190" s="124"/>
      <c r="X1190" s="125"/>
      <c r="Y1190" s="126"/>
      <c r="Z1190" s="125">
        <f t="shared" si="4"/>
        <v>1</v>
      </c>
      <c r="AA1190" s="127" t="str">
        <f t="shared" si="5"/>
        <v>Bajo</v>
      </c>
      <c r="AB1190" s="128">
        <f t="shared" si="6"/>
        <v>1</v>
      </c>
      <c r="AC1190" s="129">
        <f t="shared" si="7"/>
        <v>0.02529822128</v>
      </c>
    </row>
    <row r="1191" ht="14.25" hidden="1" customHeight="1">
      <c r="A1191" s="116" t="s">
        <v>539</v>
      </c>
      <c r="B1191" s="117" t="s">
        <v>575</v>
      </c>
      <c r="C1191" s="117" t="s">
        <v>3440</v>
      </c>
      <c r="D1191" s="117" t="s">
        <v>3450</v>
      </c>
      <c r="E1191" s="117" t="s">
        <v>584</v>
      </c>
      <c r="F1191" s="117" t="s">
        <v>585</v>
      </c>
      <c r="G1191" s="117" t="s">
        <v>2428</v>
      </c>
      <c r="H1191" s="117" t="s">
        <v>2429</v>
      </c>
      <c r="I1191" s="117">
        <v>1.0</v>
      </c>
      <c r="J1191" s="117">
        <v>1.0</v>
      </c>
      <c r="K1191" s="117" t="str">
        <f t="shared" si="1"/>
        <v>No</v>
      </c>
      <c r="L1191" s="118" t="s">
        <v>116</v>
      </c>
      <c r="M1191" s="119">
        <v>0.25</v>
      </c>
      <c r="N1191" s="120">
        <v>0.0</v>
      </c>
      <c r="O1191" s="121"/>
      <c r="P1191" s="117">
        <v>0.0</v>
      </c>
      <c r="Q1191" s="117">
        <f t="shared" si="2"/>
        <v>0</v>
      </c>
      <c r="R1191" s="122">
        <f>+(IF(((M1191*24)-P1191)&lt;0,0,((M1191*24)-P1191)*'Estimación de pérdidas'!$F$72))*N1191</f>
        <v>0</v>
      </c>
      <c r="S1191" s="123" t="s">
        <v>117</v>
      </c>
      <c r="T1191" s="124" t="s">
        <v>132</v>
      </c>
      <c r="U1191" s="124">
        <f t="shared" si="3"/>
        <v>1</v>
      </c>
      <c r="V1191" s="124">
        <v>1.0</v>
      </c>
      <c r="W1191" s="124"/>
      <c r="X1191" s="125"/>
      <c r="Y1191" s="126"/>
      <c r="Z1191" s="125">
        <f t="shared" si="4"/>
        <v>1</v>
      </c>
      <c r="AA1191" s="127" t="str">
        <f t="shared" si="5"/>
        <v>Bajo</v>
      </c>
      <c r="AB1191" s="128">
        <f t="shared" si="6"/>
        <v>1</v>
      </c>
      <c r="AC1191" s="129">
        <f t="shared" si="7"/>
        <v>0.02529822128</v>
      </c>
    </row>
    <row r="1192" ht="14.25" hidden="1" customHeight="1">
      <c r="A1192" s="116" t="s">
        <v>1927</v>
      </c>
      <c r="B1192" s="117" t="s">
        <v>1927</v>
      </c>
      <c r="C1192" s="117" t="s">
        <v>3451</v>
      </c>
      <c r="D1192" s="117" t="s">
        <v>3452</v>
      </c>
      <c r="E1192" s="117" t="s">
        <v>3453</v>
      </c>
      <c r="F1192" s="117" t="s">
        <v>585</v>
      </c>
      <c r="G1192" s="117" t="s">
        <v>2428</v>
      </c>
      <c r="H1192" s="117" t="s">
        <v>2429</v>
      </c>
      <c r="I1192" s="117">
        <v>1.0</v>
      </c>
      <c r="J1192" s="117">
        <v>1.0</v>
      </c>
      <c r="K1192" s="117" t="str">
        <f t="shared" si="1"/>
        <v>No</v>
      </c>
      <c r="L1192" s="118" t="s">
        <v>116</v>
      </c>
      <c r="M1192" s="119">
        <v>0.25</v>
      </c>
      <c r="N1192" s="120">
        <v>0.0</v>
      </c>
      <c r="O1192" s="121">
        <v>91.32</v>
      </c>
      <c r="P1192" s="117">
        <v>1.0</v>
      </c>
      <c r="Q1192" s="117">
        <f t="shared" si="2"/>
        <v>0</v>
      </c>
      <c r="R1192" s="122">
        <f>+(IF(((M1192*24)-P1192)&lt;0,0,((M1192*24)-P1192)*'Estimación de pérdidas'!$F$72))*N1192</f>
        <v>0</v>
      </c>
      <c r="S1192" s="123" t="s">
        <v>117</v>
      </c>
      <c r="T1192" s="124" t="s">
        <v>132</v>
      </c>
      <c r="U1192" s="124">
        <f t="shared" si="3"/>
        <v>1</v>
      </c>
      <c r="V1192" s="124">
        <v>1.0</v>
      </c>
      <c r="W1192" s="124"/>
      <c r="X1192" s="125"/>
      <c r="Y1192" s="126"/>
      <c r="Z1192" s="125">
        <f t="shared" si="4"/>
        <v>1</v>
      </c>
      <c r="AA1192" s="127" t="str">
        <f t="shared" si="5"/>
        <v>Bajo</v>
      </c>
      <c r="AB1192" s="128">
        <f t="shared" si="6"/>
        <v>1</v>
      </c>
      <c r="AC1192" s="129">
        <f t="shared" si="7"/>
        <v>0.02529822128</v>
      </c>
    </row>
    <row r="1193" ht="14.25" hidden="1" customHeight="1">
      <c r="A1193" s="116" t="s">
        <v>1927</v>
      </c>
      <c r="B1193" s="117" t="s">
        <v>1927</v>
      </c>
      <c r="C1193" s="117" t="s">
        <v>3451</v>
      </c>
      <c r="D1193" s="117" t="s">
        <v>3454</v>
      </c>
      <c r="E1193" s="117" t="s">
        <v>3453</v>
      </c>
      <c r="F1193" s="117" t="s">
        <v>585</v>
      </c>
      <c r="G1193" s="117" t="s">
        <v>2428</v>
      </c>
      <c r="H1193" s="117" t="s">
        <v>2429</v>
      </c>
      <c r="I1193" s="117">
        <v>1.0</v>
      </c>
      <c r="J1193" s="117">
        <v>1.0</v>
      </c>
      <c r="K1193" s="117" t="str">
        <f t="shared" si="1"/>
        <v>No</v>
      </c>
      <c r="L1193" s="118" t="s">
        <v>116</v>
      </c>
      <c r="M1193" s="119">
        <v>0.25</v>
      </c>
      <c r="N1193" s="120">
        <v>0.0</v>
      </c>
      <c r="O1193" s="121">
        <v>91.32</v>
      </c>
      <c r="P1193" s="117">
        <v>1.0</v>
      </c>
      <c r="Q1193" s="117">
        <f t="shared" si="2"/>
        <v>0</v>
      </c>
      <c r="R1193" s="122">
        <f>+(IF(((M1193*24)-P1193)&lt;0,0,((M1193*24)-P1193)*'Estimación de pérdidas'!$F$72))*N1193</f>
        <v>0</v>
      </c>
      <c r="S1193" s="123" t="s">
        <v>117</v>
      </c>
      <c r="T1193" s="124" t="s">
        <v>132</v>
      </c>
      <c r="U1193" s="124">
        <f t="shared" si="3"/>
        <v>1</v>
      </c>
      <c r="V1193" s="124">
        <v>1.0</v>
      </c>
      <c r="W1193" s="124"/>
      <c r="X1193" s="125"/>
      <c r="Y1193" s="126"/>
      <c r="Z1193" s="125">
        <f t="shared" si="4"/>
        <v>1</v>
      </c>
      <c r="AA1193" s="127" t="str">
        <f t="shared" si="5"/>
        <v>Bajo</v>
      </c>
      <c r="AB1193" s="128">
        <f t="shared" si="6"/>
        <v>1</v>
      </c>
      <c r="AC1193" s="129">
        <f t="shared" si="7"/>
        <v>0.02529822128</v>
      </c>
    </row>
    <row r="1194" ht="14.25" hidden="1" customHeight="1">
      <c r="A1194" s="116" t="s">
        <v>3204</v>
      </c>
      <c r="B1194" s="117" t="s">
        <v>3204</v>
      </c>
      <c r="C1194" s="117" t="s">
        <v>3370</v>
      </c>
      <c r="D1194" s="117" t="s">
        <v>3455</v>
      </c>
      <c r="E1194" s="117" t="s">
        <v>3372</v>
      </c>
      <c r="F1194" s="117" t="s">
        <v>585</v>
      </c>
      <c r="G1194" s="117" t="s">
        <v>2428</v>
      </c>
      <c r="H1194" s="117" t="s">
        <v>2429</v>
      </c>
      <c r="I1194" s="117">
        <v>1.0</v>
      </c>
      <c r="J1194" s="117">
        <v>1.0</v>
      </c>
      <c r="K1194" s="117" t="str">
        <f t="shared" si="1"/>
        <v>No</v>
      </c>
      <c r="L1194" s="118" t="s">
        <v>116</v>
      </c>
      <c r="M1194" s="119">
        <v>0.25</v>
      </c>
      <c r="N1194" s="120">
        <v>0.0</v>
      </c>
      <c r="O1194" s="121">
        <v>91.32</v>
      </c>
      <c r="P1194" s="117">
        <v>1.0</v>
      </c>
      <c r="Q1194" s="117">
        <f t="shared" si="2"/>
        <v>0</v>
      </c>
      <c r="R1194" s="122">
        <f>+(IF(((M1194*24)-P1194)&lt;0,0,((M1194*24)-P1194)*'Estimación de pérdidas'!$F$72))*N1194</f>
        <v>0</v>
      </c>
      <c r="S1194" s="123" t="s">
        <v>117</v>
      </c>
      <c r="T1194" s="124" t="s">
        <v>132</v>
      </c>
      <c r="U1194" s="124">
        <f t="shared" si="3"/>
        <v>1</v>
      </c>
      <c r="V1194" s="124">
        <v>1.0</v>
      </c>
      <c r="W1194" s="124"/>
      <c r="X1194" s="125"/>
      <c r="Y1194" s="126"/>
      <c r="Z1194" s="125">
        <f t="shared" si="4"/>
        <v>1</v>
      </c>
      <c r="AA1194" s="127" t="str">
        <f t="shared" si="5"/>
        <v>Bajo</v>
      </c>
      <c r="AB1194" s="128">
        <f t="shared" si="6"/>
        <v>1</v>
      </c>
      <c r="AC1194" s="129">
        <f t="shared" si="7"/>
        <v>0.02529822128</v>
      </c>
    </row>
    <row r="1195" ht="14.25" hidden="1" customHeight="1">
      <c r="A1195" s="116" t="s">
        <v>927</v>
      </c>
      <c r="B1195" s="117" t="s">
        <v>978</v>
      </c>
      <c r="C1195" s="117" t="s">
        <v>3456</v>
      </c>
      <c r="D1195" s="117" t="s">
        <v>3457</v>
      </c>
      <c r="E1195" s="117" t="s">
        <v>3458</v>
      </c>
      <c r="F1195" s="117" t="s">
        <v>3459</v>
      </c>
      <c r="G1195" s="117" t="s">
        <v>592</v>
      </c>
      <c r="H1195" s="117" t="s">
        <v>593</v>
      </c>
      <c r="I1195" s="117">
        <v>1.0</v>
      </c>
      <c r="J1195" s="117">
        <v>1.0</v>
      </c>
      <c r="K1195" s="117" t="str">
        <f t="shared" si="1"/>
        <v>No</v>
      </c>
      <c r="L1195" s="118" t="s">
        <v>116</v>
      </c>
      <c r="M1195" s="119">
        <v>0.16666666666666666</v>
      </c>
      <c r="N1195" s="120">
        <v>0.0</v>
      </c>
      <c r="O1195" s="121">
        <v>66.0</v>
      </c>
      <c r="P1195" s="117">
        <v>6.0</v>
      </c>
      <c r="Q1195" s="117">
        <f t="shared" si="2"/>
        <v>0</v>
      </c>
      <c r="R1195" s="122">
        <f>+(IF(((M1195*24)-P1195)&lt;0,0,((M1195*24)-P1195)*'Estimación de pérdidas'!$F$72))*N1195</f>
        <v>0</v>
      </c>
      <c r="S1195" s="123" t="s">
        <v>117</v>
      </c>
      <c r="T1195" s="124" t="s">
        <v>119</v>
      </c>
      <c r="U1195" s="124">
        <f t="shared" si="3"/>
        <v>1</v>
      </c>
      <c r="V1195" s="124">
        <v>1.0</v>
      </c>
      <c r="W1195" s="124"/>
      <c r="X1195" s="125"/>
      <c r="Y1195" s="126"/>
      <c r="Z1195" s="125">
        <f t="shared" si="4"/>
        <v>1</v>
      </c>
      <c r="AA1195" s="127" t="str">
        <f t="shared" si="5"/>
        <v>Bajo</v>
      </c>
      <c r="AB1195" s="128">
        <f t="shared" si="6"/>
        <v>4</v>
      </c>
      <c r="AC1195" s="129">
        <f t="shared" si="7"/>
        <v>0.07589466384</v>
      </c>
    </row>
    <row r="1196" ht="14.25" hidden="1" customHeight="1">
      <c r="A1196" s="116" t="s">
        <v>927</v>
      </c>
      <c r="B1196" s="117" t="s">
        <v>978</v>
      </c>
      <c r="C1196" s="117" t="s">
        <v>3460</v>
      </c>
      <c r="D1196" s="117" t="s">
        <v>3461</v>
      </c>
      <c r="E1196" s="117" t="s">
        <v>3462</v>
      </c>
      <c r="F1196" s="117" t="s">
        <v>3463</v>
      </c>
      <c r="G1196" s="117" t="s">
        <v>592</v>
      </c>
      <c r="H1196" s="117" t="s">
        <v>593</v>
      </c>
      <c r="I1196" s="117">
        <v>1.0</v>
      </c>
      <c r="J1196" s="117">
        <v>1.0</v>
      </c>
      <c r="K1196" s="117" t="str">
        <f t="shared" si="1"/>
        <v>No</v>
      </c>
      <c r="L1196" s="118" t="s">
        <v>116</v>
      </c>
      <c r="M1196" s="119">
        <v>0.16666666666666666</v>
      </c>
      <c r="N1196" s="120">
        <v>0.0</v>
      </c>
      <c r="O1196" s="121">
        <v>66.0</v>
      </c>
      <c r="P1196" s="117">
        <v>6.0</v>
      </c>
      <c r="Q1196" s="117">
        <f t="shared" si="2"/>
        <v>0</v>
      </c>
      <c r="R1196" s="122">
        <f>+(IF(((M1196*24)-P1196)&lt;0,0,((M1196*24)-P1196)*'Estimación de pérdidas'!$F$72))*N1196</f>
        <v>0</v>
      </c>
      <c r="S1196" s="123" t="s">
        <v>117</v>
      </c>
      <c r="T1196" s="124" t="s">
        <v>119</v>
      </c>
      <c r="U1196" s="124">
        <f t="shared" si="3"/>
        <v>1</v>
      </c>
      <c r="V1196" s="124">
        <v>1.0</v>
      </c>
      <c r="W1196" s="124"/>
      <c r="X1196" s="125"/>
      <c r="Y1196" s="126"/>
      <c r="Z1196" s="125">
        <f t="shared" si="4"/>
        <v>1</v>
      </c>
      <c r="AA1196" s="127" t="str">
        <f t="shared" si="5"/>
        <v>Bajo</v>
      </c>
      <c r="AB1196" s="128">
        <f t="shared" si="6"/>
        <v>4</v>
      </c>
      <c r="AC1196" s="129">
        <f t="shared" si="7"/>
        <v>0.07589466384</v>
      </c>
    </row>
    <row r="1197" ht="14.25" hidden="1" customHeight="1">
      <c r="A1197" s="116" t="s">
        <v>927</v>
      </c>
      <c r="B1197" s="117" t="s">
        <v>978</v>
      </c>
      <c r="C1197" s="117" t="s">
        <v>3464</v>
      </c>
      <c r="D1197" s="117" t="s">
        <v>3465</v>
      </c>
      <c r="E1197" s="117" t="s">
        <v>3466</v>
      </c>
      <c r="F1197" s="117" t="s">
        <v>585</v>
      </c>
      <c r="G1197" s="117" t="s">
        <v>2428</v>
      </c>
      <c r="H1197" s="117" t="s">
        <v>2429</v>
      </c>
      <c r="I1197" s="117">
        <v>1.0</v>
      </c>
      <c r="J1197" s="117">
        <v>1.0</v>
      </c>
      <c r="K1197" s="117" t="str">
        <f t="shared" si="1"/>
        <v>No</v>
      </c>
      <c r="L1197" s="118" t="s">
        <v>116</v>
      </c>
      <c r="M1197" s="119">
        <v>0.25</v>
      </c>
      <c r="N1197" s="120">
        <v>0.0</v>
      </c>
      <c r="O1197" s="121"/>
      <c r="P1197" s="117">
        <v>0.0</v>
      </c>
      <c r="Q1197" s="117">
        <f t="shared" si="2"/>
        <v>0</v>
      </c>
      <c r="R1197" s="122">
        <f>+(IF(((M1197*24)-P1197)&lt;0,0,((M1197*24)-P1197)*'Estimación de pérdidas'!$F$72))*N1197</f>
        <v>0</v>
      </c>
      <c r="S1197" s="123" t="s">
        <v>117</v>
      </c>
      <c r="T1197" s="124" t="s">
        <v>132</v>
      </c>
      <c r="U1197" s="124">
        <f t="shared" si="3"/>
        <v>1</v>
      </c>
      <c r="V1197" s="124">
        <v>1.0</v>
      </c>
      <c r="W1197" s="124"/>
      <c r="X1197" s="125"/>
      <c r="Y1197" s="126"/>
      <c r="Z1197" s="125">
        <f t="shared" si="4"/>
        <v>1</v>
      </c>
      <c r="AA1197" s="127" t="str">
        <f t="shared" si="5"/>
        <v>Bajo</v>
      </c>
      <c r="AB1197" s="128">
        <f t="shared" si="6"/>
        <v>1</v>
      </c>
      <c r="AC1197" s="129">
        <f t="shared" si="7"/>
        <v>0.02529822128</v>
      </c>
    </row>
    <row r="1198" ht="14.25" hidden="1" customHeight="1">
      <c r="A1198" s="116" t="s">
        <v>927</v>
      </c>
      <c r="B1198" s="117" t="s">
        <v>978</v>
      </c>
      <c r="C1198" s="117" t="s">
        <v>3464</v>
      </c>
      <c r="D1198" s="117" t="s">
        <v>3467</v>
      </c>
      <c r="E1198" s="117" t="s">
        <v>3466</v>
      </c>
      <c r="F1198" s="117" t="s">
        <v>585</v>
      </c>
      <c r="G1198" s="117" t="s">
        <v>2428</v>
      </c>
      <c r="H1198" s="117" t="s">
        <v>2429</v>
      </c>
      <c r="I1198" s="117">
        <v>1.0</v>
      </c>
      <c r="J1198" s="117">
        <v>1.0</v>
      </c>
      <c r="K1198" s="117" t="str">
        <f t="shared" si="1"/>
        <v>No</v>
      </c>
      <c r="L1198" s="118" t="s">
        <v>116</v>
      </c>
      <c r="M1198" s="119">
        <v>0.25</v>
      </c>
      <c r="N1198" s="120">
        <v>0.0</v>
      </c>
      <c r="O1198" s="121"/>
      <c r="P1198" s="117">
        <v>0.0</v>
      </c>
      <c r="Q1198" s="117">
        <f t="shared" si="2"/>
        <v>0</v>
      </c>
      <c r="R1198" s="122">
        <f>+(IF(((M1198*24)-P1198)&lt;0,0,((M1198*24)-P1198)*'Estimación de pérdidas'!$F$72))*N1198</f>
        <v>0</v>
      </c>
      <c r="S1198" s="123" t="s">
        <v>117</v>
      </c>
      <c r="T1198" s="124" t="s">
        <v>132</v>
      </c>
      <c r="U1198" s="124">
        <f t="shared" si="3"/>
        <v>1</v>
      </c>
      <c r="V1198" s="124">
        <v>1.0</v>
      </c>
      <c r="W1198" s="124"/>
      <c r="X1198" s="125"/>
      <c r="Y1198" s="126"/>
      <c r="Z1198" s="125">
        <f t="shared" si="4"/>
        <v>1</v>
      </c>
      <c r="AA1198" s="127" t="str">
        <f t="shared" si="5"/>
        <v>Bajo</v>
      </c>
      <c r="AB1198" s="128">
        <f t="shared" si="6"/>
        <v>1</v>
      </c>
      <c r="AC1198" s="129">
        <f t="shared" si="7"/>
        <v>0.02529822128</v>
      </c>
    </row>
    <row r="1199" ht="14.25" hidden="1" customHeight="1">
      <c r="A1199" s="116" t="s">
        <v>927</v>
      </c>
      <c r="B1199" s="117" t="s">
        <v>978</v>
      </c>
      <c r="C1199" s="117" t="s">
        <v>3464</v>
      </c>
      <c r="D1199" s="117" t="s">
        <v>3468</v>
      </c>
      <c r="E1199" s="117" t="s">
        <v>3466</v>
      </c>
      <c r="F1199" s="117" t="s">
        <v>585</v>
      </c>
      <c r="G1199" s="117" t="s">
        <v>2428</v>
      </c>
      <c r="H1199" s="117" t="s">
        <v>2429</v>
      </c>
      <c r="I1199" s="117">
        <v>1.0</v>
      </c>
      <c r="J1199" s="117">
        <v>1.0</v>
      </c>
      <c r="K1199" s="117" t="str">
        <f t="shared" si="1"/>
        <v>No</v>
      </c>
      <c r="L1199" s="118" t="s">
        <v>116</v>
      </c>
      <c r="M1199" s="119">
        <v>0.25</v>
      </c>
      <c r="N1199" s="120">
        <v>0.0</v>
      </c>
      <c r="O1199" s="121"/>
      <c r="P1199" s="117">
        <v>0.0</v>
      </c>
      <c r="Q1199" s="117">
        <f t="shared" si="2"/>
        <v>0</v>
      </c>
      <c r="R1199" s="122">
        <f>+(IF(((M1199*24)-P1199)&lt;0,0,((M1199*24)-P1199)*'Estimación de pérdidas'!$F$72))*N1199</f>
        <v>0</v>
      </c>
      <c r="S1199" s="123" t="s">
        <v>117</v>
      </c>
      <c r="T1199" s="124" t="s">
        <v>132</v>
      </c>
      <c r="U1199" s="124">
        <f t="shared" si="3"/>
        <v>1</v>
      </c>
      <c r="V1199" s="124">
        <v>1.0</v>
      </c>
      <c r="W1199" s="124"/>
      <c r="X1199" s="125"/>
      <c r="Y1199" s="126"/>
      <c r="Z1199" s="125">
        <f t="shared" si="4"/>
        <v>1</v>
      </c>
      <c r="AA1199" s="127" t="str">
        <f t="shared" si="5"/>
        <v>Bajo</v>
      </c>
      <c r="AB1199" s="128">
        <f t="shared" si="6"/>
        <v>1</v>
      </c>
      <c r="AC1199" s="129">
        <f t="shared" si="7"/>
        <v>0.02529822128</v>
      </c>
    </row>
    <row r="1200" ht="14.25" hidden="1" customHeight="1">
      <c r="A1200" s="116" t="s">
        <v>927</v>
      </c>
      <c r="B1200" s="117" t="s">
        <v>978</v>
      </c>
      <c r="C1200" s="117" t="s">
        <v>3464</v>
      </c>
      <c r="D1200" s="117" t="s">
        <v>3469</v>
      </c>
      <c r="E1200" s="117" t="s">
        <v>3466</v>
      </c>
      <c r="F1200" s="117" t="s">
        <v>585</v>
      </c>
      <c r="G1200" s="117" t="s">
        <v>2428</v>
      </c>
      <c r="H1200" s="117" t="s">
        <v>2429</v>
      </c>
      <c r="I1200" s="117">
        <v>1.0</v>
      </c>
      <c r="J1200" s="117">
        <v>1.0</v>
      </c>
      <c r="K1200" s="117" t="str">
        <f t="shared" si="1"/>
        <v>No</v>
      </c>
      <c r="L1200" s="118" t="s">
        <v>116</v>
      </c>
      <c r="M1200" s="119">
        <v>0.25</v>
      </c>
      <c r="N1200" s="120">
        <v>0.0</v>
      </c>
      <c r="O1200" s="121"/>
      <c r="P1200" s="117">
        <v>0.0</v>
      </c>
      <c r="Q1200" s="117">
        <f t="shared" si="2"/>
        <v>0</v>
      </c>
      <c r="R1200" s="122">
        <f>+(IF(((M1200*24)-P1200)&lt;0,0,((M1200*24)-P1200)*'Estimación de pérdidas'!$F$72))*N1200</f>
        <v>0</v>
      </c>
      <c r="S1200" s="123" t="s">
        <v>117</v>
      </c>
      <c r="T1200" s="124" t="s">
        <v>132</v>
      </c>
      <c r="U1200" s="124">
        <f t="shared" si="3"/>
        <v>1</v>
      </c>
      <c r="V1200" s="124">
        <v>1.0</v>
      </c>
      <c r="W1200" s="124"/>
      <c r="X1200" s="125"/>
      <c r="Y1200" s="126"/>
      <c r="Z1200" s="125">
        <f t="shared" si="4"/>
        <v>1</v>
      </c>
      <c r="AA1200" s="127" t="str">
        <f t="shared" si="5"/>
        <v>Bajo</v>
      </c>
      <c r="AB1200" s="128">
        <f t="shared" si="6"/>
        <v>1</v>
      </c>
      <c r="AC1200" s="129">
        <f t="shared" si="7"/>
        <v>0.02529822128</v>
      </c>
    </row>
    <row r="1201" ht="14.25" hidden="1" customHeight="1">
      <c r="A1201" s="116" t="s">
        <v>927</v>
      </c>
      <c r="B1201" s="117" t="s">
        <v>978</v>
      </c>
      <c r="C1201" s="117" t="s">
        <v>3464</v>
      </c>
      <c r="D1201" s="117" t="s">
        <v>3470</v>
      </c>
      <c r="E1201" s="117" t="s">
        <v>3466</v>
      </c>
      <c r="F1201" s="117" t="s">
        <v>585</v>
      </c>
      <c r="G1201" s="117" t="s">
        <v>2428</v>
      </c>
      <c r="H1201" s="117" t="s">
        <v>2429</v>
      </c>
      <c r="I1201" s="117">
        <v>1.0</v>
      </c>
      <c r="J1201" s="117">
        <v>1.0</v>
      </c>
      <c r="K1201" s="117" t="str">
        <f t="shared" si="1"/>
        <v>No</v>
      </c>
      <c r="L1201" s="118" t="s">
        <v>116</v>
      </c>
      <c r="M1201" s="119">
        <v>0.25</v>
      </c>
      <c r="N1201" s="120">
        <v>0.0</v>
      </c>
      <c r="O1201" s="121"/>
      <c r="P1201" s="117">
        <v>0.0</v>
      </c>
      <c r="Q1201" s="117">
        <f t="shared" si="2"/>
        <v>0</v>
      </c>
      <c r="R1201" s="122">
        <f>+(IF(((M1201*24)-P1201)&lt;0,0,((M1201*24)-P1201)*'Estimación de pérdidas'!$F$72))*N1201</f>
        <v>0</v>
      </c>
      <c r="S1201" s="123" t="s">
        <v>117</v>
      </c>
      <c r="T1201" s="124" t="s">
        <v>132</v>
      </c>
      <c r="U1201" s="124">
        <f t="shared" si="3"/>
        <v>1</v>
      </c>
      <c r="V1201" s="124">
        <v>1.0</v>
      </c>
      <c r="W1201" s="124"/>
      <c r="X1201" s="125"/>
      <c r="Y1201" s="126"/>
      <c r="Z1201" s="125">
        <f t="shared" si="4"/>
        <v>1</v>
      </c>
      <c r="AA1201" s="127" t="str">
        <f t="shared" si="5"/>
        <v>Bajo</v>
      </c>
      <c r="AB1201" s="128">
        <f t="shared" si="6"/>
        <v>1</v>
      </c>
      <c r="AC1201" s="129">
        <f t="shared" si="7"/>
        <v>0.02529822128</v>
      </c>
    </row>
    <row r="1202" ht="14.25" hidden="1" customHeight="1">
      <c r="A1202" s="116" t="s">
        <v>927</v>
      </c>
      <c r="B1202" s="117" t="s">
        <v>978</v>
      </c>
      <c r="C1202" s="117" t="s">
        <v>3464</v>
      </c>
      <c r="D1202" s="117" t="s">
        <v>3471</v>
      </c>
      <c r="E1202" s="117" t="s">
        <v>3466</v>
      </c>
      <c r="F1202" s="117" t="s">
        <v>585</v>
      </c>
      <c r="G1202" s="117" t="s">
        <v>2428</v>
      </c>
      <c r="H1202" s="117" t="s">
        <v>2429</v>
      </c>
      <c r="I1202" s="117">
        <v>1.0</v>
      </c>
      <c r="J1202" s="117">
        <v>1.0</v>
      </c>
      <c r="K1202" s="117" t="str">
        <f t="shared" si="1"/>
        <v>No</v>
      </c>
      <c r="L1202" s="118" t="s">
        <v>116</v>
      </c>
      <c r="M1202" s="119">
        <v>0.25</v>
      </c>
      <c r="N1202" s="120">
        <v>0.0</v>
      </c>
      <c r="O1202" s="121"/>
      <c r="P1202" s="117">
        <v>0.0</v>
      </c>
      <c r="Q1202" s="117">
        <f t="shared" si="2"/>
        <v>0</v>
      </c>
      <c r="R1202" s="122">
        <f>+(IF(((M1202*24)-P1202)&lt;0,0,((M1202*24)-P1202)*'Estimación de pérdidas'!$F$72))*N1202</f>
        <v>0</v>
      </c>
      <c r="S1202" s="123" t="s">
        <v>117</v>
      </c>
      <c r="T1202" s="124" t="s">
        <v>132</v>
      </c>
      <c r="U1202" s="124">
        <f t="shared" si="3"/>
        <v>1</v>
      </c>
      <c r="V1202" s="124">
        <v>1.0</v>
      </c>
      <c r="W1202" s="124"/>
      <c r="X1202" s="125"/>
      <c r="Y1202" s="126"/>
      <c r="Z1202" s="125">
        <f t="shared" si="4"/>
        <v>1</v>
      </c>
      <c r="AA1202" s="127" t="str">
        <f t="shared" si="5"/>
        <v>Bajo</v>
      </c>
      <c r="AB1202" s="128">
        <f t="shared" si="6"/>
        <v>1</v>
      </c>
      <c r="AC1202" s="129">
        <f t="shared" si="7"/>
        <v>0.02529822128</v>
      </c>
    </row>
    <row r="1203" ht="14.25" hidden="1" customHeight="1">
      <c r="A1203" s="116" t="s">
        <v>927</v>
      </c>
      <c r="B1203" s="117" t="s">
        <v>1037</v>
      </c>
      <c r="C1203" s="117" t="s">
        <v>3472</v>
      </c>
      <c r="D1203" s="117" t="s">
        <v>3473</v>
      </c>
      <c r="E1203" s="117" t="s">
        <v>3474</v>
      </c>
      <c r="F1203" s="117" t="s">
        <v>585</v>
      </c>
      <c r="G1203" s="117" t="s">
        <v>2428</v>
      </c>
      <c r="H1203" s="117" t="s">
        <v>2429</v>
      </c>
      <c r="I1203" s="117">
        <v>1.0</v>
      </c>
      <c r="J1203" s="117">
        <v>1.0</v>
      </c>
      <c r="K1203" s="117" t="str">
        <f t="shared" si="1"/>
        <v>No</v>
      </c>
      <c r="L1203" s="118" t="s">
        <v>116</v>
      </c>
      <c r="M1203" s="119">
        <v>0.25</v>
      </c>
      <c r="N1203" s="120">
        <v>0.0</v>
      </c>
      <c r="O1203" s="121"/>
      <c r="P1203" s="117">
        <v>0.0</v>
      </c>
      <c r="Q1203" s="117">
        <f t="shared" si="2"/>
        <v>0</v>
      </c>
      <c r="R1203" s="122">
        <f>+(IF(((M1203*24)-P1203)&lt;0,0,((M1203*24)-P1203)*'Estimación de pérdidas'!$F$72))*N1203</f>
        <v>0</v>
      </c>
      <c r="S1203" s="123" t="s">
        <v>117</v>
      </c>
      <c r="T1203" s="124" t="s">
        <v>132</v>
      </c>
      <c r="U1203" s="124">
        <f t="shared" si="3"/>
        <v>1</v>
      </c>
      <c r="V1203" s="124">
        <v>1.0</v>
      </c>
      <c r="W1203" s="124"/>
      <c r="X1203" s="125"/>
      <c r="Y1203" s="126"/>
      <c r="Z1203" s="125">
        <f t="shared" si="4"/>
        <v>1</v>
      </c>
      <c r="AA1203" s="127" t="str">
        <f t="shared" si="5"/>
        <v>Bajo</v>
      </c>
      <c r="AB1203" s="128">
        <f t="shared" si="6"/>
        <v>1</v>
      </c>
      <c r="AC1203" s="129">
        <f t="shared" si="7"/>
        <v>0.02529822128</v>
      </c>
    </row>
    <row r="1204" ht="14.25" hidden="1" customHeight="1">
      <c r="A1204" s="116" t="s">
        <v>927</v>
      </c>
      <c r="B1204" s="117" t="s">
        <v>1037</v>
      </c>
      <c r="C1204" s="117" t="s">
        <v>3472</v>
      </c>
      <c r="D1204" s="117" t="s">
        <v>3475</v>
      </c>
      <c r="E1204" s="117" t="s">
        <v>3474</v>
      </c>
      <c r="F1204" s="117" t="s">
        <v>585</v>
      </c>
      <c r="G1204" s="117" t="s">
        <v>2428</v>
      </c>
      <c r="H1204" s="117" t="s">
        <v>2429</v>
      </c>
      <c r="I1204" s="117">
        <v>1.0</v>
      </c>
      <c r="J1204" s="117">
        <v>1.0</v>
      </c>
      <c r="K1204" s="117" t="str">
        <f t="shared" si="1"/>
        <v>No</v>
      </c>
      <c r="L1204" s="118" t="s">
        <v>116</v>
      </c>
      <c r="M1204" s="119">
        <v>0.25</v>
      </c>
      <c r="N1204" s="120">
        <v>0.0</v>
      </c>
      <c r="O1204" s="121"/>
      <c r="P1204" s="117">
        <v>0.0</v>
      </c>
      <c r="Q1204" s="117">
        <f t="shared" si="2"/>
        <v>0</v>
      </c>
      <c r="R1204" s="122">
        <f>+(IF(((M1204*24)-P1204)&lt;0,0,((M1204*24)-P1204)*'Estimación de pérdidas'!$F$72))*N1204</f>
        <v>0</v>
      </c>
      <c r="S1204" s="123" t="s">
        <v>117</v>
      </c>
      <c r="T1204" s="124" t="s">
        <v>132</v>
      </c>
      <c r="U1204" s="124">
        <f t="shared" si="3"/>
        <v>1</v>
      </c>
      <c r="V1204" s="124">
        <v>1.0</v>
      </c>
      <c r="W1204" s="124"/>
      <c r="X1204" s="125"/>
      <c r="Y1204" s="126"/>
      <c r="Z1204" s="125">
        <f t="shared" si="4"/>
        <v>1</v>
      </c>
      <c r="AA1204" s="127" t="str">
        <f t="shared" si="5"/>
        <v>Bajo</v>
      </c>
      <c r="AB1204" s="128">
        <f t="shared" si="6"/>
        <v>1</v>
      </c>
      <c r="AC1204" s="129">
        <f t="shared" si="7"/>
        <v>0.02529822128</v>
      </c>
    </row>
    <row r="1205" ht="14.25" hidden="1" customHeight="1">
      <c r="A1205" s="116" t="s">
        <v>927</v>
      </c>
      <c r="B1205" s="117" t="s">
        <v>1037</v>
      </c>
      <c r="C1205" s="117" t="s">
        <v>3472</v>
      </c>
      <c r="D1205" s="117" t="s">
        <v>3476</v>
      </c>
      <c r="E1205" s="117" t="s">
        <v>3474</v>
      </c>
      <c r="F1205" s="117" t="s">
        <v>585</v>
      </c>
      <c r="G1205" s="117" t="s">
        <v>2428</v>
      </c>
      <c r="H1205" s="117" t="s">
        <v>2429</v>
      </c>
      <c r="I1205" s="117">
        <v>1.0</v>
      </c>
      <c r="J1205" s="117">
        <v>1.0</v>
      </c>
      <c r="K1205" s="117" t="str">
        <f t="shared" si="1"/>
        <v>No</v>
      </c>
      <c r="L1205" s="118" t="s">
        <v>116</v>
      </c>
      <c r="M1205" s="119">
        <v>0.25</v>
      </c>
      <c r="N1205" s="120">
        <v>0.0</v>
      </c>
      <c r="O1205" s="121"/>
      <c r="P1205" s="117">
        <v>0.0</v>
      </c>
      <c r="Q1205" s="117">
        <f t="shared" si="2"/>
        <v>0</v>
      </c>
      <c r="R1205" s="122">
        <f>+(IF(((M1205*24)-P1205)&lt;0,0,((M1205*24)-P1205)*'Estimación de pérdidas'!$F$72))*N1205</f>
        <v>0</v>
      </c>
      <c r="S1205" s="123" t="s">
        <v>117</v>
      </c>
      <c r="T1205" s="124" t="s">
        <v>132</v>
      </c>
      <c r="U1205" s="124">
        <f t="shared" si="3"/>
        <v>1</v>
      </c>
      <c r="V1205" s="124">
        <v>1.0</v>
      </c>
      <c r="W1205" s="124"/>
      <c r="X1205" s="125"/>
      <c r="Y1205" s="126"/>
      <c r="Z1205" s="125">
        <f t="shared" si="4"/>
        <v>1</v>
      </c>
      <c r="AA1205" s="127" t="str">
        <f t="shared" si="5"/>
        <v>Bajo</v>
      </c>
      <c r="AB1205" s="128">
        <f t="shared" si="6"/>
        <v>1</v>
      </c>
      <c r="AC1205" s="129">
        <f t="shared" si="7"/>
        <v>0.02529822128</v>
      </c>
    </row>
    <row r="1206" ht="14.25" hidden="1" customHeight="1">
      <c r="A1206" s="116" t="s">
        <v>927</v>
      </c>
      <c r="B1206" s="117" t="s">
        <v>1037</v>
      </c>
      <c r="C1206" s="117" t="s">
        <v>3472</v>
      </c>
      <c r="D1206" s="117" t="s">
        <v>3477</v>
      </c>
      <c r="E1206" s="117" t="s">
        <v>3474</v>
      </c>
      <c r="F1206" s="117" t="s">
        <v>585</v>
      </c>
      <c r="G1206" s="117" t="s">
        <v>2428</v>
      </c>
      <c r="H1206" s="117" t="s">
        <v>2429</v>
      </c>
      <c r="I1206" s="117">
        <v>1.0</v>
      </c>
      <c r="J1206" s="117">
        <v>1.0</v>
      </c>
      <c r="K1206" s="117" t="str">
        <f t="shared" si="1"/>
        <v>No</v>
      </c>
      <c r="L1206" s="118" t="s">
        <v>116</v>
      </c>
      <c r="M1206" s="119">
        <v>0.25</v>
      </c>
      <c r="N1206" s="120">
        <v>0.0</v>
      </c>
      <c r="O1206" s="121"/>
      <c r="P1206" s="117">
        <v>0.0</v>
      </c>
      <c r="Q1206" s="117">
        <f t="shared" si="2"/>
        <v>0</v>
      </c>
      <c r="R1206" s="122">
        <f>+(IF(((M1206*24)-P1206)&lt;0,0,((M1206*24)-P1206)*'Estimación de pérdidas'!$F$72))*N1206</f>
        <v>0</v>
      </c>
      <c r="S1206" s="123" t="s">
        <v>117</v>
      </c>
      <c r="T1206" s="124" t="s">
        <v>132</v>
      </c>
      <c r="U1206" s="124">
        <f t="shared" si="3"/>
        <v>1</v>
      </c>
      <c r="V1206" s="124">
        <v>1.0</v>
      </c>
      <c r="W1206" s="124"/>
      <c r="X1206" s="125"/>
      <c r="Y1206" s="126"/>
      <c r="Z1206" s="125">
        <f t="shared" si="4"/>
        <v>1</v>
      </c>
      <c r="AA1206" s="127" t="str">
        <f t="shared" si="5"/>
        <v>Bajo</v>
      </c>
      <c r="AB1206" s="128">
        <f t="shared" si="6"/>
        <v>1</v>
      </c>
      <c r="AC1206" s="129">
        <f t="shared" si="7"/>
        <v>0.02529822128</v>
      </c>
    </row>
    <row r="1207" ht="14.25" hidden="1" customHeight="1">
      <c r="A1207" s="116" t="s">
        <v>927</v>
      </c>
      <c r="B1207" s="117" t="s">
        <v>1037</v>
      </c>
      <c r="C1207" s="117" t="s">
        <v>3472</v>
      </c>
      <c r="D1207" s="117" t="s">
        <v>3478</v>
      </c>
      <c r="E1207" s="117" t="s">
        <v>3474</v>
      </c>
      <c r="F1207" s="117" t="s">
        <v>585</v>
      </c>
      <c r="G1207" s="117" t="s">
        <v>2428</v>
      </c>
      <c r="H1207" s="117" t="s">
        <v>2429</v>
      </c>
      <c r="I1207" s="117">
        <v>1.0</v>
      </c>
      <c r="J1207" s="117">
        <v>1.0</v>
      </c>
      <c r="K1207" s="117" t="str">
        <f t="shared" si="1"/>
        <v>No</v>
      </c>
      <c r="L1207" s="118" t="s">
        <v>116</v>
      </c>
      <c r="M1207" s="119">
        <v>0.25</v>
      </c>
      <c r="N1207" s="120">
        <v>0.0</v>
      </c>
      <c r="O1207" s="121"/>
      <c r="P1207" s="117">
        <v>0.0</v>
      </c>
      <c r="Q1207" s="117">
        <f t="shared" si="2"/>
        <v>0</v>
      </c>
      <c r="R1207" s="122">
        <f>+(IF(((M1207*24)-P1207)&lt;0,0,((M1207*24)-P1207)*'Estimación de pérdidas'!$F$72))*N1207</f>
        <v>0</v>
      </c>
      <c r="S1207" s="123" t="s">
        <v>117</v>
      </c>
      <c r="T1207" s="124" t="s">
        <v>132</v>
      </c>
      <c r="U1207" s="124">
        <f t="shared" si="3"/>
        <v>1</v>
      </c>
      <c r="V1207" s="124">
        <v>1.0</v>
      </c>
      <c r="W1207" s="124"/>
      <c r="X1207" s="125"/>
      <c r="Y1207" s="126"/>
      <c r="Z1207" s="125">
        <f t="shared" si="4"/>
        <v>1</v>
      </c>
      <c r="AA1207" s="127" t="str">
        <f t="shared" si="5"/>
        <v>Bajo</v>
      </c>
      <c r="AB1207" s="128">
        <f t="shared" si="6"/>
        <v>1</v>
      </c>
      <c r="AC1207" s="129">
        <f t="shared" si="7"/>
        <v>0.02529822128</v>
      </c>
    </row>
    <row r="1208" ht="14.25" hidden="1" customHeight="1">
      <c r="A1208" s="116" t="s">
        <v>927</v>
      </c>
      <c r="B1208" s="117" t="s">
        <v>1037</v>
      </c>
      <c r="C1208" s="117" t="s">
        <v>3472</v>
      </c>
      <c r="D1208" s="117" t="s">
        <v>3479</v>
      </c>
      <c r="E1208" s="117" t="s">
        <v>3474</v>
      </c>
      <c r="F1208" s="117" t="s">
        <v>585</v>
      </c>
      <c r="G1208" s="117" t="s">
        <v>2428</v>
      </c>
      <c r="H1208" s="117" t="s">
        <v>2429</v>
      </c>
      <c r="I1208" s="117">
        <v>1.0</v>
      </c>
      <c r="J1208" s="117">
        <v>1.0</v>
      </c>
      <c r="K1208" s="117" t="str">
        <f t="shared" si="1"/>
        <v>No</v>
      </c>
      <c r="L1208" s="118" t="s">
        <v>116</v>
      </c>
      <c r="M1208" s="119">
        <v>0.25</v>
      </c>
      <c r="N1208" s="120">
        <v>0.0</v>
      </c>
      <c r="O1208" s="121"/>
      <c r="P1208" s="117">
        <v>0.0</v>
      </c>
      <c r="Q1208" s="117">
        <f t="shared" si="2"/>
        <v>0</v>
      </c>
      <c r="R1208" s="122">
        <f>+(IF(((M1208*24)-P1208)&lt;0,0,((M1208*24)-P1208)*'Estimación de pérdidas'!$F$72))*N1208</f>
        <v>0</v>
      </c>
      <c r="S1208" s="123" t="s">
        <v>117</v>
      </c>
      <c r="T1208" s="124" t="s">
        <v>132</v>
      </c>
      <c r="U1208" s="124">
        <f t="shared" si="3"/>
        <v>1</v>
      </c>
      <c r="V1208" s="124">
        <v>1.0</v>
      </c>
      <c r="W1208" s="124"/>
      <c r="X1208" s="125"/>
      <c r="Y1208" s="126"/>
      <c r="Z1208" s="125">
        <f t="shared" si="4"/>
        <v>1</v>
      </c>
      <c r="AA1208" s="127" t="str">
        <f t="shared" si="5"/>
        <v>Bajo</v>
      </c>
      <c r="AB1208" s="128">
        <f t="shared" si="6"/>
        <v>1</v>
      </c>
      <c r="AC1208" s="129">
        <f t="shared" si="7"/>
        <v>0.02529822128</v>
      </c>
    </row>
    <row r="1209" ht="14.25" hidden="1" customHeight="1">
      <c r="A1209" s="116" t="s">
        <v>1145</v>
      </c>
      <c r="B1209" s="117" t="s">
        <v>1145</v>
      </c>
      <c r="C1209" s="117" t="s">
        <v>332</v>
      </c>
      <c r="D1209" s="117" t="s">
        <v>3480</v>
      </c>
      <c r="E1209" s="117" t="s">
        <v>3481</v>
      </c>
      <c r="F1209" s="117" t="s">
        <v>335</v>
      </c>
      <c r="G1209" s="117" t="s">
        <v>336</v>
      </c>
      <c r="H1209" s="117" t="s">
        <v>337</v>
      </c>
      <c r="I1209" s="117">
        <v>1.0</v>
      </c>
      <c r="J1209" s="117">
        <v>1.0</v>
      </c>
      <c r="K1209" s="117" t="str">
        <f t="shared" si="1"/>
        <v>No</v>
      </c>
      <c r="L1209" s="118" t="s">
        <v>116</v>
      </c>
      <c r="M1209" s="119">
        <v>0.3333333333333333</v>
      </c>
      <c r="N1209" s="120">
        <v>0.0</v>
      </c>
      <c r="O1209" s="121">
        <v>91.32</v>
      </c>
      <c r="P1209" s="117">
        <v>1.0</v>
      </c>
      <c r="Q1209" s="117">
        <f t="shared" si="2"/>
        <v>0</v>
      </c>
      <c r="R1209" s="122">
        <f>+(IF(((M1209*24)-P1209)&lt;0,0,((M1209*24)-P1209)*'Estimación de pérdidas'!$F$72))*N1209</f>
        <v>0</v>
      </c>
      <c r="S1209" s="123" t="s">
        <v>117</v>
      </c>
      <c r="T1209" s="124" t="s">
        <v>118</v>
      </c>
      <c r="U1209" s="124">
        <f t="shared" si="3"/>
        <v>1</v>
      </c>
      <c r="V1209" s="124">
        <v>2.0</v>
      </c>
      <c r="W1209" s="124"/>
      <c r="X1209" s="125"/>
      <c r="Y1209" s="126"/>
      <c r="Z1209" s="125">
        <f t="shared" si="4"/>
        <v>2</v>
      </c>
      <c r="AA1209" s="127" t="str">
        <f t="shared" si="5"/>
        <v>Bajo</v>
      </c>
      <c r="AB1209" s="128">
        <f t="shared" si="6"/>
        <v>5</v>
      </c>
      <c r="AC1209" s="129">
        <f t="shared" si="7"/>
        <v>0.08</v>
      </c>
    </row>
    <row r="1210" ht="14.25" hidden="1" customHeight="1">
      <c r="A1210" s="116" t="s">
        <v>1145</v>
      </c>
      <c r="B1210" s="117" t="s">
        <v>1145</v>
      </c>
      <c r="C1210" s="117" t="s">
        <v>3482</v>
      </c>
      <c r="D1210" s="117" t="s">
        <v>3483</v>
      </c>
      <c r="E1210" s="117" t="s">
        <v>3484</v>
      </c>
      <c r="F1210" s="117" t="s">
        <v>585</v>
      </c>
      <c r="G1210" s="117" t="s">
        <v>2428</v>
      </c>
      <c r="H1210" s="117" t="s">
        <v>2429</v>
      </c>
      <c r="I1210" s="117">
        <v>1.0</v>
      </c>
      <c r="J1210" s="117">
        <v>1.0</v>
      </c>
      <c r="K1210" s="117" t="str">
        <f t="shared" si="1"/>
        <v>No</v>
      </c>
      <c r="L1210" s="118" t="s">
        <v>116</v>
      </c>
      <c r="M1210" s="119">
        <v>0.25</v>
      </c>
      <c r="N1210" s="120">
        <v>0.0</v>
      </c>
      <c r="O1210" s="121"/>
      <c r="P1210" s="117">
        <v>0.0</v>
      </c>
      <c r="Q1210" s="117">
        <f t="shared" si="2"/>
        <v>0</v>
      </c>
      <c r="R1210" s="122">
        <f>+(IF(((M1210*24)-P1210)&lt;0,0,((M1210*24)-P1210)*'Estimación de pérdidas'!$F$72))*N1210</f>
        <v>0</v>
      </c>
      <c r="S1210" s="123" t="s">
        <v>117</v>
      </c>
      <c r="T1210" s="124" t="s">
        <v>132</v>
      </c>
      <c r="U1210" s="124">
        <f t="shared" si="3"/>
        <v>1</v>
      </c>
      <c r="V1210" s="124">
        <v>1.0</v>
      </c>
      <c r="W1210" s="124"/>
      <c r="X1210" s="125"/>
      <c r="Y1210" s="126"/>
      <c r="Z1210" s="125">
        <f t="shared" si="4"/>
        <v>1</v>
      </c>
      <c r="AA1210" s="127" t="str">
        <f t="shared" si="5"/>
        <v>Bajo</v>
      </c>
      <c r="AB1210" s="128">
        <f t="shared" si="6"/>
        <v>1</v>
      </c>
      <c r="AC1210" s="129">
        <f t="shared" si="7"/>
        <v>0.02529822128</v>
      </c>
    </row>
    <row r="1211" ht="14.25" hidden="1" customHeight="1">
      <c r="A1211" s="116" t="s">
        <v>1145</v>
      </c>
      <c r="B1211" s="117" t="s">
        <v>1145</v>
      </c>
      <c r="C1211" s="117" t="s">
        <v>3482</v>
      </c>
      <c r="D1211" s="117" t="s">
        <v>3485</v>
      </c>
      <c r="E1211" s="117" t="s">
        <v>3484</v>
      </c>
      <c r="F1211" s="117" t="s">
        <v>585</v>
      </c>
      <c r="G1211" s="117" t="s">
        <v>2428</v>
      </c>
      <c r="H1211" s="117" t="s">
        <v>2429</v>
      </c>
      <c r="I1211" s="117">
        <v>1.0</v>
      </c>
      <c r="J1211" s="117">
        <v>1.0</v>
      </c>
      <c r="K1211" s="117" t="str">
        <f t="shared" si="1"/>
        <v>No</v>
      </c>
      <c r="L1211" s="118" t="s">
        <v>116</v>
      </c>
      <c r="M1211" s="119">
        <v>0.25</v>
      </c>
      <c r="N1211" s="120">
        <v>0.0</v>
      </c>
      <c r="O1211" s="121"/>
      <c r="P1211" s="117">
        <v>0.0</v>
      </c>
      <c r="Q1211" s="117">
        <f t="shared" si="2"/>
        <v>0</v>
      </c>
      <c r="R1211" s="122">
        <f>+(IF(((M1211*24)-P1211)&lt;0,0,((M1211*24)-P1211)*'Estimación de pérdidas'!$F$72))*N1211</f>
        <v>0</v>
      </c>
      <c r="S1211" s="123" t="s">
        <v>117</v>
      </c>
      <c r="T1211" s="124" t="s">
        <v>132</v>
      </c>
      <c r="U1211" s="124">
        <f t="shared" si="3"/>
        <v>1</v>
      </c>
      <c r="V1211" s="124">
        <v>1.0</v>
      </c>
      <c r="W1211" s="124"/>
      <c r="X1211" s="125"/>
      <c r="Y1211" s="126"/>
      <c r="Z1211" s="125">
        <f t="shared" si="4"/>
        <v>1</v>
      </c>
      <c r="AA1211" s="127" t="str">
        <f t="shared" si="5"/>
        <v>Bajo</v>
      </c>
      <c r="AB1211" s="128">
        <f t="shared" si="6"/>
        <v>1</v>
      </c>
      <c r="AC1211" s="129">
        <f t="shared" si="7"/>
        <v>0.02529822128</v>
      </c>
    </row>
    <row r="1212" ht="14.25" hidden="1" customHeight="1">
      <c r="A1212" s="116" t="s">
        <v>1145</v>
      </c>
      <c r="B1212" s="117" t="s">
        <v>1145</v>
      </c>
      <c r="C1212" s="117" t="s">
        <v>3482</v>
      </c>
      <c r="D1212" s="117" t="s">
        <v>3486</v>
      </c>
      <c r="E1212" s="117" t="s">
        <v>3484</v>
      </c>
      <c r="F1212" s="117" t="s">
        <v>585</v>
      </c>
      <c r="G1212" s="117" t="s">
        <v>2428</v>
      </c>
      <c r="H1212" s="117" t="s">
        <v>2429</v>
      </c>
      <c r="I1212" s="117">
        <v>1.0</v>
      </c>
      <c r="J1212" s="117">
        <v>1.0</v>
      </c>
      <c r="K1212" s="117" t="str">
        <f t="shared" si="1"/>
        <v>No</v>
      </c>
      <c r="L1212" s="118" t="s">
        <v>116</v>
      </c>
      <c r="M1212" s="119">
        <v>0.25</v>
      </c>
      <c r="N1212" s="120">
        <v>0.0</v>
      </c>
      <c r="O1212" s="121"/>
      <c r="P1212" s="117">
        <v>0.0</v>
      </c>
      <c r="Q1212" s="117">
        <f t="shared" si="2"/>
        <v>0</v>
      </c>
      <c r="R1212" s="122">
        <f>+(IF(((M1212*24)-P1212)&lt;0,0,((M1212*24)-P1212)*'Estimación de pérdidas'!$F$72))*N1212</f>
        <v>0</v>
      </c>
      <c r="S1212" s="123" t="s">
        <v>117</v>
      </c>
      <c r="T1212" s="124" t="s">
        <v>132</v>
      </c>
      <c r="U1212" s="124">
        <f t="shared" si="3"/>
        <v>1</v>
      </c>
      <c r="V1212" s="124">
        <v>1.0</v>
      </c>
      <c r="W1212" s="124"/>
      <c r="X1212" s="125"/>
      <c r="Y1212" s="126"/>
      <c r="Z1212" s="125">
        <f t="shared" si="4"/>
        <v>1</v>
      </c>
      <c r="AA1212" s="127" t="str">
        <f t="shared" si="5"/>
        <v>Bajo</v>
      </c>
      <c r="AB1212" s="128">
        <f t="shared" si="6"/>
        <v>1</v>
      </c>
      <c r="AC1212" s="129">
        <f t="shared" si="7"/>
        <v>0.02529822128</v>
      </c>
    </row>
    <row r="1213" ht="14.25" hidden="1" customHeight="1">
      <c r="A1213" s="116" t="s">
        <v>1145</v>
      </c>
      <c r="B1213" s="117" t="s">
        <v>1145</v>
      </c>
      <c r="C1213" s="117" t="s">
        <v>3482</v>
      </c>
      <c r="D1213" s="117" t="s">
        <v>3487</v>
      </c>
      <c r="E1213" s="117" t="s">
        <v>3484</v>
      </c>
      <c r="F1213" s="117" t="s">
        <v>585</v>
      </c>
      <c r="G1213" s="117" t="s">
        <v>2428</v>
      </c>
      <c r="H1213" s="117" t="s">
        <v>2429</v>
      </c>
      <c r="I1213" s="117">
        <v>1.0</v>
      </c>
      <c r="J1213" s="117">
        <v>1.0</v>
      </c>
      <c r="K1213" s="117" t="str">
        <f t="shared" si="1"/>
        <v>No</v>
      </c>
      <c r="L1213" s="118" t="s">
        <v>116</v>
      </c>
      <c r="M1213" s="119">
        <v>0.25</v>
      </c>
      <c r="N1213" s="120">
        <v>0.0</v>
      </c>
      <c r="O1213" s="121"/>
      <c r="P1213" s="117">
        <v>0.0</v>
      </c>
      <c r="Q1213" s="117">
        <f t="shared" si="2"/>
        <v>0</v>
      </c>
      <c r="R1213" s="122">
        <f>+(IF(((M1213*24)-P1213)&lt;0,0,((M1213*24)-P1213)*'Estimación de pérdidas'!$F$72))*N1213</f>
        <v>0</v>
      </c>
      <c r="S1213" s="123" t="s">
        <v>117</v>
      </c>
      <c r="T1213" s="124" t="s">
        <v>132</v>
      </c>
      <c r="U1213" s="124">
        <f t="shared" si="3"/>
        <v>1</v>
      </c>
      <c r="V1213" s="124">
        <v>1.0</v>
      </c>
      <c r="W1213" s="124"/>
      <c r="X1213" s="125"/>
      <c r="Y1213" s="126"/>
      <c r="Z1213" s="125">
        <f t="shared" si="4"/>
        <v>1</v>
      </c>
      <c r="AA1213" s="127" t="str">
        <f t="shared" si="5"/>
        <v>Bajo</v>
      </c>
      <c r="AB1213" s="128">
        <f t="shared" si="6"/>
        <v>1</v>
      </c>
      <c r="AC1213" s="129">
        <f t="shared" si="7"/>
        <v>0.02529822128</v>
      </c>
    </row>
    <row r="1214" ht="14.25" hidden="1" customHeight="1">
      <c r="A1214" s="116" t="s">
        <v>1345</v>
      </c>
      <c r="B1214" s="117" t="s">
        <v>1346</v>
      </c>
      <c r="C1214" s="117" t="s">
        <v>332</v>
      </c>
      <c r="D1214" s="117" t="s">
        <v>3488</v>
      </c>
      <c r="E1214" s="117" t="s">
        <v>3427</v>
      </c>
      <c r="F1214" s="117" t="s">
        <v>335</v>
      </c>
      <c r="G1214" s="117" t="s">
        <v>336</v>
      </c>
      <c r="H1214" s="117" t="s">
        <v>337</v>
      </c>
      <c r="I1214" s="117">
        <v>1.0</v>
      </c>
      <c r="J1214" s="117">
        <v>1.0</v>
      </c>
      <c r="K1214" s="117" t="str">
        <f t="shared" si="1"/>
        <v>No</v>
      </c>
      <c r="L1214" s="118" t="s">
        <v>116</v>
      </c>
      <c r="M1214" s="119">
        <v>0.3333333333333333</v>
      </c>
      <c r="N1214" s="120">
        <v>0.0</v>
      </c>
      <c r="O1214" s="121">
        <v>91.32</v>
      </c>
      <c r="P1214" s="117">
        <v>1.0</v>
      </c>
      <c r="Q1214" s="117">
        <f t="shared" si="2"/>
        <v>0</v>
      </c>
      <c r="R1214" s="122">
        <f>+(IF(((M1214*24)-P1214)&lt;0,0,((M1214*24)-P1214)*'Estimación de pérdidas'!$F$72))*N1214</f>
        <v>0</v>
      </c>
      <c r="S1214" s="123" t="s">
        <v>117</v>
      </c>
      <c r="T1214" s="124" t="s">
        <v>118</v>
      </c>
      <c r="U1214" s="124">
        <f t="shared" si="3"/>
        <v>1</v>
      </c>
      <c r="V1214" s="124">
        <v>2.0</v>
      </c>
      <c r="W1214" s="124"/>
      <c r="X1214" s="125"/>
      <c r="Y1214" s="126"/>
      <c r="Z1214" s="125">
        <f t="shared" si="4"/>
        <v>2</v>
      </c>
      <c r="AA1214" s="127" t="str">
        <f t="shared" si="5"/>
        <v>Bajo</v>
      </c>
      <c r="AB1214" s="128">
        <f t="shared" si="6"/>
        <v>5</v>
      </c>
      <c r="AC1214" s="129">
        <f t="shared" si="7"/>
        <v>0.08</v>
      </c>
    </row>
    <row r="1215" ht="14.25" hidden="1" customHeight="1">
      <c r="A1215" s="116" t="s">
        <v>1345</v>
      </c>
      <c r="B1215" s="117" t="s">
        <v>1378</v>
      </c>
      <c r="C1215" s="117" t="s">
        <v>3489</v>
      </c>
      <c r="D1215" s="117" t="s">
        <v>3490</v>
      </c>
      <c r="E1215" s="117" t="s">
        <v>3491</v>
      </c>
      <c r="F1215" s="117" t="s">
        <v>3492</v>
      </c>
      <c r="G1215" s="117" t="s">
        <v>592</v>
      </c>
      <c r="H1215" s="117" t="s">
        <v>593</v>
      </c>
      <c r="I1215" s="117">
        <v>1.0</v>
      </c>
      <c r="J1215" s="117">
        <v>1.0</v>
      </c>
      <c r="K1215" s="117" t="str">
        <f t="shared" si="1"/>
        <v>No</v>
      </c>
      <c r="L1215" s="118" t="s">
        <v>116</v>
      </c>
      <c r="M1215" s="119">
        <v>0.16666666666666666</v>
      </c>
      <c r="N1215" s="120">
        <v>0.0</v>
      </c>
      <c r="O1215" s="121">
        <v>91.32</v>
      </c>
      <c r="P1215" s="117">
        <v>1.0</v>
      </c>
      <c r="Q1215" s="117">
        <f t="shared" si="2"/>
        <v>0</v>
      </c>
      <c r="R1215" s="122">
        <f>+(IF(((M1215*24)-P1215)&lt;0,0,((M1215*24)-P1215)*'Estimación de pérdidas'!$F$72))*N1215</f>
        <v>0</v>
      </c>
      <c r="S1215" s="123" t="s">
        <v>117</v>
      </c>
      <c r="T1215" s="124" t="s">
        <v>119</v>
      </c>
      <c r="U1215" s="124">
        <f t="shared" si="3"/>
        <v>1</v>
      </c>
      <c r="V1215" s="124">
        <v>1.0</v>
      </c>
      <c r="W1215" s="124"/>
      <c r="X1215" s="125"/>
      <c r="Y1215" s="126"/>
      <c r="Z1215" s="125">
        <f t="shared" si="4"/>
        <v>1</v>
      </c>
      <c r="AA1215" s="127" t="str">
        <f t="shared" si="5"/>
        <v>Bajo</v>
      </c>
      <c r="AB1215" s="128">
        <f t="shared" si="6"/>
        <v>4</v>
      </c>
      <c r="AC1215" s="129">
        <f t="shared" si="7"/>
        <v>0.07589466384</v>
      </c>
    </row>
    <row r="1216" ht="14.25" hidden="1" customHeight="1">
      <c r="A1216" s="116" t="s">
        <v>1345</v>
      </c>
      <c r="B1216" s="117" t="s">
        <v>1378</v>
      </c>
      <c r="C1216" s="117" t="s">
        <v>3493</v>
      </c>
      <c r="D1216" s="117" t="s">
        <v>3494</v>
      </c>
      <c r="E1216" s="117" t="s">
        <v>3495</v>
      </c>
      <c r="F1216" s="117" t="s">
        <v>3496</v>
      </c>
      <c r="G1216" s="117" t="s">
        <v>592</v>
      </c>
      <c r="H1216" s="117" t="s">
        <v>593</v>
      </c>
      <c r="I1216" s="117">
        <v>1.0</v>
      </c>
      <c r="J1216" s="117">
        <v>1.0</v>
      </c>
      <c r="K1216" s="117" t="str">
        <f t="shared" si="1"/>
        <v>No</v>
      </c>
      <c r="L1216" s="118" t="s">
        <v>116</v>
      </c>
      <c r="M1216" s="119">
        <v>0.16666666666666666</v>
      </c>
      <c r="N1216" s="120">
        <v>0.0</v>
      </c>
      <c r="O1216" s="121">
        <v>91.32</v>
      </c>
      <c r="P1216" s="117">
        <v>1.0</v>
      </c>
      <c r="Q1216" s="117">
        <f t="shared" si="2"/>
        <v>0</v>
      </c>
      <c r="R1216" s="122">
        <f>+(IF(((M1216*24)-P1216)&lt;0,0,((M1216*24)-P1216)*'Estimación de pérdidas'!$F$72))*N1216</f>
        <v>0</v>
      </c>
      <c r="S1216" s="123" t="s">
        <v>117</v>
      </c>
      <c r="T1216" s="124" t="s">
        <v>119</v>
      </c>
      <c r="U1216" s="124">
        <f t="shared" si="3"/>
        <v>1</v>
      </c>
      <c r="V1216" s="124">
        <v>1.0</v>
      </c>
      <c r="W1216" s="124"/>
      <c r="X1216" s="125"/>
      <c r="Y1216" s="126"/>
      <c r="Z1216" s="125">
        <f t="shared" si="4"/>
        <v>1</v>
      </c>
      <c r="AA1216" s="127" t="str">
        <f t="shared" si="5"/>
        <v>Bajo</v>
      </c>
      <c r="AB1216" s="128">
        <f t="shared" si="6"/>
        <v>4</v>
      </c>
      <c r="AC1216" s="129">
        <f t="shared" si="7"/>
        <v>0.07589466384</v>
      </c>
    </row>
    <row r="1217" ht="14.25" hidden="1" customHeight="1">
      <c r="A1217" s="116" t="s">
        <v>1345</v>
      </c>
      <c r="B1217" s="117" t="s">
        <v>1378</v>
      </c>
      <c r="C1217" s="117" t="s">
        <v>3497</v>
      </c>
      <c r="D1217" s="117" t="s">
        <v>3498</v>
      </c>
      <c r="E1217" s="117" t="s">
        <v>3499</v>
      </c>
      <c r="F1217" s="117" t="s">
        <v>3500</v>
      </c>
      <c r="G1217" s="117" t="s">
        <v>592</v>
      </c>
      <c r="H1217" s="117" t="s">
        <v>593</v>
      </c>
      <c r="I1217" s="117">
        <v>1.0</v>
      </c>
      <c r="J1217" s="117">
        <v>1.0</v>
      </c>
      <c r="K1217" s="117" t="str">
        <f t="shared" si="1"/>
        <v>No</v>
      </c>
      <c r="L1217" s="118" t="s">
        <v>116</v>
      </c>
      <c r="M1217" s="119">
        <v>0.16666666666666666</v>
      </c>
      <c r="N1217" s="120">
        <v>0.0</v>
      </c>
      <c r="O1217" s="121"/>
      <c r="P1217" s="117">
        <v>0.0</v>
      </c>
      <c r="Q1217" s="117">
        <f t="shared" si="2"/>
        <v>0</v>
      </c>
      <c r="R1217" s="122">
        <f>+(IF(((M1217*24)-P1217)&lt;0,0,((M1217*24)-P1217)*'Estimación de pérdidas'!$F$72))*N1217</f>
        <v>0</v>
      </c>
      <c r="S1217" s="123" t="s">
        <v>117</v>
      </c>
      <c r="T1217" s="124" t="s">
        <v>119</v>
      </c>
      <c r="U1217" s="124">
        <f t="shared" si="3"/>
        <v>1</v>
      </c>
      <c r="V1217" s="124">
        <v>1.0</v>
      </c>
      <c r="W1217" s="124"/>
      <c r="X1217" s="125"/>
      <c r="Y1217" s="126"/>
      <c r="Z1217" s="125">
        <f t="shared" si="4"/>
        <v>1</v>
      </c>
      <c r="AA1217" s="127" t="str">
        <f t="shared" si="5"/>
        <v>Bajo</v>
      </c>
      <c r="AB1217" s="128">
        <f t="shared" si="6"/>
        <v>4</v>
      </c>
      <c r="AC1217" s="129">
        <f t="shared" si="7"/>
        <v>0.07589466384</v>
      </c>
    </row>
    <row r="1218" ht="14.25" hidden="1" customHeight="1">
      <c r="A1218" s="116" t="s">
        <v>1345</v>
      </c>
      <c r="B1218" s="117" t="s">
        <v>1414</v>
      </c>
      <c r="C1218" s="117" t="s">
        <v>332</v>
      </c>
      <c r="D1218" s="117" t="s">
        <v>3501</v>
      </c>
      <c r="E1218" s="117" t="s">
        <v>3502</v>
      </c>
      <c r="F1218" s="117" t="s">
        <v>335</v>
      </c>
      <c r="G1218" s="117" t="s">
        <v>336</v>
      </c>
      <c r="H1218" s="117" t="s">
        <v>337</v>
      </c>
      <c r="I1218" s="117">
        <v>1.0</v>
      </c>
      <c r="J1218" s="117">
        <v>1.0</v>
      </c>
      <c r="K1218" s="117" t="str">
        <f t="shared" si="1"/>
        <v>No</v>
      </c>
      <c r="L1218" s="118" t="s">
        <v>116</v>
      </c>
      <c r="M1218" s="119">
        <v>0.3333333333333333</v>
      </c>
      <c r="N1218" s="120">
        <v>0.0</v>
      </c>
      <c r="O1218" s="121">
        <v>91.32</v>
      </c>
      <c r="P1218" s="117">
        <v>1.0</v>
      </c>
      <c r="Q1218" s="117">
        <f t="shared" si="2"/>
        <v>0</v>
      </c>
      <c r="R1218" s="122">
        <f>+(IF(((M1218*24)-P1218)&lt;0,0,((M1218*24)-P1218)*'Estimación de pérdidas'!$F$72))*N1218</f>
        <v>0</v>
      </c>
      <c r="S1218" s="123" t="s">
        <v>117</v>
      </c>
      <c r="T1218" s="124" t="s">
        <v>118</v>
      </c>
      <c r="U1218" s="124">
        <f t="shared" si="3"/>
        <v>1</v>
      </c>
      <c r="V1218" s="124">
        <v>2.0</v>
      </c>
      <c r="W1218" s="124"/>
      <c r="X1218" s="125"/>
      <c r="Y1218" s="126"/>
      <c r="Z1218" s="125">
        <f t="shared" si="4"/>
        <v>2</v>
      </c>
      <c r="AA1218" s="127" t="str">
        <f t="shared" si="5"/>
        <v>Bajo</v>
      </c>
      <c r="AB1218" s="128">
        <f t="shared" si="6"/>
        <v>5</v>
      </c>
      <c r="AC1218" s="129">
        <f t="shared" si="7"/>
        <v>0.08</v>
      </c>
    </row>
    <row r="1219" ht="14.25" hidden="1" customHeight="1">
      <c r="A1219" s="116" t="s">
        <v>847</v>
      </c>
      <c r="B1219" s="117" t="s">
        <v>1602</v>
      </c>
      <c r="C1219" s="117" t="s">
        <v>332</v>
      </c>
      <c r="D1219" s="117" t="s">
        <v>3503</v>
      </c>
      <c r="E1219" s="117" t="s">
        <v>3504</v>
      </c>
      <c r="F1219" s="117" t="s">
        <v>335</v>
      </c>
      <c r="G1219" s="117" t="s">
        <v>336</v>
      </c>
      <c r="H1219" s="117" t="s">
        <v>337</v>
      </c>
      <c r="I1219" s="117">
        <v>1.0</v>
      </c>
      <c r="J1219" s="117">
        <v>1.0</v>
      </c>
      <c r="K1219" s="117" t="str">
        <f t="shared" si="1"/>
        <v>No</v>
      </c>
      <c r="L1219" s="118" t="s">
        <v>116</v>
      </c>
      <c r="M1219" s="119">
        <v>0.3333333333333333</v>
      </c>
      <c r="N1219" s="120">
        <v>0.0</v>
      </c>
      <c r="O1219" s="121">
        <v>91.32</v>
      </c>
      <c r="P1219" s="117">
        <v>1.0</v>
      </c>
      <c r="Q1219" s="117">
        <f t="shared" si="2"/>
        <v>0</v>
      </c>
      <c r="R1219" s="122">
        <f>+(IF(((M1219*24)-P1219)&lt;0,0,((M1219*24)-P1219)*'Estimación de pérdidas'!$F$72))*N1219</f>
        <v>0</v>
      </c>
      <c r="S1219" s="123" t="s">
        <v>117</v>
      </c>
      <c r="T1219" s="124" t="s">
        <v>118</v>
      </c>
      <c r="U1219" s="124">
        <f t="shared" si="3"/>
        <v>1</v>
      </c>
      <c r="V1219" s="124">
        <v>2.0</v>
      </c>
      <c r="W1219" s="124"/>
      <c r="X1219" s="125"/>
      <c r="Y1219" s="126"/>
      <c r="Z1219" s="125">
        <f t="shared" si="4"/>
        <v>2</v>
      </c>
      <c r="AA1219" s="127" t="str">
        <f t="shared" si="5"/>
        <v>Bajo</v>
      </c>
      <c r="AB1219" s="128">
        <f t="shared" si="6"/>
        <v>5</v>
      </c>
      <c r="AC1219" s="129">
        <f t="shared" si="7"/>
        <v>0.08</v>
      </c>
    </row>
    <row r="1220" ht="14.25" hidden="1" customHeight="1">
      <c r="A1220" s="116" t="s">
        <v>847</v>
      </c>
      <c r="B1220" s="117" t="s">
        <v>1602</v>
      </c>
      <c r="C1220" s="117" t="s">
        <v>3505</v>
      </c>
      <c r="D1220" s="117" t="s">
        <v>3506</v>
      </c>
      <c r="E1220" s="117" t="s">
        <v>3507</v>
      </c>
      <c r="F1220" s="117" t="s">
        <v>585</v>
      </c>
      <c r="G1220" s="117" t="s">
        <v>2428</v>
      </c>
      <c r="H1220" s="117" t="s">
        <v>2429</v>
      </c>
      <c r="I1220" s="117">
        <v>1.0</v>
      </c>
      <c r="J1220" s="117">
        <v>1.0</v>
      </c>
      <c r="K1220" s="117" t="str">
        <f t="shared" si="1"/>
        <v>No</v>
      </c>
      <c r="L1220" s="118" t="s">
        <v>116</v>
      </c>
      <c r="M1220" s="119">
        <v>0.25</v>
      </c>
      <c r="N1220" s="120">
        <v>0.0</v>
      </c>
      <c r="O1220" s="121">
        <v>91.32</v>
      </c>
      <c r="P1220" s="117">
        <v>1.0</v>
      </c>
      <c r="Q1220" s="117">
        <f t="shared" si="2"/>
        <v>0</v>
      </c>
      <c r="R1220" s="122">
        <f>+(IF(((M1220*24)-P1220)&lt;0,0,((M1220*24)-P1220)*'Estimación de pérdidas'!$F$72))*N1220</f>
        <v>0</v>
      </c>
      <c r="S1220" s="123" t="s">
        <v>117</v>
      </c>
      <c r="T1220" s="124" t="s">
        <v>132</v>
      </c>
      <c r="U1220" s="124">
        <f t="shared" si="3"/>
        <v>1</v>
      </c>
      <c r="V1220" s="124">
        <v>1.0</v>
      </c>
      <c r="W1220" s="124"/>
      <c r="X1220" s="125"/>
      <c r="Y1220" s="126"/>
      <c r="Z1220" s="125">
        <f t="shared" si="4"/>
        <v>1</v>
      </c>
      <c r="AA1220" s="127" t="str">
        <f t="shared" si="5"/>
        <v>Bajo</v>
      </c>
      <c r="AB1220" s="128">
        <f t="shared" si="6"/>
        <v>1</v>
      </c>
      <c r="AC1220" s="129">
        <f t="shared" si="7"/>
        <v>0.02529822128</v>
      </c>
    </row>
    <row r="1221" ht="14.25" hidden="1" customHeight="1">
      <c r="A1221" s="116" t="s">
        <v>847</v>
      </c>
      <c r="B1221" s="117" t="s">
        <v>1602</v>
      </c>
      <c r="C1221" s="117" t="s">
        <v>3505</v>
      </c>
      <c r="D1221" s="117" t="s">
        <v>3508</v>
      </c>
      <c r="E1221" s="117" t="s">
        <v>3507</v>
      </c>
      <c r="F1221" s="117" t="s">
        <v>585</v>
      </c>
      <c r="G1221" s="117" t="s">
        <v>2428</v>
      </c>
      <c r="H1221" s="117" t="s">
        <v>2429</v>
      </c>
      <c r="I1221" s="117">
        <v>1.0</v>
      </c>
      <c r="J1221" s="117">
        <v>1.0</v>
      </c>
      <c r="K1221" s="117" t="str">
        <f t="shared" si="1"/>
        <v>No</v>
      </c>
      <c r="L1221" s="118" t="s">
        <v>116</v>
      </c>
      <c r="M1221" s="119">
        <v>0.25</v>
      </c>
      <c r="N1221" s="120">
        <v>0.0</v>
      </c>
      <c r="O1221" s="121">
        <v>91.32</v>
      </c>
      <c r="P1221" s="117">
        <v>1.0</v>
      </c>
      <c r="Q1221" s="117">
        <f t="shared" si="2"/>
        <v>0</v>
      </c>
      <c r="R1221" s="122">
        <f>+(IF(((M1221*24)-P1221)&lt;0,0,((M1221*24)-P1221)*'Estimación de pérdidas'!$F$72))*N1221</f>
        <v>0</v>
      </c>
      <c r="S1221" s="123" t="s">
        <v>117</v>
      </c>
      <c r="T1221" s="124" t="s">
        <v>132</v>
      </c>
      <c r="U1221" s="124">
        <f t="shared" si="3"/>
        <v>1</v>
      </c>
      <c r="V1221" s="124">
        <v>1.0</v>
      </c>
      <c r="W1221" s="124"/>
      <c r="X1221" s="125"/>
      <c r="Y1221" s="126"/>
      <c r="Z1221" s="125">
        <f t="shared" si="4"/>
        <v>1</v>
      </c>
      <c r="AA1221" s="127" t="str">
        <f t="shared" si="5"/>
        <v>Bajo</v>
      </c>
      <c r="AB1221" s="128">
        <f t="shared" si="6"/>
        <v>1</v>
      </c>
      <c r="AC1221" s="129">
        <f t="shared" si="7"/>
        <v>0.02529822128</v>
      </c>
    </row>
    <row r="1222" ht="14.25" hidden="1" customHeight="1">
      <c r="A1222" s="116" t="s">
        <v>847</v>
      </c>
      <c r="B1222" s="117" t="s">
        <v>1602</v>
      </c>
      <c r="C1222" s="117" t="s">
        <v>3505</v>
      </c>
      <c r="D1222" s="117" t="s">
        <v>3509</v>
      </c>
      <c r="E1222" s="117" t="s">
        <v>3507</v>
      </c>
      <c r="F1222" s="117" t="s">
        <v>585</v>
      </c>
      <c r="G1222" s="117" t="s">
        <v>2428</v>
      </c>
      <c r="H1222" s="117" t="s">
        <v>2429</v>
      </c>
      <c r="I1222" s="117">
        <v>1.0</v>
      </c>
      <c r="J1222" s="117">
        <v>1.0</v>
      </c>
      <c r="K1222" s="117" t="str">
        <f t="shared" si="1"/>
        <v>No</v>
      </c>
      <c r="L1222" s="118" t="s">
        <v>116</v>
      </c>
      <c r="M1222" s="119">
        <v>0.25</v>
      </c>
      <c r="N1222" s="120">
        <v>0.0</v>
      </c>
      <c r="O1222" s="121">
        <v>91.32</v>
      </c>
      <c r="P1222" s="117">
        <v>1.0</v>
      </c>
      <c r="Q1222" s="117">
        <f t="shared" si="2"/>
        <v>0</v>
      </c>
      <c r="R1222" s="122">
        <f>+(IF(((M1222*24)-P1222)&lt;0,0,((M1222*24)-P1222)*'Estimación de pérdidas'!$F$72))*N1222</f>
        <v>0</v>
      </c>
      <c r="S1222" s="123" t="s">
        <v>117</v>
      </c>
      <c r="T1222" s="124" t="s">
        <v>132</v>
      </c>
      <c r="U1222" s="124">
        <f t="shared" si="3"/>
        <v>1</v>
      </c>
      <c r="V1222" s="124">
        <v>1.0</v>
      </c>
      <c r="W1222" s="124"/>
      <c r="X1222" s="125"/>
      <c r="Y1222" s="126"/>
      <c r="Z1222" s="125">
        <f t="shared" si="4"/>
        <v>1</v>
      </c>
      <c r="AA1222" s="127" t="str">
        <f t="shared" si="5"/>
        <v>Bajo</v>
      </c>
      <c r="AB1222" s="128">
        <f t="shared" si="6"/>
        <v>1</v>
      </c>
      <c r="AC1222" s="129">
        <f t="shared" si="7"/>
        <v>0.02529822128</v>
      </c>
    </row>
    <row r="1223" ht="14.25" hidden="1" customHeight="1">
      <c r="A1223" s="116" t="s">
        <v>847</v>
      </c>
      <c r="B1223" s="117" t="s">
        <v>1602</v>
      </c>
      <c r="C1223" s="117" t="s">
        <v>3505</v>
      </c>
      <c r="D1223" s="117" t="s">
        <v>3510</v>
      </c>
      <c r="E1223" s="117" t="s">
        <v>3507</v>
      </c>
      <c r="F1223" s="117" t="s">
        <v>585</v>
      </c>
      <c r="G1223" s="117" t="s">
        <v>2428</v>
      </c>
      <c r="H1223" s="117" t="s">
        <v>2429</v>
      </c>
      <c r="I1223" s="117">
        <v>1.0</v>
      </c>
      <c r="J1223" s="117">
        <v>1.0</v>
      </c>
      <c r="K1223" s="117" t="str">
        <f t="shared" si="1"/>
        <v>No</v>
      </c>
      <c r="L1223" s="118" t="s">
        <v>116</v>
      </c>
      <c r="M1223" s="119">
        <v>0.25</v>
      </c>
      <c r="N1223" s="120">
        <v>0.0</v>
      </c>
      <c r="O1223" s="121">
        <v>91.32</v>
      </c>
      <c r="P1223" s="117">
        <v>1.0</v>
      </c>
      <c r="Q1223" s="117">
        <f t="shared" si="2"/>
        <v>0</v>
      </c>
      <c r="R1223" s="122">
        <f>+(IF(((M1223*24)-P1223)&lt;0,0,((M1223*24)-P1223)*'Estimación de pérdidas'!$F$72))*N1223</f>
        <v>0</v>
      </c>
      <c r="S1223" s="123" t="s">
        <v>117</v>
      </c>
      <c r="T1223" s="124" t="s">
        <v>132</v>
      </c>
      <c r="U1223" s="124">
        <f t="shared" si="3"/>
        <v>1</v>
      </c>
      <c r="V1223" s="124">
        <v>1.0</v>
      </c>
      <c r="W1223" s="124"/>
      <c r="X1223" s="125"/>
      <c r="Y1223" s="126"/>
      <c r="Z1223" s="125">
        <f t="shared" si="4"/>
        <v>1</v>
      </c>
      <c r="AA1223" s="127" t="str">
        <f t="shared" si="5"/>
        <v>Bajo</v>
      </c>
      <c r="AB1223" s="128">
        <f t="shared" si="6"/>
        <v>1</v>
      </c>
      <c r="AC1223" s="129">
        <f t="shared" si="7"/>
        <v>0.02529822128</v>
      </c>
    </row>
    <row r="1224" ht="14.25" hidden="1" customHeight="1">
      <c r="A1224" s="116" t="s">
        <v>847</v>
      </c>
      <c r="B1224" s="117" t="s">
        <v>1602</v>
      </c>
      <c r="C1224" s="117" t="s">
        <v>3505</v>
      </c>
      <c r="D1224" s="117" t="s">
        <v>3511</v>
      </c>
      <c r="E1224" s="117" t="s">
        <v>3507</v>
      </c>
      <c r="F1224" s="117" t="s">
        <v>585</v>
      </c>
      <c r="G1224" s="117" t="s">
        <v>2428</v>
      </c>
      <c r="H1224" s="117" t="s">
        <v>2429</v>
      </c>
      <c r="I1224" s="117">
        <v>1.0</v>
      </c>
      <c r="J1224" s="117">
        <v>1.0</v>
      </c>
      <c r="K1224" s="117" t="str">
        <f t="shared" si="1"/>
        <v>No</v>
      </c>
      <c r="L1224" s="118" t="s">
        <v>116</v>
      </c>
      <c r="M1224" s="119">
        <v>0.25</v>
      </c>
      <c r="N1224" s="120">
        <v>0.0</v>
      </c>
      <c r="O1224" s="121">
        <v>91.32</v>
      </c>
      <c r="P1224" s="117">
        <v>1.0</v>
      </c>
      <c r="Q1224" s="117">
        <f t="shared" si="2"/>
        <v>0</v>
      </c>
      <c r="R1224" s="122">
        <f>+(IF(((M1224*24)-P1224)&lt;0,0,((M1224*24)-P1224)*'Estimación de pérdidas'!$F$72))*N1224</f>
        <v>0</v>
      </c>
      <c r="S1224" s="123" t="s">
        <v>117</v>
      </c>
      <c r="T1224" s="124" t="s">
        <v>132</v>
      </c>
      <c r="U1224" s="124">
        <f t="shared" si="3"/>
        <v>1</v>
      </c>
      <c r="V1224" s="124">
        <v>1.0</v>
      </c>
      <c r="W1224" s="124"/>
      <c r="X1224" s="125"/>
      <c r="Y1224" s="126"/>
      <c r="Z1224" s="125">
        <f t="shared" si="4"/>
        <v>1</v>
      </c>
      <c r="AA1224" s="127" t="str">
        <f t="shared" si="5"/>
        <v>Bajo</v>
      </c>
      <c r="AB1224" s="128">
        <f t="shared" si="6"/>
        <v>1</v>
      </c>
      <c r="AC1224" s="129">
        <f t="shared" si="7"/>
        <v>0.02529822128</v>
      </c>
    </row>
    <row r="1225" ht="14.25" hidden="1" customHeight="1">
      <c r="A1225" s="116" t="s">
        <v>847</v>
      </c>
      <c r="B1225" s="117" t="s">
        <v>1602</v>
      </c>
      <c r="C1225" s="117" t="s">
        <v>3505</v>
      </c>
      <c r="D1225" s="117" t="s">
        <v>3512</v>
      </c>
      <c r="E1225" s="117" t="s">
        <v>3507</v>
      </c>
      <c r="F1225" s="117" t="s">
        <v>585</v>
      </c>
      <c r="G1225" s="117" t="s">
        <v>2428</v>
      </c>
      <c r="H1225" s="117" t="s">
        <v>2429</v>
      </c>
      <c r="I1225" s="117">
        <v>1.0</v>
      </c>
      <c r="J1225" s="117">
        <v>1.0</v>
      </c>
      <c r="K1225" s="117" t="str">
        <f t="shared" si="1"/>
        <v>No</v>
      </c>
      <c r="L1225" s="118" t="s">
        <v>116</v>
      </c>
      <c r="M1225" s="119">
        <v>0.25</v>
      </c>
      <c r="N1225" s="120">
        <v>0.0</v>
      </c>
      <c r="O1225" s="121">
        <v>91.32</v>
      </c>
      <c r="P1225" s="117">
        <v>1.0</v>
      </c>
      <c r="Q1225" s="117">
        <f t="shared" si="2"/>
        <v>0</v>
      </c>
      <c r="R1225" s="122">
        <f>+(IF(((M1225*24)-P1225)&lt;0,0,((M1225*24)-P1225)*'Estimación de pérdidas'!$F$72))*N1225</f>
        <v>0</v>
      </c>
      <c r="S1225" s="123" t="s">
        <v>117</v>
      </c>
      <c r="T1225" s="124" t="s">
        <v>132</v>
      </c>
      <c r="U1225" s="124">
        <f t="shared" si="3"/>
        <v>1</v>
      </c>
      <c r="V1225" s="124">
        <v>1.0</v>
      </c>
      <c r="W1225" s="124"/>
      <c r="X1225" s="125"/>
      <c r="Y1225" s="126"/>
      <c r="Z1225" s="125">
        <f t="shared" si="4"/>
        <v>1</v>
      </c>
      <c r="AA1225" s="127" t="str">
        <f t="shared" si="5"/>
        <v>Bajo</v>
      </c>
      <c r="AB1225" s="128">
        <f t="shared" si="6"/>
        <v>1</v>
      </c>
      <c r="AC1225" s="129">
        <f t="shared" si="7"/>
        <v>0.02529822128</v>
      </c>
    </row>
    <row r="1226" ht="14.25" hidden="1" customHeight="1">
      <c r="A1226" s="116" t="s">
        <v>3204</v>
      </c>
      <c r="B1226" s="117" t="s">
        <v>3204</v>
      </c>
      <c r="C1226" s="117" t="s">
        <v>3370</v>
      </c>
      <c r="D1226" s="117" t="s">
        <v>3513</v>
      </c>
      <c r="E1226" s="117" t="s">
        <v>3372</v>
      </c>
      <c r="F1226" s="117" t="s">
        <v>585</v>
      </c>
      <c r="G1226" s="117" t="s">
        <v>2428</v>
      </c>
      <c r="H1226" s="117" t="s">
        <v>2429</v>
      </c>
      <c r="I1226" s="117">
        <v>1.0</v>
      </c>
      <c r="J1226" s="117">
        <v>1.0</v>
      </c>
      <c r="K1226" s="117" t="str">
        <f t="shared" si="1"/>
        <v>No</v>
      </c>
      <c r="L1226" s="118" t="s">
        <v>116</v>
      </c>
      <c r="M1226" s="119">
        <v>0.25</v>
      </c>
      <c r="N1226" s="120">
        <v>0.0</v>
      </c>
      <c r="O1226" s="121">
        <v>91.32</v>
      </c>
      <c r="P1226" s="117">
        <v>1.0</v>
      </c>
      <c r="Q1226" s="117">
        <f t="shared" si="2"/>
        <v>0</v>
      </c>
      <c r="R1226" s="122">
        <f>+(IF(((M1226*24)-P1226)&lt;0,0,((M1226*24)-P1226)*'Estimación de pérdidas'!$F$72))*N1226</f>
        <v>0</v>
      </c>
      <c r="S1226" s="123" t="s">
        <v>117</v>
      </c>
      <c r="T1226" s="124" t="s">
        <v>132</v>
      </c>
      <c r="U1226" s="124">
        <f t="shared" si="3"/>
        <v>1</v>
      </c>
      <c r="V1226" s="124">
        <v>1.0</v>
      </c>
      <c r="W1226" s="124"/>
      <c r="X1226" s="125"/>
      <c r="Y1226" s="126"/>
      <c r="Z1226" s="125">
        <f t="shared" si="4"/>
        <v>1</v>
      </c>
      <c r="AA1226" s="127" t="str">
        <f t="shared" si="5"/>
        <v>Bajo</v>
      </c>
      <c r="AB1226" s="128">
        <f t="shared" si="6"/>
        <v>1</v>
      </c>
      <c r="AC1226" s="129">
        <f t="shared" si="7"/>
        <v>0.02529822128</v>
      </c>
    </row>
    <row r="1227" ht="14.25" hidden="1" customHeight="1">
      <c r="A1227" s="116" t="s">
        <v>3204</v>
      </c>
      <c r="B1227" s="117" t="s">
        <v>3204</v>
      </c>
      <c r="C1227" s="117" t="s">
        <v>3370</v>
      </c>
      <c r="D1227" s="117" t="s">
        <v>3514</v>
      </c>
      <c r="E1227" s="117" t="s">
        <v>3372</v>
      </c>
      <c r="F1227" s="117" t="s">
        <v>585</v>
      </c>
      <c r="G1227" s="117" t="s">
        <v>2428</v>
      </c>
      <c r="H1227" s="117" t="s">
        <v>2429</v>
      </c>
      <c r="I1227" s="117">
        <v>1.0</v>
      </c>
      <c r="J1227" s="117">
        <v>1.0</v>
      </c>
      <c r="K1227" s="117" t="str">
        <f t="shared" si="1"/>
        <v>No</v>
      </c>
      <c r="L1227" s="118" t="s">
        <v>116</v>
      </c>
      <c r="M1227" s="119">
        <v>0.25</v>
      </c>
      <c r="N1227" s="120">
        <v>0.0</v>
      </c>
      <c r="O1227" s="121">
        <v>91.32</v>
      </c>
      <c r="P1227" s="117">
        <v>1.0</v>
      </c>
      <c r="Q1227" s="117">
        <f t="shared" si="2"/>
        <v>0</v>
      </c>
      <c r="R1227" s="122">
        <f>+(IF(((M1227*24)-P1227)&lt;0,0,((M1227*24)-P1227)*'Estimación de pérdidas'!$F$72))*N1227</f>
        <v>0</v>
      </c>
      <c r="S1227" s="123" t="s">
        <v>117</v>
      </c>
      <c r="T1227" s="124" t="s">
        <v>132</v>
      </c>
      <c r="U1227" s="124">
        <f t="shared" si="3"/>
        <v>1</v>
      </c>
      <c r="V1227" s="124">
        <v>1.0</v>
      </c>
      <c r="W1227" s="124"/>
      <c r="X1227" s="125"/>
      <c r="Y1227" s="126"/>
      <c r="Z1227" s="125">
        <f t="shared" si="4"/>
        <v>1</v>
      </c>
      <c r="AA1227" s="127" t="str">
        <f t="shared" si="5"/>
        <v>Bajo</v>
      </c>
      <c r="AB1227" s="128">
        <f t="shared" si="6"/>
        <v>1</v>
      </c>
      <c r="AC1227" s="129">
        <f t="shared" si="7"/>
        <v>0.02529822128</v>
      </c>
    </row>
    <row r="1228" ht="14.25" hidden="1" customHeight="1">
      <c r="A1228" s="116" t="s">
        <v>3515</v>
      </c>
      <c r="B1228" s="117" t="s">
        <v>3516</v>
      </c>
      <c r="C1228" s="117" t="s">
        <v>3517</v>
      </c>
      <c r="D1228" s="117" t="s">
        <v>3518</v>
      </c>
      <c r="E1228" s="117" t="s">
        <v>3519</v>
      </c>
      <c r="F1228" s="117" t="s">
        <v>3520</v>
      </c>
      <c r="G1228" s="117" t="s">
        <v>2428</v>
      </c>
      <c r="H1228" s="117" t="s">
        <v>2429</v>
      </c>
      <c r="I1228" s="117">
        <v>1.0</v>
      </c>
      <c r="J1228" s="117">
        <v>1.0</v>
      </c>
      <c r="K1228" s="117" t="str">
        <f t="shared" si="1"/>
        <v>No</v>
      </c>
      <c r="L1228" s="118" t="s">
        <v>116</v>
      </c>
      <c r="M1228" s="119">
        <v>0.25</v>
      </c>
      <c r="N1228" s="120">
        <v>0.0</v>
      </c>
      <c r="O1228" s="121">
        <v>91.32</v>
      </c>
      <c r="P1228" s="117">
        <v>1.0</v>
      </c>
      <c r="Q1228" s="117">
        <f t="shared" si="2"/>
        <v>0</v>
      </c>
      <c r="R1228" s="122">
        <f>+(IF(((M1228*24)-P1228)&lt;0,0,((M1228*24)-P1228)*'Estimación de pérdidas'!$F$72))*N1228</f>
        <v>0</v>
      </c>
      <c r="S1228" s="123" t="s">
        <v>117</v>
      </c>
      <c r="T1228" s="124" t="s">
        <v>118</v>
      </c>
      <c r="U1228" s="124">
        <f t="shared" si="3"/>
        <v>1</v>
      </c>
      <c r="V1228" s="124">
        <v>1.0</v>
      </c>
      <c r="W1228" s="124"/>
      <c r="X1228" s="125"/>
      <c r="Y1228" s="126"/>
      <c r="Z1228" s="125">
        <f t="shared" si="4"/>
        <v>1</v>
      </c>
      <c r="AA1228" s="127" t="str">
        <f t="shared" si="5"/>
        <v>Bajo</v>
      </c>
      <c r="AB1228" s="128">
        <f t="shared" si="6"/>
        <v>2</v>
      </c>
      <c r="AC1228" s="129">
        <f t="shared" si="7"/>
        <v>0.05059644256</v>
      </c>
    </row>
    <row r="1229" ht="14.25" hidden="1" customHeight="1">
      <c r="A1229" s="116" t="s">
        <v>3515</v>
      </c>
      <c r="B1229" s="117" t="s">
        <v>3516</v>
      </c>
      <c r="C1229" s="117" t="s">
        <v>3517</v>
      </c>
      <c r="D1229" s="117" t="s">
        <v>3521</v>
      </c>
      <c r="E1229" s="117" t="s">
        <v>3519</v>
      </c>
      <c r="F1229" s="117" t="s">
        <v>3520</v>
      </c>
      <c r="G1229" s="117" t="s">
        <v>2428</v>
      </c>
      <c r="H1229" s="117" t="s">
        <v>2429</v>
      </c>
      <c r="I1229" s="117">
        <v>1.0</v>
      </c>
      <c r="J1229" s="117">
        <v>1.0</v>
      </c>
      <c r="K1229" s="117" t="str">
        <f t="shared" si="1"/>
        <v>No</v>
      </c>
      <c r="L1229" s="118" t="s">
        <v>116</v>
      </c>
      <c r="M1229" s="119">
        <v>0.25</v>
      </c>
      <c r="N1229" s="120">
        <v>0.0</v>
      </c>
      <c r="O1229" s="121">
        <v>91.32</v>
      </c>
      <c r="P1229" s="117">
        <v>1.0</v>
      </c>
      <c r="Q1229" s="117">
        <f t="shared" si="2"/>
        <v>0</v>
      </c>
      <c r="R1229" s="122">
        <f>+(IF(((M1229*24)-P1229)&lt;0,0,((M1229*24)-P1229)*'Estimación de pérdidas'!$F$72))*N1229</f>
        <v>0</v>
      </c>
      <c r="S1229" s="123" t="s">
        <v>117</v>
      </c>
      <c r="T1229" s="124" t="s">
        <v>118</v>
      </c>
      <c r="U1229" s="124">
        <f t="shared" si="3"/>
        <v>1</v>
      </c>
      <c r="V1229" s="124">
        <v>1.0</v>
      </c>
      <c r="W1229" s="124"/>
      <c r="X1229" s="125"/>
      <c r="Y1229" s="126"/>
      <c r="Z1229" s="125">
        <f t="shared" si="4"/>
        <v>1</v>
      </c>
      <c r="AA1229" s="127" t="str">
        <f t="shared" si="5"/>
        <v>Bajo</v>
      </c>
      <c r="AB1229" s="128">
        <f t="shared" si="6"/>
        <v>2</v>
      </c>
      <c r="AC1229" s="129">
        <f t="shared" si="7"/>
        <v>0.05059644256</v>
      </c>
    </row>
    <row r="1230" ht="14.25" hidden="1" customHeight="1">
      <c r="A1230" s="116" t="s">
        <v>3515</v>
      </c>
      <c r="B1230" s="117" t="s">
        <v>3516</v>
      </c>
      <c r="C1230" s="117" t="s">
        <v>3517</v>
      </c>
      <c r="D1230" s="117" t="s">
        <v>3522</v>
      </c>
      <c r="E1230" s="117" t="s">
        <v>3519</v>
      </c>
      <c r="F1230" s="117" t="s">
        <v>3520</v>
      </c>
      <c r="G1230" s="117" t="s">
        <v>2428</v>
      </c>
      <c r="H1230" s="117" t="s">
        <v>2429</v>
      </c>
      <c r="I1230" s="117">
        <v>1.0</v>
      </c>
      <c r="J1230" s="117">
        <v>1.0</v>
      </c>
      <c r="K1230" s="117" t="str">
        <f t="shared" si="1"/>
        <v>No</v>
      </c>
      <c r="L1230" s="118" t="s">
        <v>116</v>
      </c>
      <c r="M1230" s="119">
        <v>0.25</v>
      </c>
      <c r="N1230" s="120">
        <v>0.0</v>
      </c>
      <c r="O1230" s="121">
        <v>91.32</v>
      </c>
      <c r="P1230" s="117">
        <v>1.0</v>
      </c>
      <c r="Q1230" s="117">
        <f t="shared" si="2"/>
        <v>0</v>
      </c>
      <c r="R1230" s="122">
        <f>+(IF(((M1230*24)-P1230)&lt;0,0,((M1230*24)-P1230)*'Estimación de pérdidas'!$F$72))*N1230</f>
        <v>0</v>
      </c>
      <c r="S1230" s="123" t="s">
        <v>117</v>
      </c>
      <c r="T1230" s="124" t="s">
        <v>118</v>
      </c>
      <c r="U1230" s="124">
        <f t="shared" si="3"/>
        <v>1</v>
      </c>
      <c r="V1230" s="124">
        <v>1.0</v>
      </c>
      <c r="W1230" s="124"/>
      <c r="X1230" s="125"/>
      <c r="Y1230" s="126"/>
      <c r="Z1230" s="125">
        <f t="shared" si="4"/>
        <v>1</v>
      </c>
      <c r="AA1230" s="127" t="str">
        <f t="shared" si="5"/>
        <v>Bajo</v>
      </c>
      <c r="AB1230" s="128">
        <f t="shared" si="6"/>
        <v>2</v>
      </c>
      <c r="AC1230" s="129">
        <f t="shared" si="7"/>
        <v>0.05059644256</v>
      </c>
    </row>
    <row r="1231" ht="14.25" hidden="1" customHeight="1">
      <c r="A1231" s="116" t="s">
        <v>3515</v>
      </c>
      <c r="B1231" s="117" t="s">
        <v>3516</v>
      </c>
      <c r="C1231" s="117" t="s">
        <v>3517</v>
      </c>
      <c r="D1231" s="117" t="s">
        <v>3523</v>
      </c>
      <c r="E1231" s="117" t="s">
        <v>3519</v>
      </c>
      <c r="F1231" s="117" t="s">
        <v>3520</v>
      </c>
      <c r="G1231" s="117" t="s">
        <v>2428</v>
      </c>
      <c r="H1231" s="117" t="s">
        <v>2429</v>
      </c>
      <c r="I1231" s="117">
        <v>1.0</v>
      </c>
      <c r="J1231" s="117">
        <v>1.0</v>
      </c>
      <c r="K1231" s="117" t="str">
        <f t="shared" si="1"/>
        <v>No</v>
      </c>
      <c r="L1231" s="118" t="s">
        <v>116</v>
      </c>
      <c r="M1231" s="119">
        <v>0.25</v>
      </c>
      <c r="N1231" s="120">
        <v>0.0</v>
      </c>
      <c r="O1231" s="121">
        <v>91.32</v>
      </c>
      <c r="P1231" s="117">
        <v>1.0</v>
      </c>
      <c r="Q1231" s="117">
        <f t="shared" si="2"/>
        <v>0</v>
      </c>
      <c r="R1231" s="122">
        <f>+(IF(((M1231*24)-P1231)&lt;0,0,((M1231*24)-P1231)*'Estimación de pérdidas'!$F$72))*N1231</f>
        <v>0</v>
      </c>
      <c r="S1231" s="123" t="s">
        <v>117</v>
      </c>
      <c r="T1231" s="124" t="s">
        <v>118</v>
      </c>
      <c r="U1231" s="124">
        <f t="shared" si="3"/>
        <v>1</v>
      </c>
      <c r="V1231" s="124">
        <v>1.0</v>
      </c>
      <c r="W1231" s="124"/>
      <c r="X1231" s="125"/>
      <c r="Y1231" s="126"/>
      <c r="Z1231" s="125">
        <f t="shared" si="4"/>
        <v>1</v>
      </c>
      <c r="AA1231" s="127" t="str">
        <f t="shared" si="5"/>
        <v>Bajo</v>
      </c>
      <c r="AB1231" s="128">
        <f t="shared" si="6"/>
        <v>2</v>
      </c>
      <c r="AC1231" s="129">
        <f t="shared" si="7"/>
        <v>0.05059644256</v>
      </c>
    </row>
    <row r="1232" ht="14.25" hidden="1" customHeight="1">
      <c r="A1232" s="116" t="s">
        <v>847</v>
      </c>
      <c r="B1232" s="117" t="s">
        <v>2952</v>
      </c>
      <c r="C1232" s="117" t="s">
        <v>3524</v>
      </c>
      <c r="D1232" s="117" t="s">
        <v>3525</v>
      </c>
      <c r="E1232" s="117" t="s">
        <v>3524</v>
      </c>
      <c r="F1232" s="117" t="s">
        <v>3526</v>
      </c>
      <c r="G1232" s="117" t="s">
        <v>2047</v>
      </c>
      <c r="H1232" s="117" t="s">
        <v>2161</v>
      </c>
      <c r="I1232" s="117">
        <v>3.0</v>
      </c>
      <c r="J1232" s="117">
        <v>2.0</v>
      </c>
      <c r="K1232" s="117" t="str">
        <f t="shared" si="1"/>
        <v>Si</v>
      </c>
      <c r="L1232" s="118" t="s">
        <v>287</v>
      </c>
      <c r="M1232" s="119">
        <v>0.3333333333333333</v>
      </c>
      <c r="N1232" s="120">
        <v>0.0</v>
      </c>
      <c r="O1232" s="121">
        <v>91.32</v>
      </c>
      <c r="P1232" s="117">
        <v>1.0</v>
      </c>
      <c r="Q1232" s="117">
        <f t="shared" si="2"/>
        <v>0</v>
      </c>
      <c r="R1232" s="122">
        <f>+(IF(((M1232*24)-P1232)&lt;0,0,((M1232*24)-P1232)*'Estimación de pérdidas'!$F$72))*N1232</f>
        <v>0</v>
      </c>
      <c r="S1232" s="123" t="s">
        <v>117</v>
      </c>
      <c r="T1232" s="124" t="s">
        <v>119</v>
      </c>
      <c r="U1232" s="124">
        <f t="shared" si="3"/>
        <v>1</v>
      </c>
      <c r="V1232" s="124">
        <v>2.0</v>
      </c>
      <c r="W1232" s="124"/>
      <c r="X1232" s="125"/>
      <c r="Y1232" s="126"/>
      <c r="Z1232" s="125">
        <f t="shared" si="4"/>
        <v>2</v>
      </c>
      <c r="AA1232" s="127" t="str">
        <f t="shared" si="5"/>
        <v>Moderado</v>
      </c>
      <c r="AB1232" s="128">
        <f t="shared" si="6"/>
        <v>8</v>
      </c>
      <c r="AC1232" s="129">
        <f t="shared" si="7"/>
        <v>0.12</v>
      </c>
      <c r="AD1232" s="131"/>
    </row>
    <row r="1233" ht="14.25" hidden="1" customHeight="1">
      <c r="A1233" s="116" t="s">
        <v>2479</v>
      </c>
      <c r="B1233" s="117" t="s">
        <v>3022</v>
      </c>
      <c r="C1233" s="117" t="s">
        <v>332</v>
      </c>
      <c r="D1233" s="117" t="s">
        <v>3527</v>
      </c>
      <c r="E1233" s="117" t="s">
        <v>3528</v>
      </c>
      <c r="F1233" s="117" t="s">
        <v>335</v>
      </c>
      <c r="G1233" s="117" t="s">
        <v>336</v>
      </c>
      <c r="H1233" s="117" t="s">
        <v>337</v>
      </c>
      <c r="I1233" s="117">
        <v>1.0</v>
      </c>
      <c r="J1233" s="117">
        <v>1.0</v>
      </c>
      <c r="K1233" s="117" t="str">
        <f t="shared" si="1"/>
        <v>No</v>
      </c>
      <c r="L1233" s="118" t="s">
        <v>116</v>
      </c>
      <c r="M1233" s="119">
        <v>0.3333333333333333</v>
      </c>
      <c r="N1233" s="120">
        <v>0.0</v>
      </c>
      <c r="O1233" s="121">
        <v>91.32</v>
      </c>
      <c r="P1233" s="117">
        <v>1.0</v>
      </c>
      <c r="Q1233" s="117">
        <f t="shared" si="2"/>
        <v>0</v>
      </c>
      <c r="R1233" s="122">
        <f>+(IF(((M1233*24)-P1233)&lt;0,0,((M1233*24)-P1233)*'Estimación de pérdidas'!$F$72))*N1233</f>
        <v>0</v>
      </c>
      <c r="S1233" s="123" t="s">
        <v>117</v>
      </c>
      <c r="T1233" s="124" t="s">
        <v>118</v>
      </c>
      <c r="U1233" s="124">
        <f t="shared" si="3"/>
        <v>1</v>
      </c>
      <c r="V1233" s="124">
        <v>2.0</v>
      </c>
      <c r="W1233" s="124"/>
      <c r="X1233" s="125"/>
      <c r="Y1233" s="126"/>
      <c r="Z1233" s="125">
        <f t="shared" si="4"/>
        <v>2</v>
      </c>
      <c r="AA1233" s="127" t="str">
        <f t="shared" si="5"/>
        <v>Bajo</v>
      </c>
      <c r="AB1233" s="128">
        <f t="shared" si="6"/>
        <v>5</v>
      </c>
      <c r="AC1233" s="129">
        <f t="shared" si="7"/>
        <v>0.08</v>
      </c>
    </row>
    <row r="1234" ht="14.25" hidden="1" customHeight="1">
      <c r="A1234" s="116" t="s">
        <v>1916</v>
      </c>
      <c r="B1234" s="117" t="s">
        <v>1916</v>
      </c>
      <c r="C1234" s="117" t="s">
        <v>3529</v>
      </c>
      <c r="D1234" s="117" t="s">
        <v>3530</v>
      </c>
      <c r="E1234" s="117" t="s">
        <v>3531</v>
      </c>
      <c r="F1234" s="117" t="s">
        <v>3532</v>
      </c>
      <c r="G1234" s="117" t="s">
        <v>592</v>
      </c>
      <c r="H1234" s="117" t="s">
        <v>593</v>
      </c>
      <c r="I1234" s="117">
        <v>1.0</v>
      </c>
      <c r="J1234" s="117">
        <v>1.0</v>
      </c>
      <c r="K1234" s="117" t="str">
        <f t="shared" si="1"/>
        <v>No</v>
      </c>
      <c r="L1234" s="118" t="s">
        <v>116</v>
      </c>
      <c r="M1234" s="119">
        <v>0.16666666666666666</v>
      </c>
      <c r="N1234" s="120">
        <v>0.0</v>
      </c>
      <c r="O1234" s="121">
        <v>91.32</v>
      </c>
      <c r="P1234" s="117">
        <v>1.0</v>
      </c>
      <c r="Q1234" s="117">
        <f t="shared" si="2"/>
        <v>0</v>
      </c>
      <c r="R1234" s="122">
        <f>+(IF(((M1234*24)-P1234)&lt;0,0,((M1234*24)-P1234)*'Estimación de pérdidas'!$F$72))*N1234</f>
        <v>0</v>
      </c>
      <c r="S1234" s="123" t="s">
        <v>117</v>
      </c>
      <c r="T1234" s="124" t="s">
        <v>119</v>
      </c>
      <c r="U1234" s="124">
        <f t="shared" si="3"/>
        <v>1</v>
      </c>
      <c r="V1234" s="124">
        <v>1.0</v>
      </c>
      <c r="W1234" s="124"/>
      <c r="X1234" s="125"/>
      <c r="Y1234" s="126"/>
      <c r="Z1234" s="125">
        <f t="shared" si="4"/>
        <v>1</v>
      </c>
      <c r="AA1234" s="127" t="str">
        <f t="shared" si="5"/>
        <v>Bajo</v>
      </c>
      <c r="AB1234" s="128">
        <f t="shared" si="6"/>
        <v>4</v>
      </c>
      <c r="AC1234" s="129">
        <f t="shared" si="7"/>
        <v>0.07589466384</v>
      </c>
    </row>
    <row r="1235" ht="14.25" hidden="1" customHeight="1">
      <c r="A1235" s="116" t="s">
        <v>1916</v>
      </c>
      <c r="B1235" s="117" t="s">
        <v>1916</v>
      </c>
      <c r="C1235" s="117" t="s">
        <v>3533</v>
      </c>
      <c r="D1235" s="117" t="s">
        <v>3534</v>
      </c>
      <c r="E1235" s="117" t="s">
        <v>3535</v>
      </c>
      <c r="F1235" s="117" t="s">
        <v>3532</v>
      </c>
      <c r="G1235" s="117" t="s">
        <v>592</v>
      </c>
      <c r="H1235" s="117" t="s">
        <v>593</v>
      </c>
      <c r="I1235" s="117">
        <v>1.0</v>
      </c>
      <c r="J1235" s="117">
        <v>1.0</v>
      </c>
      <c r="K1235" s="117" t="str">
        <f t="shared" si="1"/>
        <v>No</v>
      </c>
      <c r="L1235" s="118" t="s">
        <v>116</v>
      </c>
      <c r="M1235" s="119">
        <v>0.16666666666666666</v>
      </c>
      <c r="N1235" s="120">
        <v>0.0</v>
      </c>
      <c r="O1235" s="121">
        <v>91.32</v>
      </c>
      <c r="P1235" s="117">
        <v>1.0</v>
      </c>
      <c r="Q1235" s="117">
        <f t="shared" si="2"/>
        <v>0</v>
      </c>
      <c r="R1235" s="122">
        <f>+(IF(((M1235*24)-P1235)&lt;0,0,((M1235*24)-P1235)*'Estimación de pérdidas'!$F$72))*N1235</f>
        <v>0</v>
      </c>
      <c r="S1235" s="123" t="s">
        <v>117</v>
      </c>
      <c r="T1235" s="124" t="s">
        <v>119</v>
      </c>
      <c r="U1235" s="124">
        <f t="shared" si="3"/>
        <v>1</v>
      </c>
      <c r="V1235" s="124">
        <v>1.0</v>
      </c>
      <c r="W1235" s="124"/>
      <c r="X1235" s="125"/>
      <c r="Y1235" s="126"/>
      <c r="Z1235" s="125">
        <f t="shared" si="4"/>
        <v>1</v>
      </c>
      <c r="AA1235" s="127" t="str">
        <f t="shared" si="5"/>
        <v>Bajo</v>
      </c>
      <c r="AB1235" s="128">
        <f t="shared" si="6"/>
        <v>4</v>
      </c>
      <c r="AC1235" s="129">
        <f t="shared" si="7"/>
        <v>0.07589466384</v>
      </c>
    </row>
    <row r="1236" ht="14.25" hidden="1" customHeight="1">
      <c r="A1236" s="116" t="s">
        <v>1894</v>
      </c>
      <c r="B1236" s="117" t="s">
        <v>1894</v>
      </c>
      <c r="C1236" s="117" t="s">
        <v>332</v>
      </c>
      <c r="D1236" s="117" t="s">
        <v>3536</v>
      </c>
      <c r="E1236" s="117" t="s">
        <v>3537</v>
      </c>
      <c r="F1236" s="117" t="s">
        <v>335</v>
      </c>
      <c r="G1236" s="117" t="s">
        <v>336</v>
      </c>
      <c r="H1236" s="117" t="s">
        <v>337</v>
      </c>
      <c r="I1236" s="117">
        <v>1.0</v>
      </c>
      <c r="J1236" s="117">
        <v>1.0</v>
      </c>
      <c r="K1236" s="117" t="str">
        <f t="shared" si="1"/>
        <v>No</v>
      </c>
      <c r="L1236" s="118" t="s">
        <v>116</v>
      </c>
      <c r="M1236" s="119">
        <v>0.3333333333333333</v>
      </c>
      <c r="N1236" s="120">
        <v>0.0</v>
      </c>
      <c r="O1236" s="121">
        <v>91.32</v>
      </c>
      <c r="P1236" s="117">
        <v>1.0</v>
      </c>
      <c r="Q1236" s="117">
        <f t="shared" si="2"/>
        <v>0</v>
      </c>
      <c r="R1236" s="122">
        <f>+(IF(((M1236*24)-P1236)&lt;0,0,((M1236*24)-P1236)*'Estimación de pérdidas'!$F$72))*N1236</f>
        <v>0</v>
      </c>
      <c r="S1236" s="123" t="s">
        <v>117</v>
      </c>
      <c r="T1236" s="124" t="s">
        <v>118</v>
      </c>
      <c r="U1236" s="124">
        <f t="shared" si="3"/>
        <v>1</v>
      </c>
      <c r="V1236" s="124">
        <v>2.0</v>
      </c>
      <c r="W1236" s="124"/>
      <c r="X1236" s="125"/>
      <c r="Y1236" s="126"/>
      <c r="Z1236" s="125">
        <f t="shared" si="4"/>
        <v>2</v>
      </c>
      <c r="AA1236" s="127" t="str">
        <f t="shared" si="5"/>
        <v>Bajo</v>
      </c>
      <c r="AB1236" s="128">
        <f t="shared" si="6"/>
        <v>5</v>
      </c>
      <c r="AC1236" s="129">
        <f t="shared" si="7"/>
        <v>0.08</v>
      </c>
    </row>
    <row r="1237" ht="14.25" hidden="1" customHeight="1">
      <c r="A1237" s="116" t="s">
        <v>2899</v>
      </c>
      <c r="B1237" s="117" t="s">
        <v>2900</v>
      </c>
      <c r="C1237" s="117" t="s">
        <v>3538</v>
      </c>
      <c r="D1237" s="117" t="s">
        <v>3539</v>
      </c>
      <c r="E1237" s="117" t="s">
        <v>3540</v>
      </c>
      <c r="F1237" s="117" t="s">
        <v>2817</v>
      </c>
      <c r="G1237" s="117" t="s">
        <v>2818</v>
      </c>
      <c r="H1237" s="117" t="s">
        <v>2819</v>
      </c>
      <c r="I1237" s="117">
        <v>2.0</v>
      </c>
      <c r="J1237" s="117">
        <v>1.0</v>
      </c>
      <c r="K1237" s="117" t="str">
        <f t="shared" si="1"/>
        <v>Si</v>
      </c>
      <c r="L1237" s="118" t="s">
        <v>116</v>
      </c>
      <c r="M1237" s="119">
        <v>0.5</v>
      </c>
      <c r="N1237" s="120">
        <v>0.0</v>
      </c>
      <c r="O1237" s="121">
        <v>91.32</v>
      </c>
      <c r="P1237" s="117">
        <v>1.0</v>
      </c>
      <c r="Q1237" s="117">
        <f t="shared" si="2"/>
        <v>0</v>
      </c>
      <c r="R1237" s="122">
        <f>+(IF(((M1237*24)-P1237)&lt;0,0,((M1237*24)-P1237)*'Estimación de pérdidas'!$F$72))*N1237</f>
        <v>0</v>
      </c>
      <c r="S1237" s="123" t="s">
        <v>117</v>
      </c>
      <c r="T1237" s="124" t="s">
        <v>119</v>
      </c>
      <c r="U1237" s="124">
        <f t="shared" si="3"/>
        <v>1</v>
      </c>
      <c r="V1237" s="124">
        <v>2.0</v>
      </c>
      <c r="W1237" s="124"/>
      <c r="X1237" s="125"/>
      <c r="Y1237" s="126"/>
      <c r="Z1237" s="125">
        <f t="shared" si="4"/>
        <v>2</v>
      </c>
      <c r="AA1237" s="127" t="str">
        <f t="shared" si="5"/>
        <v>Moderado</v>
      </c>
      <c r="AB1237" s="128">
        <f t="shared" si="6"/>
        <v>8</v>
      </c>
      <c r="AC1237" s="129">
        <f t="shared" si="7"/>
        <v>0.12</v>
      </c>
      <c r="AD1237" s="131"/>
    </row>
    <row r="1238" ht="14.25" hidden="1" customHeight="1">
      <c r="A1238" s="116" t="s">
        <v>2899</v>
      </c>
      <c r="B1238" s="117" t="s">
        <v>2900</v>
      </c>
      <c r="C1238" s="117" t="s">
        <v>3541</v>
      </c>
      <c r="D1238" s="117" t="s">
        <v>3542</v>
      </c>
      <c r="E1238" s="117" t="s">
        <v>3543</v>
      </c>
      <c r="F1238" s="117" t="s">
        <v>2817</v>
      </c>
      <c r="G1238" s="117" t="s">
        <v>2818</v>
      </c>
      <c r="H1238" s="117" t="s">
        <v>2819</v>
      </c>
      <c r="I1238" s="117">
        <v>2.0</v>
      </c>
      <c r="J1238" s="117">
        <v>1.0</v>
      </c>
      <c r="K1238" s="117" t="str">
        <f t="shared" si="1"/>
        <v>Si</v>
      </c>
      <c r="L1238" s="118" t="s">
        <v>116</v>
      </c>
      <c r="M1238" s="119">
        <v>0.5</v>
      </c>
      <c r="N1238" s="120">
        <v>0.0</v>
      </c>
      <c r="O1238" s="121">
        <v>91.32</v>
      </c>
      <c r="P1238" s="117">
        <v>1.0</v>
      </c>
      <c r="Q1238" s="117">
        <f t="shared" si="2"/>
        <v>0</v>
      </c>
      <c r="R1238" s="122">
        <f>+(IF(((M1238*24)-P1238)&lt;0,0,((M1238*24)-P1238)*'Estimación de pérdidas'!$F$72))*N1238</f>
        <v>0</v>
      </c>
      <c r="S1238" s="123" t="s">
        <v>117</v>
      </c>
      <c r="T1238" s="124" t="s">
        <v>119</v>
      </c>
      <c r="U1238" s="124">
        <f t="shared" si="3"/>
        <v>1</v>
      </c>
      <c r="V1238" s="124">
        <v>2.0</v>
      </c>
      <c r="W1238" s="124"/>
      <c r="X1238" s="125"/>
      <c r="Y1238" s="126"/>
      <c r="Z1238" s="125">
        <f t="shared" si="4"/>
        <v>2</v>
      </c>
      <c r="AA1238" s="127" t="str">
        <f t="shared" si="5"/>
        <v>Moderado</v>
      </c>
      <c r="AB1238" s="128">
        <f t="shared" si="6"/>
        <v>8</v>
      </c>
      <c r="AC1238" s="129">
        <f t="shared" si="7"/>
        <v>0.12</v>
      </c>
      <c r="AD1238" s="131"/>
    </row>
    <row r="1239" ht="14.25" hidden="1" customHeight="1">
      <c r="A1239" s="116" t="s">
        <v>2899</v>
      </c>
      <c r="B1239" s="117" t="s">
        <v>2900</v>
      </c>
      <c r="C1239" s="117" t="s">
        <v>3544</v>
      </c>
      <c r="D1239" s="117" t="s">
        <v>3545</v>
      </c>
      <c r="E1239" s="117" t="s">
        <v>3546</v>
      </c>
      <c r="F1239" s="117" t="s">
        <v>2817</v>
      </c>
      <c r="G1239" s="117" t="s">
        <v>2818</v>
      </c>
      <c r="H1239" s="117" t="s">
        <v>2819</v>
      </c>
      <c r="I1239" s="117">
        <v>2.0</v>
      </c>
      <c r="J1239" s="117">
        <v>1.0</v>
      </c>
      <c r="K1239" s="117" t="str">
        <f t="shared" si="1"/>
        <v>Si</v>
      </c>
      <c r="L1239" s="118" t="s">
        <v>116</v>
      </c>
      <c r="M1239" s="119">
        <v>0.5</v>
      </c>
      <c r="N1239" s="120">
        <v>0.0</v>
      </c>
      <c r="O1239" s="121">
        <v>91.32</v>
      </c>
      <c r="P1239" s="117">
        <v>1.0</v>
      </c>
      <c r="Q1239" s="117">
        <f t="shared" si="2"/>
        <v>0</v>
      </c>
      <c r="R1239" s="122">
        <f>+(IF(((M1239*24)-P1239)&lt;0,0,((M1239*24)-P1239)*'Estimación de pérdidas'!$F$72))*N1239</f>
        <v>0</v>
      </c>
      <c r="S1239" s="123" t="s">
        <v>117</v>
      </c>
      <c r="T1239" s="124" t="s">
        <v>119</v>
      </c>
      <c r="U1239" s="124">
        <f t="shared" si="3"/>
        <v>1</v>
      </c>
      <c r="V1239" s="124">
        <v>2.0</v>
      </c>
      <c r="W1239" s="124"/>
      <c r="X1239" s="125"/>
      <c r="Y1239" s="126"/>
      <c r="Z1239" s="125">
        <f t="shared" si="4"/>
        <v>2</v>
      </c>
      <c r="AA1239" s="127" t="str">
        <f t="shared" si="5"/>
        <v>Moderado</v>
      </c>
      <c r="AB1239" s="128">
        <f t="shared" si="6"/>
        <v>8</v>
      </c>
      <c r="AC1239" s="129">
        <f t="shared" si="7"/>
        <v>0.12</v>
      </c>
      <c r="AD1239" s="131"/>
    </row>
    <row r="1240" ht="14.25" hidden="1" customHeight="1">
      <c r="A1240" s="116" t="s">
        <v>2899</v>
      </c>
      <c r="B1240" s="117" t="s">
        <v>2900</v>
      </c>
      <c r="C1240" s="117" t="s">
        <v>3547</v>
      </c>
      <c r="D1240" s="117" t="s">
        <v>3548</v>
      </c>
      <c r="E1240" s="117" t="s">
        <v>3546</v>
      </c>
      <c r="F1240" s="117" t="s">
        <v>2817</v>
      </c>
      <c r="G1240" s="117" t="s">
        <v>2818</v>
      </c>
      <c r="H1240" s="117" t="s">
        <v>2819</v>
      </c>
      <c r="I1240" s="117">
        <v>2.0</v>
      </c>
      <c r="J1240" s="117">
        <v>1.0</v>
      </c>
      <c r="K1240" s="117" t="str">
        <f t="shared" si="1"/>
        <v>Si</v>
      </c>
      <c r="L1240" s="118" t="s">
        <v>116</v>
      </c>
      <c r="M1240" s="119">
        <v>0.5</v>
      </c>
      <c r="N1240" s="120">
        <v>0.0</v>
      </c>
      <c r="O1240" s="121">
        <v>91.32</v>
      </c>
      <c r="P1240" s="117">
        <v>1.0</v>
      </c>
      <c r="Q1240" s="117">
        <f t="shared" si="2"/>
        <v>0</v>
      </c>
      <c r="R1240" s="122">
        <f>+(IF(((M1240*24)-P1240)&lt;0,0,((M1240*24)-P1240)*'Estimación de pérdidas'!$F$72))*N1240</f>
        <v>0</v>
      </c>
      <c r="S1240" s="123" t="s">
        <v>117</v>
      </c>
      <c r="T1240" s="124" t="s">
        <v>119</v>
      </c>
      <c r="U1240" s="124">
        <f t="shared" si="3"/>
        <v>1</v>
      </c>
      <c r="V1240" s="124">
        <v>2.0</v>
      </c>
      <c r="W1240" s="124"/>
      <c r="X1240" s="125"/>
      <c r="Y1240" s="126"/>
      <c r="Z1240" s="125">
        <f t="shared" si="4"/>
        <v>2</v>
      </c>
      <c r="AA1240" s="127" t="str">
        <f t="shared" si="5"/>
        <v>Moderado</v>
      </c>
      <c r="AB1240" s="128">
        <f t="shared" si="6"/>
        <v>8</v>
      </c>
      <c r="AC1240" s="129">
        <f t="shared" si="7"/>
        <v>0.12</v>
      </c>
      <c r="AD1240" s="131"/>
    </row>
    <row r="1241" ht="14.25" hidden="1" customHeight="1">
      <c r="A1241" s="116" t="s">
        <v>2899</v>
      </c>
      <c r="B1241" s="117" t="s">
        <v>2900</v>
      </c>
      <c r="C1241" s="117" t="s">
        <v>3549</v>
      </c>
      <c r="D1241" s="117" t="s">
        <v>3550</v>
      </c>
      <c r="E1241" s="117" t="s">
        <v>3549</v>
      </c>
      <c r="F1241" s="117" t="s">
        <v>2817</v>
      </c>
      <c r="G1241" s="117" t="s">
        <v>2818</v>
      </c>
      <c r="H1241" s="117" t="s">
        <v>2819</v>
      </c>
      <c r="I1241" s="117">
        <v>2.0</v>
      </c>
      <c r="J1241" s="117">
        <v>1.0</v>
      </c>
      <c r="K1241" s="117" t="str">
        <f t="shared" si="1"/>
        <v>Si</v>
      </c>
      <c r="L1241" s="118" t="s">
        <v>116</v>
      </c>
      <c r="M1241" s="119">
        <v>0.5</v>
      </c>
      <c r="N1241" s="120">
        <v>0.0</v>
      </c>
      <c r="O1241" s="121">
        <v>91.32</v>
      </c>
      <c r="P1241" s="117">
        <v>1.0</v>
      </c>
      <c r="Q1241" s="117">
        <f t="shared" si="2"/>
        <v>0</v>
      </c>
      <c r="R1241" s="122">
        <f>+(IF(((M1241*24)-P1241)&lt;0,0,((M1241*24)-P1241)*'Estimación de pérdidas'!$F$72))*N1241</f>
        <v>0</v>
      </c>
      <c r="S1241" s="123" t="s">
        <v>117</v>
      </c>
      <c r="T1241" s="124" t="s">
        <v>119</v>
      </c>
      <c r="U1241" s="124">
        <f t="shared" si="3"/>
        <v>1</v>
      </c>
      <c r="V1241" s="124">
        <v>2.0</v>
      </c>
      <c r="W1241" s="124"/>
      <c r="X1241" s="125"/>
      <c r="Y1241" s="126"/>
      <c r="Z1241" s="125">
        <f t="shared" si="4"/>
        <v>2</v>
      </c>
      <c r="AA1241" s="127" t="str">
        <f t="shared" si="5"/>
        <v>Moderado</v>
      </c>
      <c r="AB1241" s="128">
        <f t="shared" si="6"/>
        <v>8</v>
      </c>
      <c r="AC1241" s="129">
        <f t="shared" si="7"/>
        <v>0.12</v>
      </c>
      <c r="AD1241" s="131"/>
    </row>
    <row r="1242" ht="14.25" hidden="1" customHeight="1">
      <c r="A1242" s="116" t="s">
        <v>2899</v>
      </c>
      <c r="B1242" s="132" t="s">
        <v>2900</v>
      </c>
      <c r="C1242" s="133" t="s">
        <v>3549</v>
      </c>
      <c r="D1242" s="133" t="s">
        <v>3551</v>
      </c>
      <c r="E1242" s="117" t="s">
        <v>3549</v>
      </c>
      <c r="F1242" s="133" t="s">
        <v>2817</v>
      </c>
      <c r="G1242" s="133" t="s">
        <v>2818</v>
      </c>
      <c r="H1242" s="133" t="s">
        <v>2819</v>
      </c>
      <c r="I1242" s="133">
        <v>2.0</v>
      </c>
      <c r="J1242" s="133">
        <v>1.0</v>
      </c>
      <c r="K1242" s="134" t="str">
        <f t="shared" si="1"/>
        <v>Si</v>
      </c>
      <c r="L1242" s="135" t="s">
        <v>116</v>
      </c>
      <c r="M1242" s="136">
        <v>0.5</v>
      </c>
      <c r="N1242" s="137">
        <v>0.0</v>
      </c>
      <c r="O1242" s="138">
        <v>91.32</v>
      </c>
      <c r="P1242" s="132">
        <v>1.0</v>
      </c>
      <c r="Q1242" s="134">
        <f t="shared" si="2"/>
        <v>0</v>
      </c>
      <c r="R1242" s="139">
        <f>+(IF(((M1242*24)-P1242)&lt;0,0,((M1242*24)-P1242)*'Estimación de pérdidas'!$F$72))*N1242</f>
        <v>0</v>
      </c>
      <c r="S1242" s="140" t="s">
        <v>117</v>
      </c>
      <c r="T1242" s="141" t="s">
        <v>119</v>
      </c>
      <c r="U1242" s="142">
        <f t="shared" si="3"/>
        <v>1</v>
      </c>
      <c r="V1242" s="141">
        <v>2.0</v>
      </c>
      <c r="W1242" s="141"/>
      <c r="X1242" s="143"/>
      <c r="Y1242" s="144"/>
      <c r="Z1242" s="145">
        <f t="shared" si="4"/>
        <v>2</v>
      </c>
      <c r="AA1242" s="141" t="str">
        <f t="shared" si="5"/>
        <v>Moderado</v>
      </c>
      <c r="AB1242" s="146">
        <f t="shared" si="6"/>
        <v>8</v>
      </c>
      <c r="AC1242" s="147">
        <f t="shared" si="7"/>
        <v>0.12</v>
      </c>
      <c r="AD1242" s="131"/>
    </row>
    <row r="1243" ht="14.25" hidden="1" customHeight="1">
      <c r="A1243" s="116" t="s">
        <v>847</v>
      </c>
      <c r="B1243" s="117" t="s">
        <v>848</v>
      </c>
      <c r="C1243" s="117" t="s">
        <v>1690</v>
      </c>
      <c r="D1243" s="117" t="s">
        <v>3552</v>
      </c>
      <c r="E1243" s="117" t="s">
        <v>3553</v>
      </c>
      <c r="F1243" s="117" t="s">
        <v>1692</v>
      </c>
      <c r="G1243" s="117" t="s">
        <v>205</v>
      </c>
      <c r="H1243" s="117" t="s">
        <v>729</v>
      </c>
      <c r="I1243" s="117">
        <v>7.0</v>
      </c>
      <c r="J1243" s="117">
        <v>5.0</v>
      </c>
      <c r="K1243" s="117" t="str">
        <f t="shared" si="1"/>
        <v>Si</v>
      </c>
      <c r="L1243" s="118" t="s">
        <v>287</v>
      </c>
      <c r="M1243" s="119">
        <v>0.25</v>
      </c>
      <c r="N1243" s="120">
        <v>0.5</v>
      </c>
      <c r="O1243" s="121">
        <v>91.32</v>
      </c>
      <c r="P1243" s="117">
        <v>2.0</v>
      </c>
      <c r="Q1243" s="117">
        <f t="shared" si="2"/>
        <v>2</v>
      </c>
      <c r="R1243" s="122">
        <f>+(IF(((M1243*24)-P1243)&lt;0,0,((M1243*24)-P1243)*'Estimación de pérdidas'!$F$72))*N1243</f>
        <v>115356.1498</v>
      </c>
      <c r="S1243" s="123" t="s">
        <v>117</v>
      </c>
      <c r="T1243" s="124" t="s">
        <v>106</v>
      </c>
      <c r="U1243" s="124">
        <f t="shared" si="3"/>
        <v>2</v>
      </c>
      <c r="V1243" s="124">
        <v>1.0</v>
      </c>
      <c r="W1243" s="124"/>
      <c r="X1243" s="125"/>
      <c r="Y1243" s="126"/>
      <c r="Z1243" s="125">
        <f t="shared" si="4"/>
        <v>2</v>
      </c>
      <c r="AA1243" s="127" t="str">
        <f t="shared" si="5"/>
        <v>Moderado</v>
      </c>
      <c r="AB1243" s="128">
        <f t="shared" si="6"/>
        <v>12</v>
      </c>
      <c r="AC1243" s="129">
        <f t="shared" si="7"/>
        <v>0.16</v>
      </c>
    </row>
  </sheetData>
  <autoFilter ref="$A$4:$AJ$1243">
    <filterColumn colId="3">
      <filters>
        <filter val="3630FL0010"/>
        <filter val="3630FL0011"/>
        <filter val="3630FL0012"/>
        <filter val="3500FL0025"/>
        <filter val="3500FL0026"/>
        <filter val="3500FL0027"/>
        <filter val="3500FL0028"/>
        <filter val="3330FL0004"/>
        <filter val="3330FL0003"/>
        <filter val="3330FL0002"/>
        <filter val="3330FL0001"/>
        <filter val="3330FL0007"/>
        <filter val="3330FL0006"/>
        <filter val="3330FL0005"/>
        <filter val="3450FL0009"/>
      </filters>
    </filterColumn>
  </autoFilter>
  <mergeCells count="3">
    <mergeCell ref="A1:AC1"/>
    <mergeCell ref="T2:AC2"/>
    <mergeCell ref="U3:Y3"/>
  </mergeCells>
  <conditionalFormatting sqref="AA5:AB1243">
    <cfRule type="cellIs" dxfId="0" priority="1" operator="equal">
      <formula>"Alto"</formula>
    </cfRule>
  </conditionalFormatting>
  <conditionalFormatting sqref="AA5:AB1243">
    <cfRule type="cellIs" dxfId="1" priority="2" stopIfTrue="1" operator="equal">
      <formula>"Moderado"</formula>
    </cfRule>
  </conditionalFormatting>
  <conditionalFormatting sqref="AA5:AB1243">
    <cfRule type="cellIs" dxfId="2" priority="3" stopIfTrue="1" operator="equal">
      <formula>"Bajo"</formula>
    </cfRule>
  </conditionalFormatting>
  <dataValidations>
    <dataValidation type="list" allowBlank="1" showInputMessage="1" showErrorMessage="1" prompt="Probabilidad: - 5 - Casi Seguro: Cada 3 meses o menos.     _x000a_4 - Probable: Entre 3 meses y 1 años  _x000a_3 - Posible: Entre 1 y 5 años_x000a_2 - Improbable: Entre 5 y 10 años_x000a_1 - Raro: &gt; 10 años." sqref="T5:T1243">
      <formula1>"5-Casi seguro,4-Probable,3-Posible,2-Improbable,1-Raro"</formula1>
    </dataValidation>
    <dataValidation type="list" allowBlank="1" showErrorMessage="1" sqref="Z5:Z1243">
      <formula1>"1,2,3,4,5"</formula1>
    </dataValidation>
    <dataValidation type="list" allowBlank="1" showInputMessage="1" showErrorMessage="1" prompt="1: Local, informal, requisitos internos._x000a_2: Exposición e impacto local, sin potencial de sanciones._x000a_3: Impacto regional, exposición nacional, potencial de sanciones._x000a_4: Bloqueo a operación, exposición internacional, sanciones._x000a_5. S" sqref="Y5:Y1243">
      <formula1>"1,2,3,4,5"</formula1>
    </dataValidation>
    <dataValidation type="list" allowBlank="1" showErrorMessage="1" sqref="L5:L58 L60:L82 L84:L1135 L1137:L1143 L1145:L1146 L1148:L1163 L1165 L1167:L1172 L1174:L1177 L1179:L1208 L1210:L1213 L1215:L1217 L1220:L1232 L1234:L1235 L1237:L1243">
      <formula1>"Ninguna,Activa,Pasiva"</formula1>
    </dataValidation>
    <dataValidation type="list" allowBlank="1" showInputMessage="1" showErrorMessage="1" prompt="Verificar en flujograma de la hoja &quot;Validación SCE&quot;. Si la respuesta es &quot;Si&quot; se debe validar además del impacto operacional cuál es el impacto en seguridad y medio ambiente." sqref="S5:S1243">
      <formula1>"Si,No"</formula1>
    </dataValidation>
    <dataValidation type="list" allowBlank="1" showInputMessage="1" showErrorMessage="1" promptTitle="IMpacto en Seguridad / Salud:" prompt="1: Sólo primeros auxilios, sin pérdida de tiempo._x000a_2: Tratamiento médico, no restrictivo._x000a_3: Reversibles moderados, con pérdida de tiempo._x000a_4: Fatalidad o incapacidad permanente a una persona._x000a_5: Fatalidades o incapacidades permanent" sqref="W5:W554 W557:W724 W727 W729 W731:W799 W807:W1095 W1097:W1243">
      <formula1>"1,2,3,4,5"</formula1>
    </dataValidation>
    <dataValidation type="list" allowBlank="1" showInputMessage="1" showErrorMessage="1" promptTitle="Impacto ambiental:" prompt="1: Focalizado, remediado de inmediato._x000a_2: Focalizado, remediado en corto plazo._x000a_3: Confinado, remediado en mediano plazo._x000a_4: No confinado, daño residual, remediación a largo plazo._x000a_5: No confinado, daño mayor, remediado a muy largo" sqref="X5:X363 X365:X554 X557:X724 X727 X729 X731:X799 X807:X1095 X1097:X1243">
      <formula1>"1,2,3,4,5"</formula1>
    </dataValidation>
    <dataValidation type="list" allowBlank="1" showInputMessage="1" showErrorMessage="1" prompt="Afectación en los ingresos: - 1: &lt; USD 50K_x000a_2: Entre USD 50K y USD 200K_x000a_3: Entre USD 200K y USD 500K_x000a_4: entre USD 500K y USD 1M_x000a_5: &gt; USD 1M" sqref="U5:U1243">
      <formula1>"1,2,3,4,5"</formula1>
    </dataValidation>
    <dataValidation type="list" allowBlank="1" showInputMessage="1" showErrorMessage="1" prompt="Afectación al costo operacional: - 1: &lt; USD 10k_x000a_2: Entre USD 10k y USD 100K_x000a_3: Entre USD 100k y USD 300K_x000a_4: entre USD 300K y USD 500K_x000a_5: &gt; USD 500K" sqref="V5:V1243">
      <formula1>"1,2,3,4,5"</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70"/>
      <c r="B1" s="70"/>
      <c r="C1" s="70"/>
      <c r="D1" s="70"/>
      <c r="E1" s="70"/>
      <c r="F1" s="70"/>
      <c r="G1" s="70"/>
      <c r="H1" s="70"/>
      <c r="I1" s="70"/>
      <c r="J1" s="70"/>
      <c r="K1" s="70"/>
      <c r="L1" s="70"/>
      <c r="M1" s="70"/>
      <c r="N1" s="70"/>
      <c r="O1" s="70"/>
      <c r="P1" s="70"/>
      <c r="Q1" s="70"/>
      <c r="R1" s="70"/>
      <c r="S1" s="70"/>
      <c r="T1" s="70"/>
      <c r="U1" s="70"/>
      <c r="V1" s="70"/>
      <c r="W1" s="70"/>
      <c r="X1" s="70"/>
      <c r="Y1" s="70"/>
      <c r="Z1" s="70"/>
    </row>
    <row r="2" ht="14.25" customHeight="1">
      <c r="A2" s="70"/>
      <c r="B2" s="70"/>
      <c r="C2" s="70"/>
      <c r="D2" s="70"/>
      <c r="E2" s="70"/>
      <c r="F2" s="70"/>
      <c r="G2" s="70"/>
      <c r="H2" s="70"/>
      <c r="I2" s="70"/>
      <c r="J2" s="70"/>
      <c r="K2" s="70"/>
      <c r="L2" s="70"/>
      <c r="M2" s="70"/>
      <c r="N2" s="70"/>
      <c r="O2" s="70"/>
      <c r="P2" s="70"/>
      <c r="Q2" s="70"/>
      <c r="R2" s="70"/>
      <c r="S2" s="70"/>
      <c r="T2" s="70"/>
      <c r="U2" s="70"/>
      <c r="V2" s="70"/>
      <c r="W2" s="70"/>
      <c r="X2" s="70"/>
      <c r="Y2" s="70"/>
      <c r="Z2" s="70"/>
    </row>
    <row r="3" ht="14.25" customHeight="1">
      <c r="A3" s="70"/>
      <c r="B3" s="70"/>
      <c r="C3" s="70"/>
      <c r="D3" s="70"/>
      <c r="E3" s="70"/>
      <c r="F3" s="70"/>
      <c r="G3" s="70"/>
      <c r="H3" s="70"/>
      <c r="I3" s="70"/>
      <c r="J3" s="70"/>
      <c r="K3" s="70"/>
      <c r="L3" s="70"/>
      <c r="M3" s="70"/>
      <c r="N3" s="70"/>
      <c r="O3" s="70"/>
      <c r="P3" s="70"/>
      <c r="Q3" s="70"/>
      <c r="R3" s="70"/>
      <c r="S3" s="70"/>
      <c r="T3" s="70"/>
      <c r="U3" s="70"/>
      <c r="V3" s="70"/>
      <c r="W3" s="70"/>
      <c r="X3" s="70"/>
      <c r="Y3" s="70"/>
      <c r="Z3" s="70"/>
    </row>
    <row r="4" ht="14.25" customHeight="1">
      <c r="A4" s="70"/>
      <c r="B4" s="70"/>
      <c r="C4" s="70"/>
      <c r="D4" s="70"/>
      <c r="E4" s="70"/>
      <c r="F4" s="70"/>
      <c r="G4" s="70"/>
      <c r="H4" s="70"/>
      <c r="I4" s="70"/>
      <c r="J4" s="70"/>
      <c r="K4" s="70"/>
      <c r="L4" s="70"/>
      <c r="M4" s="70"/>
      <c r="N4" s="70"/>
      <c r="O4" s="70"/>
      <c r="P4" s="70"/>
      <c r="Q4" s="70"/>
      <c r="R4" s="70"/>
      <c r="S4" s="70"/>
      <c r="T4" s="70"/>
      <c r="U4" s="70"/>
      <c r="V4" s="70"/>
      <c r="W4" s="70"/>
      <c r="X4" s="70"/>
      <c r="Y4" s="70"/>
      <c r="Z4" s="70"/>
    </row>
    <row r="5" ht="14.25" customHeight="1">
      <c r="A5" s="70"/>
      <c r="B5" s="70"/>
      <c r="C5" s="70"/>
      <c r="D5" s="70"/>
      <c r="E5" s="70"/>
      <c r="F5" s="70"/>
      <c r="G5" s="70"/>
      <c r="H5" s="70"/>
      <c r="I5" s="70"/>
      <c r="J5" s="70"/>
      <c r="K5" s="70"/>
      <c r="L5" s="70"/>
      <c r="M5" s="70"/>
      <c r="N5" s="70"/>
      <c r="O5" s="70"/>
      <c r="P5" s="70"/>
      <c r="Q5" s="70"/>
      <c r="R5" s="70"/>
      <c r="S5" s="70"/>
      <c r="T5" s="70"/>
      <c r="U5" s="70"/>
      <c r="V5" s="70"/>
      <c r="W5" s="70"/>
      <c r="X5" s="70"/>
      <c r="Y5" s="70"/>
      <c r="Z5" s="70"/>
    </row>
    <row r="6" ht="14.25" customHeight="1">
      <c r="A6" s="70"/>
      <c r="B6" s="70"/>
      <c r="C6" s="70"/>
      <c r="D6" s="70"/>
      <c r="E6" s="70"/>
      <c r="F6" s="70"/>
      <c r="G6" s="70"/>
      <c r="H6" s="70"/>
      <c r="I6" s="70"/>
      <c r="J6" s="70"/>
      <c r="K6" s="70"/>
      <c r="L6" s="70"/>
      <c r="M6" s="70"/>
      <c r="N6" s="70"/>
      <c r="O6" s="70"/>
      <c r="P6" s="70"/>
      <c r="Q6" s="70"/>
      <c r="R6" s="70"/>
      <c r="S6" s="70"/>
      <c r="T6" s="70"/>
      <c r="U6" s="70"/>
      <c r="V6" s="70"/>
      <c r="W6" s="70"/>
      <c r="X6" s="70"/>
      <c r="Y6" s="70"/>
      <c r="Z6" s="70"/>
    </row>
    <row r="7" ht="14.25" customHeight="1">
      <c r="A7" s="70"/>
      <c r="B7" s="70"/>
      <c r="C7" s="70"/>
      <c r="D7" s="70"/>
      <c r="E7" s="70"/>
      <c r="F7" s="70"/>
      <c r="G7" s="70"/>
      <c r="H7" s="70"/>
      <c r="I7" s="70"/>
      <c r="J7" s="70"/>
      <c r="K7" s="70"/>
      <c r="L7" s="70"/>
      <c r="M7" s="70"/>
      <c r="N7" s="70"/>
      <c r="O7" s="70"/>
      <c r="P7" s="70"/>
      <c r="Q7" s="70"/>
      <c r="R7" s="70"/>
      <c r="S7" s="70"/>
      <c r="T7" s="70"/>
      <c r="U7" s="70"/>
      <c r="V7" s="70"/>
      <c r="W7" s="70"/>
      <c r="X7" s="70"/>
      <c r="Y7" s="70"/>
      <c r="Z7" s="70"/>
    </row>
    <row r="8" ht="14.25" customHeight="1">
      <c r="A8" s="70"/>
      <c r="B8" s="70"/>
      <c r="C8" s="70"/>
      <c r="D8" s="70"/>
      <c r="E8" s="70"/>
      <c r="F8" s="70"/>
      <c r="G8" s="70"/>
      <c r="H8" s="70"/>
      <c r="I8" s="70"/>
      <c r="J8" s="70"/>
      <c r="K8" s="70"/>
      <c r="L8" s="70"/>
      <c r="M8" s="70"/>
      <c r="N8" s="70"/>
      <c r="O8" s="70"/>
      <c r="P8" s="70"/>
      <c r="Q8" s="70"/>
      <c r="R8" s="70"/>
      <c r="S8" s="70"/>
      <c r="T8" s="70"/>
      <c r="U8" s="70"/>
      <c r="V8" s="70"/>
      <c r="W8" s="70"/>
      <c r="X8" s="70"/>
      <c r="Y8" s="70"/>
      <c r="Z8" s="70"/>
    </row>
    <row r="9" ht="14.25" customHeight="1">
      <c r="A9" s="70"/>
      <c r="B9" s="70"/>
      <c r="C9" s="70"/>
      <c r="D9" s="70"/>
      <c r="E9" s="70"/>
      <c r="F9" s="70"/>
      <c r="G9" s="70"/>
      <c r="H9" s="70"/>
      <c r="I9" s="70"/>
      <c r="J9" s="70"/>
      <c r="K9" s="70"/>
      <c r="L9" s="70"/>
      <c r="M9" s="70"/>
      <c r="N9" s="70"/>
      <c r="O9" s="70"/>
      <c r="P9" s="70"/>
      <c r="Q9" s="70"/>
      <c r="R9" s="70"/>
      <c r="S9" s="70"/>
      <c r="T9" s="70"/>
      <c r="U9" s="70"/>
      <c r="V9" s="70"/>
      <c r="W9" s="70"/>
      <c r="X9" s="70"/>
      <c r="Y9" s="70"/>
      <c r="Z9" s="70"/>
    </row>
    <row r="10" ht="14.25" customHeight="1">
      <c r="A10" s="70"/>
      <c r="B10" s="70"/>
      <c r="C10" s="70"/>
      <c r="D10" s="70"/>
      <c r="E10" s="70"/>
      <c r="F10" s="70"/>
      <c r="G10" s="70"/>
      <c r="H10" s="70"/>
      <c r="I10" s="70"/>
      <c r="J10" s="70"/>
      <c r="K10" s="70"/>
      <c r="L10" s="70"/>
      <c r="M10" s="70"/>
      <c r="N10" s="70"/>
      <c r="O10" s="70"/>
      <c r="P10" s="70"/>
      <c r="Q10" s="70"/>
      <c r="R10" s="70"/>
      <c r="S10" s="70"/>
      <c r="T10" s="70"/>
      <c r="U10" s="70"/>
      <c r="V10" s="70"/>
      <c r="W10" s="70"/>
      <c r="X10" s="70"/>
      <c r="Y10" s="70"/>
      <c r="Z10" s="70"/>
    </row>
    <row r="11" ht="14.25" customHeight="1">
      <c r="A11" s="70"/>
      <c r="B11" s="70"/>
      <c r="C11" s="70"/>
      <c r="D11" s="70"/>
      <c r="E11" s="70"/>
      <c r="F11" s="70"/>
      <c r="G11" s="70"/>
      <c r="H11" s="70"/>
      <c r="I11" s="70"/>
      <c r="J11" s="70"/>
      <c r="K11" s="70"/>
      <c r="L11" s="70"/>
      <c r="M11" s="70"/>
      <c r="N11" s="70"/>
      <c r="O11" s="70"/>
      <c r="P11" s="70"/>
      <c r="Q11" s="70"/>
      <c r="R11" s="70"/>
      <c r="S11" s="70"/>
      <c r="T11" s="70"/>
      <c r="U11" s="70"/>
      <c r="V11" s="70"/>
      <c r="W11" s="70"/>
      <c r="X11" s="70"/>
      <c r="Y11" s="70"/>
      <c r="Z11" s="70"/>
    </row>
    <row r="12" ht="14.25" customHeight="1">
      <c r="A12" s="70"/>
      <c r="B12" s="70"/>
      <c r="C12" s="70"/>
      <c r="D12" s="70"/>
      <c r="E12" s="70"/>
      <c r="F12" s="70"/>
      <c r="G12" s="70"/>
      <c r="H12" s="70"/>
      <c r="I12" s="70"/>
      <c r="J12" s="70"/>
      <c r="K12" s="70"/>
      <c r="L12" s="70"/>
      <c r="M12" s="70"/>
      <c r="N12" s="70"/>
      <c r="O12" s="70"/>
      <c r="P12" s="70"/>
      <c r="Q12" s="70"/>
      <c r="R12" s="70"/>
      <c r="S12" s="70"/>
      <c r="T12" s="70"/>
      <c r="U12" s="70"/>
      <c r="V12" s="70"/>
      <c r="W12" s="70"/>
      <c r="X12" s="70"/>
      <c r="Y12" s="70"/>
      <c r="Z12" s="70"/>
    </row>
    <row r="13" ht="14.25" customHeight="1">
      <c r="A13" s="70"/>
      <c r="B13" s="70"/>
      <c r="C13" s="70"/>
      <c r="D13" s="70"/>
      <c r="E13" s="70"/>
      <c r="F13" s="70"/>
      <c r="G13" s="70"/>
      <c r="H13" s="70"/>
      <c r="I13" s="70"/>
      <c r="J13" s="70"/>
      <c r="K13" s="70"/>
      <c r="L13" s="70"/>
      <c r="M13" s="70"/>
      <c r="N13" s="70"/>
      <c r="O13" s="70"/>
      <c r="P13" s="70"/>
      <c r="Q13" s="70"/>
      <c r="R13" s="70"/>
      <c r="S13" s="70"/>
      <c r="T13" s="70"/>
      <c r="U13" s="70"/>
      <c r="V13" s="70"/>
      <c r="W13" s="70"/>
      <c r="X13" s="70"/>
      <c r="Y13" s="70"/>
      <c r="Z13" s="70"/>
    </row>
    <row r="14" ht="14.25" customHeight="1">
      <c r="A14" s="70"/>
      <c r="B14" s="70"/>
      <c r="C14" s="70"/>
      <c r="D14" s="70"/>
      <c r="E14" s="70"/>
      <c r="F14" s="70"/>
      <c r="G14" s="70"/>
      <c r="H14" s="70"/>
      <c r="I14" s="70"/>
      <c r="J14" s="70"/>
      <c r="K14" s="70"/>
      <c r="L14" s="70"/>
      <c r="M14" s="70"/>
      <c r="N14" s="70"/>
      <c r="O14" s="70"/>
      <c r="P14" s="70"/>
      <c r="Q14" s="70"/>
      <c r="R14" s="70"/>
      <c r="S14" s="70"/>
      <c r="T14" s="70"/>
      <c r="U14" s="70"/>
      <c r="V14" s="70"/>
      <c r="W14" s="70"/>
      <c r="X14" s="70"/>
      <c r="Y14" s="70"/>
      <c r="Z14" s="70"/>
    </row>
    <row r="15" ht="14.25" customHeight="1">
      <c r="A15" s="70"/>
      <c r="B15" s="70"/>
      <c r="C15" s="70"/>
      <c r="D15" s="70"/>
      <c r="E15" s="70"/>
      <c r="F15" s="70"/>
      <c r="G15" s="70"/>
      <c r="H15" s="70"/>
      <c r="I15" s="70"/>
      <c r="J15" s="70"/>
      <c r="K15" s="70"/>
      <c r="L15" s="70"/>
      <c r="M15" s="70"/>
      <c r="N15" s="70"/>
      <c r="O15" s="70"/>
      <c r="P15" s="70"/>
      <c r="Q15" s="70"/>
      <c r="R15" s="70"/>
      <c r="S15" s="70"/>
      <c r="T15" s="70"/>
      <c r="U15" s="70"/>
      <c r="V15" s="70"/>
      <c r="W15" s="70"/>
      <c r="X15" s="70"/>
      <c r="Y15" s="70"/>
      <c r="Z15" s="70"/>
    </row>
    <row r="16" ht="14.25" customHeight="1">
      <c r="A16" s="70"/>
      <c r="B16" s="70"/>
      <c r="C16" s="70"/>
      <c r="D16" s="70"/>
      <c r="E16" s="70"/>
      <c r="F16" s="70"/>
      <c r="G16" s="70"/>
      <c r="H16" s="70"/>
      <c r="I16" s="70"/>
      <c r="J16" s="70"/>
      <c r="K16" s="70"/>
      <c r="L16" s="70"/>
      <c r="M16" s="70"/>
      <c r="N16" s="70"/>
      <c r="O16" s="70"/>
      <c r="P16" s="70"/>
      <c r="Q16" s="70"/>
      <c r="R16" s="70"/>
      <c r="S16" s="70"/>
      <c r="T16" s="70"/>
      <c r="U16" s="70"/>
      <c r="V16" s="70"/>
      <c r="W16" s="70"/>
      <c r="X16" s="70"/>
      <c r="Y16" s="70"/>
      <c r="Z16" s="70"/>
    </row>
    <row r="17" ht="14.25" customHeight="1">
      <c r="A17" s="70"/>
      <c r="B17" s="70"/>
      <c r="C17" s="70"/>
      <c r="D17" s="70"/>
      <c r="E17" s="70"/>
      <c r="F17" s="70"/>
      <c r="G17" s="70"/>
      <c r="H17" s="70"/>
      <c r="I17" s="70"/>
      <c r="J17" s="70"/>
      <c r="K17" s="70"/>
      <c r="L17" s="70"/>
      <c r="M17" s="70"/>
      <c r="N17" s="70"/>
      <c r="O17" s="70"/>
      <c r="P17" s="70"/>
      <c r="Q17" s="70"/>
      <c r="R17" s="70"/>
      <c r="S17" s="70"/>
      <c r="T17" s="70"/>
      <c r="U17" s="70"/>
      <c r="V17" s="70"/>
      <c r="W17" s="70"/>
      <c r="X17" s="70"/>
      <c r="Y17" s="70"/>
      <c r="Z17" s="70"/>
    </row>
    <row r="18" ht="14.25" customHeight="1">
      <c r="A18" s="70"/>
      <c r="B18" s="70"/>
      <c r="C18" s="70"/>
      <c r="D18" s="70"/>
      <c r="E18" s="70"/>
      <c r="F18" s="70"/>
      <c r="G18" s="70"/>
      <c r="H18" s="70"/>
      <c r="I18" s="70"/>
      <c r="J18" s="70"/>
      <c r="K18" s="70"/>
      <c r="L18" s="70"/>
      <c r="M18" s="70"/>
      <c r="N18" s="70"/>
      <c r="O18" s="70"/>
      <c r="P18" s="70"/>
      <c r="Q18" s="70"/>
      <c r="R18" s="70"/>
      <c r="S18" s="70"/>
      <c r="T18" s="70"/>
      <c r="U18" s="70"/>
      <c r="V18" s="70"/>
      <c r="W18" s="70"/>
      <c r="X18" s="70"/>
      <c r="Y18" s="70"/>
      <c r="Z18" s="70"/>
    </row>
    <row r="19" ht="14.25" customHeight="1">
      <c r="A19" s="70"/>
      <c r="B19" s="70"/>
      <c r="C19" s="70"/>
      <c r="D19" s="70"/>
      <c r="E19" s="70"/>
      <c r="F19" s="70"/>
      <c r="G19" s="70"/>
      <c r="H19" s="70"/>
      <c r="I19" s="70"/>
      <c r="J19" s="70"/>
      <c r="K19" s="70"/>
      <c r="L19" s="70"/>
      <c r="M19" s="70"/>
      <c r="N19" s="70"/>
      <c r="O19" s="70"/>
      <c r="P19" s="70"/>
      <c r="Q19" s="70"/>
      <c r="R19" s="70"/>
      <c r="S19" s="70"/>
      <c r="T19" s="70"/>
      <c r="U19" s="70"/>
      <c r="V19" s="70"/>
      <c r="W19" s="70"/>
      <c r="X19" s="70"/>
      <c r="Y19" s="70"/>
      <c r="Z19" s="70"/>
    </row>
    <row r="20" ht="14.25" customHeight="1">
      <c r="A20" s="70"/>
      <c r="B20" s="70"/>
      <c r="C20" s="70"/>
      <c r="D20" s="70"/>
      <c r="E20" s="70"/>
      <c r="F20" s="70"/>
      <c r="G20" s="70"/>
      <c r="H20" s="70"/>
      <c r="I20" s="70"/>
      <c r="J20" s="70"/>
      <c r="K20" s="70"/>
      <c r="L20" s="70"/>
      <c r="M20" s="70"/>
      <c r="N20" s="70"/>
      <c r="O20" s="70"/>
      <c r="P20" s="70"/>
      <c r="Q20" s="70"/>
      <c r="R20" s="70"/>
      <c r="S20" s="70"/>
      <c r="T20" s="70"/>
      <c r="U20" s="70"/>
      <c r="V20" s="70"/>
      <c r="W20" s="70"/>
      <c r="X20" s="70"/>
      <c r="Y20" s="70"/>
      <c r="Z20" s="70"/>
    </row>
    <row r="21" ht="14.25" customHeight="1">
      <c r="A21" s="70"/>
      <c r="B21" s="70"/>
      <c r="C21" s="70"/>
      <c r="D21" s="70"/>
      <c r="E21" s="70"/>
      <c r="F21" s="70"/>
      <c r="G21" s="70"/>
      <c r="H21" s="70"/>
      <c r="I21" s="70"/>
      <c r="J21" s="70"/>
      <c r="K21" s="70"/>
      <c r="L21" s="70"/>
      <c r="M21" s="70"/>
      <c r="N21" s="70"/>
      <c r="O21" s="70"/>
      <c r="P21" s="70"/>
      <c r="Q21" s="70"/>
      <c r="R21" s="70"/>
      <c r="S21" s="70"/>
      <c r="T21" s="70"/>
      <c r="U21" s="70"/>
      <c r="V21" s="70"/>
      <c r="W21" s="70"/>
      <c r="X21" s="70"/>
      <c r="Y21" s="70"/>
      <c r="Z21" s="70"/>
    </row>
    <row r="22" ht="14.25" customHeight="1">
      <c r="A22" s="70"/>
      <c r="B22" s="70"/>
      <c r="C22" s="70"/>
      <c r="D22" s="70"/>
      <c r="E22" s="70"/>
      <c r="F22" s="70"/>
      <c r="G22" s="70"/>
      <c r="H22" s="70"/>
      <c r="I22" s="70"/>
      <c r="J22" s="70"/>
      <c r="K22" s="70"/>
      <c r="L22" s="70"/>
      <c r="M22" s="70"/>
      <c r="N22" s="70"/>
      <c r="O22" s="70"/>
      <c r="P22" s="70"/>
      <c r="Q22" s="70"/>
      <c r="R22" s="70"/>
      <c r="S22" s="70"/>
      <c r="T22" s="70"/>
      <c r="U22" s="70"/>
      <c r="V22" s="70"/>
      <c r="W22" s="70"/>
      <c r="X22" s="70"/>
      <c r="Y22" s="70"/>
      <c r="Z22" s="70"/>
    </row>
    <row r="23" ht="14.25" customHeight="1">
      <c r="A23" s="70"/>
      <c r="B23" s="70"/>
      <c r="C23" s="70"/>
      <c r="D23" s="70"/>
      <c r="E23" s="70"/>
      <c r="F23" s="70"/>
      <c r="G23" s="70"/>
      <c r="H23" s="70"/>
      <c r="I23" s="70"/>
      <c r="J23" s="70"/>
      <c r="K23" s="70"/>
      <c r="L23" s="70"/>
      <c r="M23" s="70"/>
      <c r="N23" s="70"/>
      <c r="O23" s="70"/>
      <c r="P23" s="70"/>
      <c r="Q23" s="70"/>
      <c r="R23" s="70"/>
      <c r="S23" s="70"/>
      <c r="T23" s="70"/>
      <c r="U23" s="70"/>
      <c r="V23" s="70"/>
      <c r="W23" s="70"/>
      <c r="X23" s="70"/>
      <c r="Y23" s="70"/>
      <c r="Z23" s="70"/>
    </row>
    <row r="24" ht="14.25" customHeight="1">
      <c r="A24" s="70"/>
      <c r="B24" s="70"/>
      <c r="C24" s="70"/>
      <c r="D24" s="70"/>
      <c r="E24" s="70"/>
      <c r="F24" s="70"/>
      <c r="G24" s="70"/>
      <c r="H24" s="70"/>
      <c r="I24" s="70"/>
      <c r="J24" s="70"/>
      <c r="K24" s="70"/>
      <c r="L24" s="70"/>
      <c r="M24" s="70"/>
      <c r="N24" s="70"/>
      <c r="O24" s="70"/>
      <c r="P24" s="70"/>
      <c r="Q24" s="70"/>
      <c r="R24" s="70"/>
      <c r="S24" s="70"/>
      <c r="T24" s="70"/>
      <c r="U24" s="70"/>
      <c r="V24" s="70"/>
      <c r="W24" s="70"/>
      <c r="X24" s="70"/>
      <c r="Y24" s="70"/>
      <c r="Z24" s="70"/>
    </row>
    <row r="25" ht="14.25" customHeight="1">
      <c r="A25" s="70"/>
      <c r="B25" s="70"/>
      <c r="C25" s="70"/>
      <c r="D25" s="70"/>
      <c r="E25" s="70"/>
      <c r="F25" s="70"/>
      <c r="G25" s="70"/>
      <c r="H25" s="70"/>
      <c r="I25" s="70"/>
      <c r="J25" s="70"/>
      <c r="K25" s="70"/>
      <c r="L25" s="70"/>
      <c r="M25" s="70"/>
      <c r="N25" s="70"/>
      <c r="O25" s="70"/>
      <c r="P25" s="70"/>
      <c r="Q25" s="70"/>
      <c r="R25" s="70"/>
      <c r="S25" s="70"/>
      <c r="T25" s="70"/>
      <c r="U25" s="70"/>
      <c r="V25" s="70"/>
      <c r="W25" s="70"/>
      <c r="X25" s="70"/>
      <c r="Y25" s="70"/>
      <c r="Z25" s="70"/>
    </row>
    <row r="26" ht="14.25" customHeight="1">
      <c r="A26" s="70"/>
      <c r="B26" s="70"/>
      <c r="C26" s="70"/>
      <c r="D26" s="70"/>
      <c r="E26" s="70"/>
      <c r="F26" s="70"/>
      <c r="G26" s="70"/>
      <c r="H26" s="70"/>
      <c r="I26" s="70"/>
      <c r="J26" s="70"/>
      <c r="K26" s="70"/>
      <c r="L26" s="70"/>
      <c r="M26" s="70"/>
      <c r="N26" s="70"/>
      <c r="O26" s="70"/>
      <c r="P26" s="70"/>
      <c r="Q26" s="70"/>
      <c r="R26" s="70"/>
      <c r="S26" s="70"/>
      <c r="T26" s="70"/>
      <c r="U26" s="70"/>
      <c r="V26" s="70"/>
      <c r="W26" s="70"/>
      <c r="X26" s="70"/>
      <c r="Y26" s="70"/>
      <c r="Z26" s="70"/>
    </row>
    <row r="27" ht="14.25" customHeight="1">
      <c r="A27" s="70"/>
      <c r="B27" s="70"/>
      <c r="C27" s="70"/>
      <c r="D27" s="70"/>
      <c r="E27" s="70"/>
      <c r="F27" s="70"/>
      <c r="G27" s="70"/>
      <c r="H27" s="70"/>
      <c r="I27" s="70"/>
      <c r="J27" s="148"/>
      <c r="L27" s="70"/>
      <c r="M27" s="70"/>
      <c r="N27" s="70"/>
      <c r="O27" s="70"/>
      <c r="P27" s="70"/>
      <c r="Q27" s="70"/>
      <c r="R27" s="70"/>
      <c r="S27" s="70"/>
      <c r="T27" s="70"/>
      <c r="U27" s="70"/>
      <c r="V27" s="70"/>
      <c r="W27" s="70"/>
      <c r="X27" s="70"/>
      <c r="Y27" s="70"/>
      <c r="Z27" s="70"/>
    </row>
    <row r="28" ht="14.25" customHeight="1">
      <c r="A28" s="70"/>
      <c r="B28" s="70"/>
      <c r="C28" s="70"/>
      <c r="D28" s="70"/>
      <c r="E28" s="70"/>
      <c r="F28" s="70"/>
      <c r="G28" s="70"/>
      <c r="H28" s="70"/>
      <c r="I28" s="70"/>
      <c r="J28" s="70"/>
      <c r="K28" s="70"/>
      <c r="L28" s="70"/>
      <c r="M28" s="70"/>
      <c r="N28" s="70"/>
      <c r="O28" s="70"/>
      <c r="P28" s="70"/>
      <c r="Q28" s="70"/>
      <c r="R28" s="70"/>
      <c r="S28" s="70"/>
      <c r="T28" s="70"/>
      <c r="U28" s="70"/>
      <c r="V28" s="70"/>
      <c r="W28" s="70"/>
      <c r="X28" s="70"/>
      <c r="Y28" s="70"/>
      <c r="Z28" s="70"/>
    </row>
    <row r="29" ht="14.25" customHeight="1">
      <c r="A29" s="70"/>
      <c r="B29" s="70"/>
      <c r="C29" s="70"/>
      <c r="D29" s="70"/>
      <c r="E29" s="70"/>
      <c r="F29" s="70"/>
      <c r="G29" s="70"/>
      <c r="H29" s="70"/>
      <c r="I29" s="70"/>
      <c r="J29" s="70"/>
      <c r="K29" s="70"/>
      <c r="L29" s="70"/>
      <c r="M29" s="70"/>
      <c r="N29" s="70"/>
      <c r="O29" s="70"/>
      <c r="P29" s="70"/>
      <c r="Q29" s="70"/>
      <c r="R29" s="70"/>
      <c r="S29" s="70"/>
      <c r="T29" s="70"/>
      <c r="U29" s="70"/>
      <c r="V29" s="70"/>
      <c r="W29" s="70"/>
      <c r="X29" s="70"/>
      <c r="Y29" s="70"/>
      <c r="Z29" s="70"/>
    </row>
    <row r="30" ht="14.25" customHeight="1">
      <c r="A30" s="70"/>
      <c r="B30" s="70"/>
      <c r="C30" s="70"/>
      <c r="D30" s="70"/>
      <c r="E30" s="70"/>
      <c r="F30" s="70"/>
      <c r="G30" s="70"/>
      <c r="H30" s="70"/>
      <c r="I30" s="70"/>
      <c r="J30" s="70"/>
      <c r="K30" s="70"/>
      <c r="L30" s="70"/>
      <c r="M30" s="70"/>
      <c r="N30" s="70"/>
      <c r="O30" s="70"/>
      <c r="P30" s="70"/>
      <c r="Q30" s="70"/>
      <c r="R30" s="70"/>
      <c r="S30" s="70"/>
      <c r="T30" s="70"/>
      <c r="U30" s="70"/>
      <c r="V30" s="70"/>
      <c r="W30" s="70"/>
      <c r="X30" s="70"/>
      <c r="Y30" s="70"/>
      <c r="Z30" s="70"/>
    </row>
    <row r="31" ht="14.25" customHeight="1">
      <c r="A31" s="70"/>
      <c r="B31" s="70"/>
      <c r="C31" s="70"/>
      <c r="D31" s="70"/>
      <c r="E31" s="70"/>
      <c r="F31" s="70"/>
      <c r="G31" s="70"/>
      <c r="H31" s="70"/>
      <c r="I31" s="70"/>
      <c r="J31" s="70"/>
      <c r="K31" s="70"/>
      <c r="L31" s="70"/>
      <c r="M31" s="70"/>
      <c r="N31" s="70"/>
      <c r="O31" s="70"/>
      <c r="P31" s="70"/>
      <c r="Q31" s="70"/>
      <c r="R31" s="70"/>
      <c r="S31" s="70"/>
      <c r="T31" s="70"/>
      <c r="U31" s="70"/>
      <c r="V31" s="70"/>
      <c r="W31" s="70"/>
      <c r="X31" s="70"/>
      <c r="Y31" s="70"/>
      <c r="Z31" s="70"/>
    </row>
    <row r="32" ht="14.25" customHeight="1">
      <c r="A32" s="70"/>
      <c r="B32" s="70"/>
      <c r="C32" s="70"/>
      <c r="D32" s="70"/>
      <c r="E32" s="70"/>
      <c r="F32" s="70"/>
      <c r="G32" s="70"/>
      <c r="H32" s="70"/>
      <c r="I32" s="70"/>
      <c r="J32" s="70"/>
      <c r="K32" s="70"/>
      <c r="L32" s="70"/>
      <c r="M32" s="70"/>
      <c r="N32" s="70"/>
      <c r="O32" s="70"/>
      <c r="P32" s="70"/>
      <c r="Q32" s="70"/>
      <c r="R32" s="70"/>
      <c r="S32" s="70"/>
      <c r="T32" s="70"/>
      <c r="U32" s="70"/>
      <c r="V32" s="70"/>
      <c r="W32" s="70"/>
      <c r="X32" s="70"/>
      <c r="Y32" s="70"/>
      <c r="Z32" s="70"/>
    </row>
    <row r="33" ht="14.25" customHeight="1">
      <c r="A33" s="70"/>
      <c r="B33" s="70"/>
      <c r="C33" s="70"/>
      <c r="D33" s="70"/>
      <c r="E33" s="70"/>
      <c r="F33" s="70"/>
      <c r="G33" s="70"/>
      <c r="H33" s="70"/>
      <c r="I33" s="70"/>
      <c r="J33" s="70"/>
      <c r="K33" s="70"/>
      <c r="L33" s="70"/>
      <c r="M33" s="70"/>
      <c r="N33" s="70"/>
      <c r="O33" s="70"/>
      <c r="P33" s="70"/>
      <c r="Q33" s="70"/>
      <c r="R33" s="70"/>
      <c r="S33" s="70"/>
      <c r="T33" s="70"/>
      <c r="U33" s="70"/>
      <c r="V33" s="70"/>
      <c r="W33" s="70"/>
      <c r="X33" s="70"/>
      <c r="Y33" s="70"/>
      <c r="Z33" s="70"/>
    </row>
    <row r="34" ht="14.25" customHeight="1">
      <c r="A34" s="70"/>
      <c r="B34" s="70"/>
      <c r="C34" s="70"/>
      <c r="D34" s="70"/>
      <c r="E34" s="70"/>
      <c r="F34" s="70"/>
      <c r="G34" s="70"/>
      <c r="H34" s="70"/>
      <c r="I34" s="70"/>
      <c r="J34" s="70"/>
      <c r="K34" s="70"/>
      <c r="L34" s="70"/>
      <c r="M34" s="70"/>
      <c r="N34" s="70"/>
      <c r="O34" s="70"/>
      <c r="P34" s="70"/>
      <c r="Q34" s="70"/>
      <c r="R34" s="70"/>
      <c r="S34" s="70"/>
      <c r="T34" s="70"/>
      <c r="U34" s="70"/>
      <c r="V34" s="70"/>
      <c r="W34" s="70"/>
      <c r="X34" s="70"/>
      <c r="Y34" s="70"/>
      <c r="Z34" s="70"/>
    </row>
    <row r="35" ht="14.25" customHeight="1">
      <c r="A35" s="70"/>
      <c r="B35" s="70"/>
      <c r="C35" s="70"/>
      <c r="D35" s="70"/>
      <c r="E35" s="70"/>
      <c r="F35" s="70"/>
      <c r="G35" s="70"/>
      <c r="H35" s="70"/>
      <c r="I35" s="70"/>
      <c r="J35" s="70"/>
      <c r="K35" s="70"/>
      <c r="L35" s="70"/>
      <c r="M35" s="70"/>
      <c r="N35" s="70"/>
      <c r="O35" s="70"/>
      <c r="P35" s="70"/>
      <c r="Q35" s="70"/>
      <c r="R35" s="70"/>
      <c r="S35" s="70"/>
      <c r="T35" s="70"/>
      <c r="U35" s="70"/>
      <c r="V35" s="70"/>
      <c r="W35" s="70"/>
      <c r="X35" s="70"/>
      <c r="Y35" s="70"/>
      <c r="Z35" s="70"/>
    </row>
    <row r="36" ht="14.25" customHeight="1">
      <c r="A36" s="70"/>
      <c r="B36" s="70"/>
      <c r="C36" s="70"/>
      <c r="D36" s="70"/>
      <c r="E36" s="70"/>
      <c r="F36" s="70"/>
      <c r="G36" s="70"/>
      <c r="H36" s="70"/>
      <c r="I36" s="70"/>
      <c r="J36" s="70"/>
      <c r="K36" s="70"/>
      <c r="L36" s="70"/>
      <c r="M36" s="70"/>
      <c r="N36" s="70"/>
      <c r="O36" s="70"/>
      <c r="P36" s="70"/>
      <c r="Q36" s="70"/>
      <c r="R36" s="70"/>
      <c r="S36" s="70"/>
      <c r="T36" s="70"/>
      <c r="U36" s="70"/>
      <c r="V36" s="70"/>
      <c r="W36" s="70"/>
      <c r="X36" s="70"/>
      <c r="Y36" s="70"/>
      <c r="Z36" s="70"/>
    </row>
    <row r="37" ht="14.25" customHeight="1">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row>
    <row r="38" ht="14.25" customHeight="1">
      <c r="A38" s="70"/>
      <c r="B38" s="70"/>
      <c r="C38" s="70"/>
      <c r="D38" s="70"/>
      <c r="E38" s="70"/>
      <c r="F38" s="70"/>
      <c r="G38" s="70"/>
      <c r="H38" s="70"/>
      <c r="I38" s="70"/>
      <c r="J38" s="70"/>
      <c r="K38" s="70"/>
      <c r="L38" s="70"/>
      <c r="M38" s="70"/>
      <c r="N38" s="70"/>
      <c r="O38" s="70"/>
      <c r="P38" s="70"/>
      <c r="Q38" s="70"/>
      <c r="R38" s="70"/>
      <c r="S38" s="70"/>
      <c r="T38" s="70"/>
      <c r="U38" s="70"/>
      <c r="V38" s="70"/>
      <c r="W38" s="70"/>
      <c r="X38" s="70"/>
      <c r="Y38" s="70"/>
      <c r="Z38" s="70"/>
    </row>
    <row r="39" ht="14.25" customHeight="1">
      <c r="A39" s="70"/>
      <c r="B39" s="70"/>
      <c r="C39" s="70"/>
      <c r="D39" s="70"/>
      <c r="E39" s="70"/>
      <c r="F39" s="70"/>
      <c r="G39" s="70"/>
      <c r="H39" s="70"/>
      <c r="I39" s="70"/>
      <c r="J39" s="70"/>
      <c r="K39" s="70"/>
      <c r="L39" s="70"/>
      <c r="M39" s="70"/>
      <c r="N39" s="70"/>
      <c r="O39" s="70"/>
      <c r="P39" s="70"/>
      <c r="Q39" s="70"/>
      <c r="R39" s="70"/>
      <c r="S39" s="70"/>
      <c r="T39" s="70"/>
      <c r="U39" s="70"/>
      <c r="V39" s="70"/>
      <c r="W39" s="70"/>
      <c r="X39" s="70"/>
      <c r="Y39" s="70"/>
      <c r="Z39" s="70"/>
    </row>
    <row r="40" ht="14.25" customHeight="1">
      <c r="A40" s="70"/>
      <c r="B40" s="70"/>
      <c r="C40" s="70"/>
      <c r="D40" s="70"/>
      <c r="E40" s="70"/>
      <c r="F40" s="70"/>
      <c r="G40" s="70"/>
      <c r="H40" s="70"/>
      <c r="I40" s="70"/>
      <c r="J40" s="70"/>
      <c r="K40" s="70"/>
      <c r="L40" s="70"/>
      <c r="M40" s="70"/>
      <c r="N40" s="70"/>
      <c r="O40" s="70"/>
      <c r="P40" s="70"/>
      <c r="Q40" s="70"/>
      <c r="R40" s="70"/>
      <c r="S40" s="70"/>
      <c r="T40" s="70"/>
      <c r="U40" s="70"/>
      <c r="V40" s="70"/>
      <c r="W40" s="70"/>
      <c r="X40" s="70"/>
      <c r="Y40" s="70"/>
      <c r="Z40" s="70"/>
    </row>
    <row r="41" ht="14.25" customHeight="1">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row>
    <row r="42" ht="14.25" customHeight="1">
      <c r="A42" s="70"/>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ht="14.25" customHeight="1">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row>
    <row r="44" ht="14.25" customHeight="1">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row>
    <row r="45" ht="14.25" customHeight="1">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row>
    <row r="46" ht="14.25" customHeight="1">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ht="14.25" customHeight="1">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ht="14.25" customHeight="1">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ht="14.25" customHeight="1">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ht="14.25" customHeight="1">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ht="14.25" customHeight="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ht="14.25" customHeight="1">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ht="14.25" customHeight="1">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ht="14.25" customHeight="1">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row>
    <row r="55" ht="14.25" customHeight="1">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ht="14.25" customHeight="1">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ht="14.25" customHeight="1">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ht="14.25" customHeight="1">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ht="14.25" customHeight="1">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ht="14.25" customHeight="1">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ht="14.25" customHeight="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ht="14.25" customHeight="1">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ht="14.25" customHeight="1">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ht="14.25" customHeight="1">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ht="14.25" customHeight="1">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ht="14.25" customHeight="1">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ht="14.25" customHeight="1">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ht="14.25" customHeight="1">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ht="14.25" customHeight="1">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ht="14.25" customHeight="1">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ht="14.25"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ht="14.25" customHeight="1">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ht="14.25" customHeight="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ht="14.25"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ht="14.25" customHeight="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ht="14.25" customHeight="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ht="14.25" customHeight="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ht="14.25" customHeight="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ht="14.25" customHeight="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ht="14.25" customHeight="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ht="14.25" customHeight="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ht="14.25" customHeight="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ht="14.25" customHeight="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ht="14.25" customHeight="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ht="14.25" customHeight="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ht="14.25" customHeight="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ht="14.25" customHeight="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ht="14.25" customHeight="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ht="14.25"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ht="14.25" customHeight="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ht="14.25"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ht="14.25"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ht="14.25"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ht="14.25"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ht="14.25"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ht="14.25"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ht="14.25"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ht="14.25"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ht="14.25"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ht="14.25"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ht="14.25"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ht="14.25"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ht="14.25"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ht="14.25"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ht="14.25"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ht="14.25"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ht="14.25" customHeight="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ht="14.25"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ht="14.25" customHeight="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ht="14.25"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ht="14.25"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ht="14.25"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ht="14.25"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ht="14.25"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ht="14.25"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ht="14.25"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ht="14.25"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ht="14.25"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ht="14.25"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ht="14.25" customHeight="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ht="14.25" customHeight="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ht="14.25"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ht="14.25" customHeight="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ht="14.25" customHeight="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ht="14.25" customHeight="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ht="14.25" customHeight="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ht="14.25"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ht="14.25" customHeight="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ht="14.25" customHeight="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ht="14.25" customHeight="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ht="14.25" customHeight="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ht="14.25"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ht="14.25" customHeight="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ht="14.25"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ht="14.25" customHeight="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ht="14.25"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ht="14.25"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ht="14.25"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ht="14.25"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ht="14.25"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ht="14.25"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ht="14.25"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ht="14.25"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ht="14.25"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ht="14.25"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ht="14.25"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ht="14.25"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ht="14.25"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ht="14.25"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ht="14.25"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ht="14.25"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ht="14.25"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ht="14.25"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ht="14.25"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ht="14.25"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ht="14.25"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ht="14.25"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ht="14.25"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ht="14.25"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ht="14.25"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ht="14.25"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ht="14.25"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ht="14.25"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ht="14.2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ht="14.2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ht="14.2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ht="14.25"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ht="14.2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ht="14.2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ht="14.2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ht="14.2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ht="14.2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ht="14.2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ht="14.2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ht="14.2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ht="14.2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ht="14.2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ht="14.2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ht="14.2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ht="14.2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ht="14.2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ht="14.25"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ht="14.2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ht="14.2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ht="14.25"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ht="14.2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ht="14.2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ht="14.2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ht="14.2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ht="14.2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ht="14.2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ht="14.2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ht="14.2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ht="14.2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ht="14.2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ht="14.2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ht="14.2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ht="14.2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ht="14.2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ht="14.2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ht="14.2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ht="14.2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ht="14.2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ht="14.2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ht="14.2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ht="14.2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ht="14.2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ht="14.2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ht="14.2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ht="14.2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ht="14.2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ht="14.2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ht="14.2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ht="14.2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ht="14.2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ht="14.2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ht="14.2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ht="14.2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ht="14.2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ht="14.2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ht="14.2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ht="14.2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ht="14.2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ht="14.2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ht="14.2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ht="14.2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ht="14.2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ht="14.2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ht="14.2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ht="14.2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ht="14.2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ht="14.2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ht="14.2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ht="14.2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ht="14.2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ht="14.2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ht="14.2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ht="14.2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ht="14.2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ht="14.2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ht="14.2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ht="14.2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ht="14.2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ht="14.25"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ht="14.25"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ht="14.25"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ht="14.25"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ht="14.25"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ht="14.25"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ht="14.25"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ht="14.25"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ht="14.25"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ht="14.25"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ht="14.25" customHeight="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ht="14.25"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ht="14.25" customHeight="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ht="14.25" customHeight="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ht="14.25" customHeight="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ht="14.25" customHeight="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ht="14.25" customHeight="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ht="14.25" customHeight="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ht="14.25" customHeight="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ht="14.25" customHeight="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ht="14.25" customHeight="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ht="14.25" customHeight="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ht="14.25" customHeight="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ht="14.25" customHeight="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ht="14.25" customHeight="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ht="14.25" customHeight="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ht="14.25" customHeight="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ht="14.25" customHeight="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ht="14.25" customHeight="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ht="14.25" customHeight="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ht="14.25" customHeight="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ht="14.25" customHeight="1">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ht="14.25" customHeight="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ht="14.25" customHeight="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ht="14.25" customHeight="1">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ht="14.25" customHeight="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ht="14.25" customHeight="1">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ht="14.25" customHeight="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ht="14.25" customHeight="1">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ht="14.25" customHeight="1">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ht="14.25" customHeight="1">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ht="14.25" customHeight="1">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ht="14.25" customHeight="1">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ht="14.25" customHeight="1">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ht="14.25" customHeight="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ht="14.25" customHeight="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ht="14.25" customHeight="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ht="14.25" customHeight="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ht="14.25" customHeight="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ht="14.25" customHeight="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ht="14.25" customHeight="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ht="14.25" customHeight="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ht="14.25" customHeight="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ht="14.25" customHeight="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ht="14.25" customHeight="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ht="14.25" customHeight="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ht="14.25" customHeight="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ht="14.25" customHeight="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ht="14.25" customHeight="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ht="14.25" customHeight="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ht="14.25" customHeight="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ht="14.25" customHeight="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ht="14.25" customHeight="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ht="14.25" customHeight="1">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ht="14.25" customHeight="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ht="14.25" customHeight="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ht="14.25" customHeight="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ht="14.25" customHeight="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ht="14.25" customHeight="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ht="14.25" customHeight="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ht="14.25" customHeight="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ht="14.25" customHeight="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ht="14.25" customHeight="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ht="14.25" customHeight="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ht="14.25" customHeight="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ht="14.25" customHeight="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ht="14.25" customHeight="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ht="14.25" customHeight="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ht="14.25" customHeight="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ht="14.25" customHeight="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ht="14.25" customHeight="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ht="14.25" customHeight="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ht="14.25" customHeight="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ht="14.25" customHeight="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ht="14.25" customHeight="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ht="14.25" customHeight="1">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ht="14.25" customHeight="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ht="14.25" customHeight="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ht="14.25" customHeight="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ht="14.25" customHeight="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ht="14.25" customHeight="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ht="14.25" customHeight="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ht="14.25" customHeight="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ht="14.25" customHeight="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ht="14.25" customHeight="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ht="14.25" customHeight="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ht="14.25" customHeight="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ht="14.25" customHeight="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ht="14.25" customHeight="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ht="14.25" customHeight="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ht="14.25" customHeight="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ht="14.25" customHeight="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ht="14.25" customHeight="1">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ht="14.25" customHeight="1">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ht="14.25" customHeight="1">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ht="14.25" customHeight="1">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ht="14.25" customHeight="1">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ht="14.25" customHeight="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ht="14.25" customHeight="1">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ht="14.25" customHeight="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ht="14.25" customHeight="1">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ht="14.25" customHeight="1">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ht="14.25" customHeight="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ht="14.25" customHeight="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ht="14.25" customHeight="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ht="14.25" customHeight="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ht="14.25" customHeight="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ht="14.25" customHeight="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ht="14.25" customHeight="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ht="14.25" customHeight="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ht="14.25" customHeight="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ht="14.25" customHeight="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ht="14.25" customHeight="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ht="14.25" customHeight="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ht="14.25" customHeight="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ht="14.25" customHeight="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ht="14.25" customHeight="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ht="14.25" customHeight="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ht="14.25" customHeight="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ht="14.25" customHeight="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ht="14.25" customHeight="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ht="14.25" customHeight="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ht="14.25" customHeight="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ht="14.25" customHeight="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ht="14.25" customHeight="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ht="14.25" customHeight="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ht="14.25" customHeight="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ht="14.25" customHeight="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ht="14.25" customHeight="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ht="14.25" customHeight="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ht="14.25" customHeight="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ht="14.25" customHeight="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ht="14.25" customHeight="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ht="14.25" customHeight="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ht="14.25" customHeight="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ht="14.25" customHeight="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ht="14.25" customHeight="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ht="14.25" customHeight="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ht="14.25" customHeight="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ht="14.25" customHeight="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ht="14.25" customHeight="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ht="14.25" customHeight="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ht="14.25" customHeight="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ht="14.25" customHeight="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ht="14.25" customHeight="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ht="14.25" customHeight="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ht="14.25" customHeight="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ht="14.25" customHeight="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ht="14.25" customHeight="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ht="14.25" customHeight="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ht="14.25" customHeight="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ht="14.25" customHeight="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ht="14.25" customHeight="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ht="14.25" customHeight="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ht="14.25" customHeight="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ht="14.25" customHeight="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ht="14.25" customHeight="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ht="14.25"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ht="14.25"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ht="14.25" customHeight="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ht="14.25" customHeight="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ht="14.25" customHeight="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ht="14.25" customHeight="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ht="14.25" customHeight="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ht="14.25" customHeight="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ht="14.25" customHeight="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ht="14.25" customHeight="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ht="14.25" customHeight="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ht="14.25" customHeight="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ht="14.25" customHeight="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ht="14.25" customHeight="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ht="14.25" customHeight="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ht="14.25" customHeight="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ht="14.25" customHeight="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ht="14.25" customHeight="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ht="14.25" customHeight="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ht="14.25" customHeight="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ht="14.25" customHeight="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ht="14.25" customHeight="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ht="14.25" customHeight="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ht="14.25" customHeight="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ht="14.25" customHeight="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ht="14.25" customHeight="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ht="14.25" customHeight="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ht="14.25" customHeight="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ht="14.25" customHeight="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ht="14.25" customHeight="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ht="14.25" customHeight="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ht="14.25" customHeight="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ht="14.25" customHeight="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ht="14.25" customHeight="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ht="14.25" customHeight="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ht="14.25" customHeight="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ht="14.25" customHeight="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ht="14.25" customHeight="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ht="14.25" customHeight="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ht="14.25" customHeight="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ht="14.25" customHeight="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ht="14.25" customHeight="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ht="14.25" customHeight="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ht="14.25" customHeight="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ht="14.25" customHeight="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ht="14.25" customHeight="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ht="14.25" customHeight="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ht="14.25" customHeight="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ht="14.25" customHeight="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ht="14.25" customHeight="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ht="14.25" customHeight="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ht="14.25" customHeight="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ht="14.25" customHeight="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ht="14.25" customHeight="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ht="14.25" customHeight="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ht="14.25" customHeight="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ht="14.25" customHeight="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ht="14.25" customHeight="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ht="14.25" customHeight="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ht="14.25" customHeight="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ht="14.25" customHeight="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ht="14.25" customHeight="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ht="14.25" customHeight="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ht="14.25" customHeight="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ht="14.25" customHeight="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ht="14.25" customHeight="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ht="14.25" customHeight="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ht="14.25" customHeight="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ht="14.25" customHeight="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ht="14.25" customHeight="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ht="14.25" customHeight="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ht="14.25" customHeight="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ht="14.25" customHeight="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ht="14.25" customHeight="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ht="14.25" customHeight="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ht="14.25" customHeight="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ht="14.25" customHeight="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ht="14.25" customHeight="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ht="14.25" customHeight="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ht="14.25" customHeight="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ht="14.25" customHeight="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ht="14.25" customHeight="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ht="14.25" customHeight="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ht="14.25" customHeight="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ht="14.25" customHeight="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ht="14.25" customHeight="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ht="14.25" customHeight="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ht="14.25" customHeight="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ht="14.25" customHeight="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ht="14.25" customHeight="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ht="14.25" customHeight="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ht="14.25" customHeight="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ht="14.25" customHeight="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ht="14.25" customHeight="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ht="14.25" customHeight="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ht="14.25" customHeight="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ht="14.25" customHeight="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ht="14.25" customHeight="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ht="14.25" customHeight="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ht="14.25" customHeight="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ht="14.25" customHeight="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ht="14.25" customHeight="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ht="14.25" customHeight="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ht="14.25" customHeight="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ht="14.25" customHeight="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ht="14.25" customHeight="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ht="14.25" customHeight="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ht="14.25" customHeight="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ht="14.25" customHeight="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ht="14.25" customHeight="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ht="14.25" customHeight="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ht="14.25" customHeight="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ht="14.25" customHeight="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ht="14.25" customHeight="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ht="14.25" customHeight="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ht="14.25" customHeight="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ht="14.25" customHeight="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ht="14.25" customHeight="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ht="14.25" customHeight="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ht="14.25" customHeight="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ht="14.25" customHeight="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ht="14.25" customHeight="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ht="14.25" customHeight="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ht="14.25" customHeight="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ht="14.25" customHeight="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ht="14.25" customHeight="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ht="14.25" customHeight="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ht="14.25" customHeight="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ht="14.25" customHeight="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ht="14.25" customHeight="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ht="14.25" customHeight="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ht="14.25" customHeight="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ht="14.25" customHeight="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ht="14.25" customHeight="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ht="14.25" customHeight="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ht="14.25" customHeight="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ht="14.25" customHeight="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ht="14.25" customHeight="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ht="14.25" customHeight="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ht="14.25" customHeight="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ht="14.25" customHeight="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ht="14.25" customHeight="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ht="14.25" customHeight="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ht="14.25" customHeight="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ht="14.25" customHeight="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ht="14.25" customHeight="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ht="14.25" customHeight="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ht="14.25" customHeight="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ht="14.25" customHeight="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ht="14.25" customHeight="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ht="14.25" customHeight="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ht="14.25" customHeight="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ht="14.25" customHeight="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ht="14.25" customHeight="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ht="14.25" customHeight="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ht="14.25" customHeight="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ht="14.25" customHeight="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ht="14.25" customHeight="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ht="14.25" customHeight="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ht="14.25" customHeight="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ht="14.25" customHeight="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ht="14.25" customHeight="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ht="14.25" customHeight="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ht="14.25" customHeight="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ht="14.25" customHeight="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ht="14.25" customHeight="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ht="14.25" customHeight="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ht="14.25" customHeight="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ht="14.25" customHeight="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ht="14.25" customHeight="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ht="14.25" customHeight="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ht="14.25" customHeight="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ht="14.25" customHeight="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ht="14.25" customHeight="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ht="14.25" customHeight="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ht="14.25" customHeight="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ht="14.25" customHeight="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ht="14.25" customHeight="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ht="14.25" customHeight="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ht="14.25" customHeight="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ht="14.25" customHeight="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ht="14.25" customHeight="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ht="14.25" customHeight="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ht="14.25" customHeight="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ht="14.25" customHeight="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ht="14.25" customHeight="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ht="14.25" customHeight="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ht="14.25" customHeight="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ht="14.25" customHeight="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ht="14.25" customHeight="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ht="14.25" customHeight="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ht="14.25" customHeight="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ht="14.25" customHeight="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ht="14.25" customHeight="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ht="14.25" customHeight="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ht="14.25" customHeight="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ht="14.25" customHeight="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ht="14.25" customHeight="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ht="14.25" customHeight="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ht="14.25" customHeight="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ht="14.25" customHeight="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ht="14.25" customHeight="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ht="14.25" customHeight="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ht="14.25" customHeight="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ht="14.25" customHeight="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ht="14.25" customHeight="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ht="14.25" customHeight="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ht="14.25" customHeight="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ht="14.25" customHeight="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ht="14.25" customHeight="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ht="14.25" customHeight="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ht="14.25" customHeight="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ht="14.25" customHeight="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ht="14.25" customHeight="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ht="14.25" customHeight="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ht="14.25" customHeight="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ht="14.25" customHeight="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ht="14.25" customHeight="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ht="14.25" customHeight="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ht="14.25" customHeight="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ht="14.25" customHeight="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ht="14.25" customHeight="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ht="14.25" customHeight="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ht="14.25" customHeight="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ht="14.25" customHeight="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ht="14.25" customHeight="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ht="14.25" customHeight="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ht="14.25" customHeight="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ht="14.25" customHeight="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ht="14.25" customHeight="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ht="14.25" customHeight="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ht="14.25" customHeight="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ht="14.25" customHeight="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ht="14.25" customHeight="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ht="14.25" customHeight="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ht="14.25" customHeight="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ht="14.25" customHeight="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ht="14.25" customHeight="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ht="14.25" customHeight="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ht="14.25" customHeight="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ht="14.25" customHeight="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ht="14.25" customHeight="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ht="14.25" customHeight="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ht="14.25" customHeight="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ht="14.25" customHeight="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ht="14.25" customHeight="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ht="14.25" customHeight="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ht="14.25" customHeight="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ht="14.25" customHeight="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ht="14.25" customHeight="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ht="14.25" customHeight="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ht="14.25" customHeight="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ht="14.25" customHeight="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ht="14.25" customHeight="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ht="14.25" customHeight="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ht="14.25" customHeight="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ht="14.25" customHeight="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ht="14.25" customHeight="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ht="14.25" customHeight="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ht="14.25" customHeight="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ht="14.25" customHeight="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ht="14.25" customHeight="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ht="14.25" customHeight="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ht="14.25" customHeight="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ht="14.25" customHeight="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ht="14.25" customHeight="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ht="14.25" customHeight="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ht="14.25" customHeight="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ht="14.25" customHeight="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ht="14.25" customHeight="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ht="14.25" customHeight="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ht="14.25" customHeight="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ht="14.25" customHeight="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ht="14.25" customHeight="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ht="14.25" customHeight="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ht="14.25" customHeight="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ht="14.25" customHeight="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ht="14.25" customHeight="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ht="14.25" customHeight="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ht="14.25" customHeight="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ht="14.25" customHeight="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ht="14.25" customHeight="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ht="14.25" customHeight="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ht="14.25" customHeight="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ht="14.25" customHeight="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ht="14.25" customHeight="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ht="14.25" customHeight="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ht="14.25" customHeight="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ht="14.25" customHeight="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ht="14.25" customHeight="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ht="14.25" customHeight="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ht="14.25" customHeight="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ht="14.25" customHeight="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ht="14.25" customHeight="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ht="14.25" customHeight="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ht="14.25" customHeight="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ht="14.25" customHeight="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ht="14.25" customHeight="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ht="14.25" customHeight="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ht="14.25" customHeight="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ht="14.25" customHeight="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ht="14.25" customHeight="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ht="14.25" customHeight="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ht="14.25" customHeight="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ht="14.25" customHeight="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ht="14.25" customHeight="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ht="14.25" customHeight="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ht="14.25" customHeight="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ht="14.25" customHeight="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ht="14.25" customHeight="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ht="14.25" customHeight="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ht="14.25" customHeight="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ht="14.25" customHeight="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ht="14.25" customHeight="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ht="14.25" customHeight="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ht="14.25" customHeight="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ht="14.25" customHeight="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ht="14.25" customHeight="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ht="14.25" customHeight="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ht="14.25" customHeight="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ht="14.25" customHeight="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ht="14.25" customHeight="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ht="14.25" customHeight="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ht="14.25" customHeight="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ht="14.25" customHeight="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ht="14.25" customHeight="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ht="14.25" customHeight="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ht="14.25" customHeight="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ht="14.25" customHeight="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ht="14.25" customHeight="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ht="14.25" customHeight="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ht="14.25" customHeight="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ht="14.25" customHeight="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ht="14.25" customHeight="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ht="14.25" customHeight="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ht="14.25" customHeight="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ht="14.25" customHeight="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ht="14.25" customHeight="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ht="14.25" customHeight="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ht="14.25" customHeight="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ht="14.25" customHeight="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ht="14.25" customHeight="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ht="14.25" customHeight="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ht="14.25" customHeight="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ht="14.25" customHeight="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ht="14.25" customHeight="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ht="14.25" customHeight="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ht="14.25" customHeight="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ht="14.25" customHeight="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ht="14.25" customHeight="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ht="14.25" customHeight="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ht="14.25" customHeight="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ht="14.25" customHeight="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ht="14.25" customHeight="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ht="14.25" customHeight="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ht="14.25" customHeight="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ht="14.25" customHeight="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ht="14.25" customHeight="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ht="14.25" customHeight="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ht="14.25" customHeight="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ht="14.25" customHeight="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ht="14.25" customHeight="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ht="14.25" customHeight="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ht="14.25" customHeight="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ht="14.25" customHeight="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ht="14.25" customHeight="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ht="14.25" customHeight="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ht="14.25" customHeight="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ht="14.25" customHeight="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ht="14.25" customHeight="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ht="14.25" customHeight="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ht="14.25" customHeight="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ht="14.25" customHeight="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ht="14.25" customHeight="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ht="14.25" customHeight="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ht="14.25" customHeight="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ht="14.25" customHeight="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ht="14.25" customHeight="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ht="14.25" customHeight="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ht="14.25" customHeight="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ht="14.25" customHeight="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ht="14.25" customHeight="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ht="14.25" customHeight="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ht="14.25" customHeight="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ht="14.25" customHeight="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ht="14.25" customHeight="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ht="14.25" customHeight="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ht="14.25" customHeight="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ht="14.25" customHeight="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ht="14.25" customHeight="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ht="14.25" customHeight="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ht="14.25" customHeight="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ht="14.25" customHeight="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ht="14.25" customHeight="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ht="14.25" customHeight="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ht="14.25" customHeight="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ht="14.25" customHeight="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ht="14.25" customHeight="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ht="14.25" customHeight="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ht="14.25" customHeight="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ht="14.25" customHeight="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ht="14.25" customHeight="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ht="14.25" customHeight="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ht="14.25" customHeight="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ht="14.25" customHeight="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ht="14.25" customHeight="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ht="14.25" customHeight="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ht="14.25" customHeight="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ht="14.25" customHeight="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ht="14.25" customHeight="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ht="14.25" customHeight="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ht="14.25" customHeight="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ht="14.25" customHeight="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ht="14.25" customHeight="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ht="14.25" customHeight="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ht="14.25" customHeight="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ht="14.25" customHeight="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ht="14.25" customHeight="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ht="14.25" customHeight="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ht="14.25" customHeight="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ht="14.25" customHeight="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ht="14.25" customHeight="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ht="14.25" customHeight="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ht="14.25" customHeight="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ht="14.25" customHeight="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ht="14.25" customHeight="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ht="14.25" customHeight="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ht="14.25" customHeight="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ht="14.25" customHeight="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ht="14.25" customHeight="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ht="14.25" customHeight="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ht="14.25" customHeight="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ht="14.25" customHeight="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ht="14.25" customHeight="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ht="14.25" customHeight="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ht="14.25" customHeight="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ht="14.25" customHeight="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ht="14.25" customHeight="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ht="14.25" customHeight="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ht="14.25" customHeight="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ht="14.25" customHeight="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ht="14.25" customHeight="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ht="14.25" customHeight="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ht="14.25" customHeight="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ht="14.25" customHeight="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ht="14.25" customHeight="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ht="14.25" customHeight="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ht="14.25" customHeight="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ht="14.25" customHeight="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ht="14.25" customHeight="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ht="14.25" customHeight="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ht="14.25" customHeight="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ht="14.25" customHeight="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ht="14.25" customHeight="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ht="14.25" customHeight="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ht="14.25" customHeight="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ht="14.25" customHeight="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ht="14.25" customHeight="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ht="14.25" customHeight="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ht="14.25" customHeight="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ht="14.25" customHeight="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ht="14.25" customHeight="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ht="14.25" customHeight="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ht="14.25" customHeight="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ht="14.25" customHeight="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ht="14.25" customHeight="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ht="14.25" customHeight="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ht="14.25" customHeight="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ht="14.25" customHeight="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ht="14.25" customHeight="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ht="14.25" customHeight="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ht="14.25" customHeight="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ht="14.25" customHeight="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ht="14.25" customHeight="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ht="14.25" customHeight="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ht="14.25" customHeight="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ht="14.25" customHeight="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ht="14.25" customHeight="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ht="14.25" customHeight="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ht="14.25" customHeight="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ht="14.25" customHeight="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ht="14.25" customHeight="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ht="14.25" customHeight="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ht="14.25" customHeight="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ht="14.25" customHeight="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ht="14.25" customHeight="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ht="14.25" customHeight="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ht="14.25" customHeight="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ht="14.25" customHeight="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ht="14.25" customHeight="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ht="14.25" customHeight="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ht="14.25" customHeight="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ht="14.25" customHeight="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ht="14.25" customHeight="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ht="14.25" customHeight="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ht="14.25" customHeight="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ht="14.25" customHeight="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ht="14.25" customHeight="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ht="14.25" customHeight="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ht="14.25" customHeight="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ht="14.25" customHeight="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ht="14.25" customHeight="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ht="14.25" customHeight="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ht="14.25" customHeight="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ht="14.25" customHeight="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ht="14.25" customHeight="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ht="14.25" customHeight="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ht="14.25" customHeight="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ht="14.25" customHeight="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ht="14.25" customHeight="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ht="14.25" customHeight="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ht="14.25" customHeight="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ht="14.25" customHeight="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ht="14.25" customHeight="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ht="14.25" customHeight="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ht="14.25" customHeight="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ht="14.25" customHeight="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ht="14.25" customHeight="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ht="14.25" customHeight="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ht="14.25" customHeight="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ht="14.25" customHeight="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ht="14.25" customHeight="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ht="14.25" customHeight="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ht="14.25" customHeight="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ht="14.25" customHeight="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ht="14.25" customHeight="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ht="14.25" customHeight="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ht="14.25" customHeight="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ht="14.25" customHeight="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ht="14.25" customHeight="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ht="14.25" customHeight="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ht="14.25" customHeight="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ht="14.25" customHeight="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ht="14.25" customHeight="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ht="14.25" customHeight="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ht="14.25" customHeight="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ht="14.25" customHeight="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ht="14.25" customHeight="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ht="14.25" customHeight="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ht="14.25" customHeight="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ht="14.25" customHeight="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ht="14.25" customHeight="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ht="14.25" customHeight="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ht="14.25" customHeight="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ht="14.25" customHeight="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ht="14.25" customHeight="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ht="14.25" customHeight="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ht="14.25" customHeight="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ht="14.25" customHeight="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ht="14.25" customHeight="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ht="14.25" customHeight="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ht="14.25" customHeight="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ht="14.25" customHeight="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ht="14.25" customHeight="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ht="14.25" customHeight="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ht="14.25" customHeight="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ht="14.25" customHeight="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ht="14.25" customHeight="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ht="14.25" customHeight="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ht="14.25" customHeight="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ht="14.25" customHeight="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ht="14.25" customHeight="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ht="14.25" customHeight="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ht="14.25" customHeight="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ht="14.25" customHeight="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ht="14.25" customHeight="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ht="14.25" customHeight="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ht="14.25" customHeight="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ht="14.25" customHeight="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ht="14.25" customHeight="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ht="14.25" customHeight="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ht="14.25" customHeight="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ht="14.25" customHeight="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ht="14.25" customHeight="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ht="14.25" customHeight="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ht="14.25" customHeight="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ht="14.25" customHeight="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ht="14.25" customHeight="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ht="14.25" customHeight="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ht="14.25" customHeight="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ht="14.25" customHeight="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ht="14.25" customHeight="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ht="14.25" customHeight="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ht="14.25" customHeight="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ht="14.25" customHeight="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ht="14.25" customHeight="1">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ht="14.25" customHeight="1">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ht="14.25" customHeight="1">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ht="14.25" customHeight="1">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ht="14.25" customHeight="1">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4"/>
    <col customWidth="1" min="2" max="2" width="16.14"/>
    <col customWidth="1" min="3" max="3" width="11.43"/>
    <col customWidth="1" min="4" max="4" width="30.71"/>
    <col customWidth="1" min="5" max="9" width="37.43"/>
    <col customWidth="1" min="10" max="26" width="11.43"/>
  </cols>
  <sheetData>
    <row r="1" ht="14.25" customHeight="1">
      <c r="A1" s="149" t="s">
        <v>3554</v>
      </c>
    </row>
    <row r="2" ht="14.25" customHeight="1">
      <c r="B2" s="150" t="s">
        <v>3555</v>
      </c>
      <c r="C2" s="151"/>
      <c r="D2" s="151"/>
      <c r="E2" s="151"/>
      <c r="F2" s="151"/>
      <c r="G2" s="151"/>
      <c r="H2" s="151"/>
      <c r="I2" s="152"/>
    </row>
    <row r="3" ht="14.25" customHeight="1">
      <c r="B3" s="153" t="s">
        <v>3556</v>
      </c>
      <c r="I3" s="154"/>
    </row>
    <row r="4" ht="14.25" customHeight="1">
      <c r="B4" s="153" t="s">
        <v>3557</v>
      </c>
      <c r="I4" s="154"/>
    </row>
    <row r="5" ht="14.25" customHeight="1">
      <c r="B5" s="155" t="s">
        <v>3558</v>
      </c>
      <c r="C5" s="156"/>
      <c r="D5" s="157"/>
      <c r="E5" s="158" t="s">
        <v>3559</v>
      </c>
      <c r="F5" s="2"/>
      <c r="G5" s="2"/>
      <c r="H5" s="2"/>
      <c r="I5" s="159"/>
    </row>
    <row r="6" ht="14.25" customHeight="1">
      <c r="B6" s="160"/>
      <c r="C6" s="161"/>
      <c r="D6" s="162"/>
      <c r="E6" s="163" t="s">
        <v>3560</v>
      </c>
      <c r="F6" s="163" t="s">
        <v>3561</v>
      </c>
      <c r="G6" s="163" t="s">
        <v>3562</v>
      </c>
      <c r="H6" s="163" t="s">
        <v>3563</v>
      </c>
      <c r="I6" s="164" t="s">
        <v>3564</v>
      </c>
    </row>
    <row r="7" ht="40.5" customHeight="1">
      <c r="B7" s="165" t="s">
        <v>3565</v>
      </c>
      <c r="C7" s="166" t="s">
        <v>3566</v>
      </c>
      <c r="D7" s="167"/>
      <c r="E7" s="168" t="s">
        <v>3567</v>
      </c>
      <c r="F7" s="168" t="s">
        <v>3568</v>
      </c>
      <c r="G7" s="168" t="s">
        <v>3569</v>
      </c>
      <c r="H7" s="168" t="s">
        <v>3570</v>
      </c>
      <c r="I7" s="169" t="s">
        <v>3571</v>
      </c>
    </row>
    <row r="8" ht="40.5" customHeight="1">
      <c r="B8" s="170"/>
      <c r="C8" s="171" t="s">
        <v>102</v>
      </c>
      <c r="D8" s="3"/>
      <c r="E8" s="172" t="s">
        <v>3572</v>
      </c>
      <c r="F8" s="172" t="s">
        <v>3573</v>
      </c>
      <c r="G8" s="172" t="s">
        <v>3574</v>
      </c>
      <c r="H8" s="172" t="s">
        <v>3575</v>
      </c>
      <c r="I8" s="173" t="s">
        <v>3576</v>
      </c>
    </row>
    <row r="9" ht="69.0" customHeight="1">
      <c r="B9" s="165" t="s">
        <v>3577</v>
      </c>
      <c r="C9" s="174" t="s">
        <v>103</v>
      </c>
      <c r="D9" s="167"/>
      <c r="E9" s="175" t="s">
        <v>3578</v>
      </c>
      <c r="F9" s="175" t="s">
        <v>3579</v>
      </c>
      <c r="G9" s="175" t="s">
        <v>3580</v>
      </c>
      <c r="H9" s="175" t="s">
        <v>3581</v>
      </c>
      <c r="I9" s="176" t="s">
        <v>3582</v>
      </c>
    </row>
    <row r="10" ht="111.75" customHeight="1">
      <c r="B10" s="177"/>
      <c r="C10" s="178" t="s">
        <v>104</v>
      </c>
      <c r="D10" s="3"/>
      <c r="E10" s="179" t="s">
        <v>3583</v>
      </c>
      <c r="F10" s="179" t="s">
        <v>3584</v>
      </c>
      <c r="G10" s="179" t="s">
        <v>3585</v>
      </c>
      <c r="H10" s="179" t="s">
        <v>3586</v>
      </c>
      <c r="I10" s="180" t="s">
        <v>3587</v>
      </c>
    </row>
    <row r="11" ht="14.25" customHeight="1">
      <c r="B11" s="181"/>
      <c r="C11" s="182" t="s">
        <v>105</v>
      </c>
      <c r="D11" s="183"/>
      <c r="E11" s="184" t="s">
        <v>3588</v>
      </c>
      <c r="F11" s="184" t="s">
        <v>3589</v>
      </c>
      <c r="G11" s="184" t="s">
        <v>3590</v>
      </c>
      <c r="H11" s="184" t="s">
        <v>3591</v>
      </c>
      <c r="I11" s="185" t="s">
        <v>3592</v>
      </c>
    </row>
    <row r="12" ht="14.25" customHeight="1">
      <c r="B12" s="186" t="s">
        <v>91</v>
      </c>
      <c r="C12" s="187" t="s">
        <v>3593</v>
      </c>
      <c r="D12" s="162"/>
      <c r="E12" s="188" t="s">
        <v>3594</v>
      </c>
      <c r="F12" s="161"/>
      <c r="G12" s="161"/>
      <c r="H12" s="161"/>
      <c r="I12" s="189"/>
    </row>
    <row r="13" ht="60.0" customHeight="1">
      <c r="B13" s="190" t="s">
        <v>3595</v>
      </c>
      <c r="C13" s="191" t="s">
        <v>3596</v>
      </c>
      <c r="D13" s="3"/>
      <c r="E13" s="192" t="s">
        <v>3597</v>
      </c>
      <c r="F13" s="192" t="s">
        <v>3598</v>
      </c>
      <c r="G13" s="193" t="s">
        <v>3599</v>
      </c>
      <c r="H13" s="193" t="s">
        <v>3600</v>
      </c>
      <c r="I13" s="193" t="s">
        <v>3601</v>
      </c>
    </row>
    <row r="14" ht="60.0" customHeight="1">
      <c r="B14" s="190" t="s">
        <v>3602</v>
      </c>
      <c r="C14" s="191" t="s">
        <v>3603</v>
      </c>
      <c r="D14" s="3"/>
      <c r="E14" s="194" t="s">
        <v>3604</v>
      </c>
      <c r="F14" s="192" t="s">
        <v>3605</v>
      </c>
      <c r="G14" s="192" t="s">
        <v>3606</v>
      </c>
      <c r="H14" s="193" t="s">
        <v>3607</v>
      </c>
      <c r="I14" s="193" t="s">
        <v>3608</v>
      </c>
    </row>
    <row r="15" ht="60.0" customHeight="1">
      <c r="B15" s="190" t="s">
        <v>3609</v>
      </c>
      <c r="C15" s="191" t="s">
        <v>3610</v>
      </c>
      <c r="D15" s="3"/>
      <c r="E15" s="194" t="s">
        <v>3611</v>
      </c>
      <c r="F15" s="192" t="s">
        <v>3612</v>
      </c>
      <c r="G15" s="192" t="s">
        <v>3613</v>
      </c>
      <c r="H15" s="192" t="s">
        <v>3614</v>
      </c>
      <c r="I15" s="193" t="s">
        <v>3615</v>
      </c>
    </row>
    <row r="16" ht="60.0" customHeight="1">
      <c r="B16" s="190" t="s">
        <v>3616</v>
      </c>
      <c r="C16" s="191" t="s">
        <v>3617</v>
      </c>
      <c r="D16" s="3"/>
      <c r="E16" s="194" t="s">
        <v>3618</v>
      </c>
      <c r="F16" s="194" t="s">
        <v>3619</v>
      </c>
      <c r="G16" s="192" t="s">
        <v>3620</v>
      </c>
      <c r="H16" s="192" t="s">
        <v>3621</v>
      </c>
      <c r="I16" s="193" t="s">
        <v>3622</v>
      </c>
    </row>
    <row r="17" ht="60.0" customHeight="1">
      <c r="B17" s="190" t="s">
        <v>3623</v>
      </c>
      <c r="C17" s="191" t="s">
        <v>3624</v>
      </c>
      <c r="D17" s="3"/>
      <c r="E17" s="194" t="s">
        <v>3625</v>
      </c>
      <c r="F17" s="194" t="s">
        <v>3626</v>
      </c>
      <c r="G17" s="194" t="s">
        <v>3627</v>
      </c>
      <c r="H17" s="192" t="s">
        <v>3628</v>
      </c>
      <c r="I17" s="195" t="s">
        <v>3629</v>
      </c>
    </row>
    <row r="18" ht="22.5" customHeight="1">
      <c r="B18" s="196" t="s">
        <v>3630</v>
      </c>
      <c r="C18" s="2"/>
      <c r="D18" s="3"/>
      <c r="E18" s="197" t="s">
        <v>3631</v>
      </c>
      <c r="F18" s="2"/>
      <c r="G18" s="2"/>
      <c r="H18" s="2"/>
      <c r="I18" s="159"/>
    </row>
    <row r="19" ht="14.25" customHeight="1">
      <c r="B19" s="198" t="s">
        <v>161</v>
      </c>
      <c r="C19" s="2"/>
      <c r="D19" s="3"/>
      <c r="E19" s="199" t="s">
        <v>3632</v>
      </c>
      <c r="F19" s="2"/>
      <c r="G19" s="2"/>
      <c r="H19" s="2"/>
      <c r="I19" s="159"/>
    </row>
    <row r="20" ht="14.25" customHeight="1">
      <c r="B20" s="200" t="s">
        <v>100</v>
      </c>
      <c r="C20" s="2"/>
      <c r="D20" s="3"/>
      <c r="E20" s="201" t="s">
        <v>3633</v>
      </c>
      <c r="F20" s="2"/>
      <c r="G20" s="2"/>
      <c r="H20" s="2"/>
      <c r="I20" s="159"/>
    </row>
    <row r="21" ht="14.25" customHeight="1">
      <c r="B21" s="202" t="s">
        <v>107</v>
      </c>
      <c r="C21" s="203"/>
      <c r="D21" s="183"/>
      <c r="E21" s="204" t="s">
        <v>3634</v>
      </c>
      <c r="F21" s="203"/>
      <c r="G21" s="203"/>
      <c r="H21" s="203"/>
      <c r="I21" s="205"/>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7">
    <mergeCell ref="B7:B8"/>
    <mergeCell ref="B9:B11"/>
    <mergeCell ref="B2:I2"/>
    <mergeCell ref="B3:I3"/>
    <mergeCell ref="B4:I4"/>
    <mergeCell ref="B5:D6"/>
    <mergeCell ref="E5:I5"/>
    <mergeCell ref="C7:D7"/>
    <mergeCell ref="C8:D8"/>
    <mergeCell ref="C9:D9"/>
    <mergeCell ref="C10:D10"/>
    <mergeCell ref="C11:D11"/>
    <mergeCell ref="C12:D12"/>
    <mergeCell ref="E12:I12"/>
    <mergeCell ref="C13:D13"/>
    <mergeCell ref="C14:D14"/>
    <mergeCell ref="B20:D20"/>
    <mergeCell ref="E20:I20"/>
    <mergeCell ref="B21:D21"/>
    <mergeCell ref="E21:I21"/>
    <mergeCell ref="C15:D15"/>
    <mergeCell ref="C16:D16"/>
    <mergeCell ref="C17:D17"/>
    <mergeCell ref="B18:D18"/>
    <mergeCell ref="E18:I18"/>
    <mergeCell ref="B19:D19"/>
    <mergeCell ref="E19:I19"/>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2020-10-09T20:30:44Z</dcterms:created>
  <dc:creator>Carlos Andrés Rodriguez</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0x010100FCCFF8AF358C3D438E69F2269F3F133E</vt:lpwstr>
  </property>
  <property fmtid="{D5CDD505-2E9C-101B-9397-08002B2CF9AE}" pid="3" name="MediaServiceImageTags">
    <vt:lpwstr/>
  </property>
</Properties>
</file>